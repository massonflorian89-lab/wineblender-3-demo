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lescavesrichemer.sharepoint.com/sites/Lescavesderichemer405/Documents partages/General/04 - Production/Cave/Echantillonnages/"/>
    </mc:Choice>
  </mc:AlternateContent>
  <xr:revisionPtr revIDLastSave="11476" documentId="10_ncr:20000_{85391D07-0DFE-441C-8E4A-1969026DAA55}" xr6:coauthVersionLast="47" xr6:coauthVersionMax="47" xr10:uidLastSave="{47429C23-76C3-4F26-820B-BBB6F33038D5}"/>
  <bookViews>
    <workbookView xWindow="28680" yWindow="-120" windowWidth="29040" windowHeight="15720" firstSheet="4" activeTab="4" xr2:uid="{00000000-000D-0000-FFFF-FFFF00000000}"/>
  </bookViews>
  <sheets>
    <sheet name="Base" sheetId="8" r:id="rId1"/>
    <sheet name="Extration dynamique 2016" sheetId="4" r:id="rId2"/>
    <sheet name="Extration dynamique 2017" sheetId="7" r:id="rId3"/>
    <sheet name="Volumes clients" sheetId="2" r:id="rId4"/>
    <sheet name="Listing journalier" sheetId="1" r:id="rId5"/>
  </sheets>
  <definedNames>
    <definedName name="_Database" localSheetId="4" hidden="1">'Listing journalier'!$A$2:$N$1112</definedName>
    <definedName name="_xlnm._FilterDatabase" localSheetId="0" hidden="1">Base!$A$1:$C$61</definedName>
    <definedName name="_xlnm._FilterDatabase" localSheetId="4" hidden="1">'Listing journalier'!$A$2:$AI$3972</definedName>
  </definedNames>
  <calcPr calcId="191028"/>
  <pivotCaches>
    <pivotCache cacheId="328" r:id="rId6"/>
    <pivotCache cacheId="32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909" i="1" l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867" i="1" l="1"/>
  <c r="N3866" i="1"/>
  <c r="M3865" i="1"/>
  <c r="N3865" i="1" s="1"/>
  <c r="M3864" i="1"/>
  <c r="N3864" i="1" s="1"/>
  <c r="M3863" i="1"/>
  <c r="N3863" i="1" s="1"/>
  <c r="M3862" i="1"/>
  <c r="N3862" i="1" s="1"/>
  <c r="M3861" i="1"/>
  <c r="N3861" i="1" s="1"/>
  <c r="M3860" i="1"/>
  <c r="N3860" i="1" s="1"/>
  <c r="M3859" i="1"/>
  <c r="N3859" i="1" s="1"/>
  <c r="M3858" i="1"/>
  <c r="N3858" i="1" s="1"/>
  <c r="M3857" i="1"/>
  <c r="N3857" i="1"/>
  <c r="M3856" i="1"/>
  <c r="N3856" i="1" s="1"/>
  <c r="M3855" i="1"/>
  <c r="N3855" i="1"/>
  <c r="M3854" i="1"/>
  <c r="N3854" i="1" s="1"/>
  <c r="M3853" i="1"/>
  <c r="N3853" i="1" s="1"/>
  <c r="M3851" i="1"/>
  <c r="N3851" i="1" s="1"/>
  <c r="M3850" i="1"/>
  <c r="N3850" i="1"/>
  <c r="M3849" i="1"/>
  <c r="N3849" i="1" s="1"/>
  <c r="M3852" i="1"/>
  <c r="N3852" i="1" s="1"/>
  <c r="M3848" i="1"/>
  <c r="N3848" i="1" s="1"/>
  <c r="M3847" i="1"/>
  <c r="N3847" i="1"/>
  <c r="M3846" i="1"/>
  <c r="N3846" i="1" s="1"/>
  <c r="M3845" i="1"/>
  <c r="N3845" i="1" s="1"/>
  <c r="M3844" i="1"/>
  <c r="N3844" i="1" s="1"/>
  <c r="M3843" i="1"/>
  <c r="N3843" i="1" s="1"/>
  <c r="M3842" i="1"/>
  <c r="N3842" i="1" s="1"/>
  <c r="M3841" i="1"/>
  <c r="N3841" i="1"/>
  <c r="M3840" i="1"/>
  <c r="N3840" i="1" s="1"/>
  <c r="M3839" i="1"/>
  <c r="N3839" i="1" s="1"/>
  <c r="N3838" i="1"/>
  <c r="M3837" i="1"/>
  <c r="N3837" i="1" s="1"/>
  <c r="M3836" i="1"/>
  <c r="N3836" i="1" s="1"/>
  <c r="M3835" i="1"/>
  <c r="N3835" i="1" s="1"/>
  <c r="M3834" i="1"/>
  <c r="N3834" i="1"/>
  <c r="M3833" i="1"/>
  <c r="N3833" i="1" s="1"/>
  <c r="M3832" i="1"/>
  <c r="N3832" i="1" s="1"/>
  <c r="M3831" i="1"/>
  <c r="N3831" i="1" s="1"/>
  <c r="M3830" i="1"/>
  <c r="N3830" i="1" s="1"/>
  <c r="M3829" i="1"/>
  <c r="N3829" i="1" s="1"/>
  <c r="M3828" i="1"/>
  <c r="N3828" i="1" s="1"/>
  <c r="M3827" i="1"/>
  <c r="N3827" i="1" s="1"/>
  <c r="M3826" i="1"/>
  <c r="N3826" i="1" s="1"/>
  <c r="M3825" i="1"/>
  <c r="N3825" i="1" s="1"/>
  <c r="M3824" i="1"/>
  <c r="N3824" i="1" s="1"/>
  <c r="M3823" i="1"/>
  <c r="N3823" i="1" s="1"/>
  <c r="M3822" i="1"/>
  <c r="N3822" i="1" s="1"/>
  <c r="M3821" i="1"/>
  <c r="N3821" i="1" s="1"/>
  <c r="M3820" i="1"/>
  <c r="N3820" i="1" s="1"/>
  <c r="M3819" i="1"/>
  <c r="N3819" i="1" s="1"/>
  <c r="M3818" i="1"/>
  <c r="N3818" i="1" s="1"/>
  <c r="M3815" i="1"/>
  <c r="N3815" i="1" s="1"/>
  <c r="M3817" i="1"/>
  <c r="N3817" i="1" s="1"/>
  <c r="M3816" i="1"/>
  <c r="N3816" i="1" s="1"/>
  <c r="M3814" i="1"/>
  <c r="N3814" i="1" s="1"/>
  <c r="M3813" i="1"/>
  <c r="N3813" i="1" s="1"/>
  <c r="M3812" i="1"/>
  <c r="N3812" i="1" s="1"/>
  <c r="M3811" i="1"/>
  <c r="N3811" i="1" s="1"/>
  <c r="M3810" i="1"/>
  <c r="N3810" i="1" s="1"/>
  <c r="M3809" i="1"/>
  <c r="N3809" i="1" s="1"/>
  <c r="M3808" i="1"/>
  <c r="N3808" i="1" s="1"/>
  <c r="M3807" i="1"/>
  <c r="N3807" i="1" s="1"/>
  <c r="M3806" i="1"/>
  <c r="N3806" i="1" s="1"/>
  <c r="M3805" i="1"/>
  <c r="N3805" i="1" s="1"/>
  <c r="M3804" i="1"/>
  <c r="N3804" i="1" s="1"/>
  <c r="M3792" i="1"/>
  <c r="N3792" i="1" s="1"/>
  <c r="M3765" i="1"/>
  <c r="N3765" i="1" s="1"/>
  <c r="M3743" i="1"/>
  <c r="N3743" i="1" s="1"/>
  <c r="M3742" i="1"/>
  <c r="N3742" i="1" s="1"/>
  <c r="M3741" i="1"/>
  <c r="N3741" i="1" s="1"/>
  <c r="M3735" i="1"/>
  <c r="N3735" i="1" s="1"/>
  <c r="M3732" i="1"/>
  <c r="N3732" i="1" s="1"/>
  <c r="M3725" i="1"/>
  <c r="N3725" i="1" s="1"/>
  <c r="M3704" i="1"/>
  <c r="N3704" i="1" s="1"/>
  <c r="M3689" i="1"/>
  <c r="N3689" i="1" s="1"/>
  <c r="M3688" i="1"/>
  <c r="N3688" i="1" s="1"/>
  <c r="M3683" i="1"/>
  <c r="N3683" i="1" s="1"/>
  <c r="M3684" i="1"/>
  <c r="N3684" i="1" s="1"/>
  <c r="M3685" i="1"/>
  <c r="N3685" i="1" s="1"/>
  <c r="M3686" i="1"/>
  <c r="N3686" i="1"/>
  <c r="M3687" i="1"/>
  <c r="N3687" i="1" s="1"/>
  <c r="M3690" i="1"/>
  <c r="N3690" i="1" s="1"/>
  <c r="M3691" i="1"/>
  <c r="N3691" i="1" s="1"/>
  <c r="M3692" i="1"/>
  <c r="N3692" i="1" s="1"/>
  <c r="M3693" i="1"/>
  <c r="N3693" i="1" s="1"/>
  <c r="M3694" i="1"/>
  <c r="N3694" i="1" s="1"/>
  <c r="M3695" i="1"/>
  <c r="N3695" i="1" s="1"/>
  <c r="M3696" i="1"/>
  <c r="N3696" i="1" s="1"/>
  <c r="M3697" i="1"/>
  <c r="N3697" i="1" s="1"/>
  <c r="M3698" i="1"/>
  <c r="N3698" i="1"/>
  <c r="M3699" i="1"/>
  <c r="N3699" i="1" s="1"/>
  <c r="M3700" i="1"/>
  <c r="N3700" i="1" s="1"/>
  <c r="M3701" i="1"/>
  <c r="N3701" i="1" s="1"/>
  <c r="M3702" i="1"/>
  <c r="N3702" i="1" s="1"/>
  <c r="M3703" i="1"/>
  <c r="N3703" i="1" s="1"/>
  <c r="M3705" i="1"/>
  <c r="N3705" i="1" s="1"/>
  <c r="M3706" i="1"/>
  <c r="N3706" i="1" s="1"/>
  <c r="M3707" i="1"/>
  <c r="N3707" i="1" s="1"/>
  <c r="M3708" i="1"/>
  <c r="N3708" i="1" s="1"/>
  <c r="N3709" i="1"/>
  <c r="N3710" i="1"/>
  <c r="N3711" i="1"/>
  <c r="N3712" i="1"/>
  <c r="M3713" i="1"/>
  <c r="N3713" i="1" s="1"/>
  <c r="M3714" i="1"/>
  <c r="N3714" i="1" s="1"/>
  <c r="M3715" i="1"/>
  <c r="N3715" i="1" s="1"/>
  <c r="M3716" i="1"/>
  <c r="N3716" i="1" s="1"/>
  <c r="M3717" i="1"/>
  <c r="N3717" i="1" s="1"/>
  <c r="M3718" i="1"/>
  <c r="N3718" i="1" s="1"/>
  <c r="M3719" i="1"/>
  <c r="N3719" i="1" s="1"/>
  <c r="M3720" i="1"/>
  <c r="N3720" i="1" s="1"/>
  <c r="M3721" i="1"/>
  <c r="N3721" i="1" s="1"/>
  <c r="M3722" i="1"/>
  <c r="N3722" i="1" s="1"/>
  <c r="M3723" i="1"/>
  <c r="N3723" i="1" s="1"/>
  <c r="M3724" i="1"/>
  <c r="N3724" i="1" s="1"/>
  <c r="M3726" i="1"/>
  <c r="N3726" i="1" s="1"/>
  <c r="M3727" i="1"/>
  <c r="N3727" i="1" s="1"/>
  <c r="M3728" i="1"/>
  <c r="N3728" i="1" s="1"/>
  <c r="M3729" i="1"/>
  <c r="N3729" i="1" s="1"/>
  <c r="M3730" i="1"/>
  <c r="N3730" i="1" s="1"/>
  <c r="M3731" i="1"/>
  <c r="N3731" i="1" s="1"/>
  <c r="M3733" i="1"/>
  <c r="N3733" i="1" s="1"/>
  <c r="M3734" i="1"/>
  <c r="N3734" i="1" s="1"/>
  <c r="M3736" i="1"/>
  <c r="N3736" i="1" s="1"/>
  <c r="M3737" i="1"/>
  <c r="N3737" i="1" s="1"/>
  <c r="M3738" i="1"/>
  <c r="N3738" i="1" s="1"/>
  <c r="M3739" i="1"/>
  <c r="N3739" i="1" s="1"/>
  <c r="M3740" i="1"/>
  <c r="N3740" i="1" s="1"/>
  <c r="M3744" i="1"/>
  <c r="N3744" i="1" s="1"/>
  <c r="M3745" i="1"/>
  <c r="N3745" i="1" s="1"/>
  <c r="M3746" i="1"/>
  <c r="N3746" i="1" s="1"/>
  <c r="M3747" i="1"/>
  <c r="N3747" i="1" s="1"/>
  <c r="M3748" i="1"/>
  <c r="N3748" i="1" s="1"/>
  <c r="M3749" i="1"/>
  <c r="N3749" i="1" s="1"/>
  <c r="M3750" i="1"/>
  <c r="N3750" i="1" s="1"/>
  <c r="M3751" i="1"/>
  <c r="N3751" i="1" s="1"/>
  <c r="M3752" i="1"/>
  <c r="N3752" i="1"/>
  <c r="M3753" i="1"/>
  <c r="N3753" i="1" s="1"/>
  <c r="M3754" i="1"/>
  <c r="N3754" i="1" s="1"/>
  <c r="M3755" i="1"/>
  <c r="N3755" i="1" s="1"/>
  <c r="M3756" i="1"/>
  <c r="N3756" i="1" s="1"/>
  <c r="M3757" i="1"/>
  <c r="N3757" i="1" s="1"/>
  <c r="M3758" i="1"/>
  <c r="N3758" i="1" s="1"/>
  <c r="M3759" i="1"/>
  <c r="N3759" i="1" s="1"/>
  <c r="M3760" i="1"/>
  <c r="N3760" i="1" s="1"/>
  <c r="M3761" i="1"/>
  <c r="N3761" i="1" s="1"/>
  <c r="M3762" i="1"/>
  <c r="N3762" i="1" s="1"/>
  <c r="M3763" i="1"/>
  <c r="N3763" i="1" s="1"/>
  <c r="M3764" i="1"/>
  <c r="N3764" i="1" s="1"/>
  <c r="M3766" i="1"/>
  <c r="N3766" i="1" s="1"/>
  <c r="M3767" i="1"/>
  <c r="N3767" i="1" s="1"/>
  <c r="M3768" i="1"/>
  <c r="N3768" i="1" s="1"/>
  <c r="M3769" i="1"/>
  <c r="N3769" i="1" s="1"/>
  <c r="M3770" i="1"/>
  <c r="N3770" i="1" s="1"/>
  <c r="M3771" i="1"/>
  <c r="N3771" i="1" s="1"/>
  <c r="M3772" i="1"/>
  <c r="N3772" i="1" s="1"/>
  <c r="M3773" i="1"/>
  <c r="N3773" i="1" s="1"/>
  <c r="M3774" i="1"/>
  <c r="N3774" i="1" s="1"/>
  <c r="M3775" i="1"/>
  <c r="N3775" i="1" s="1"/>
  <c r="M3776" i="1"/>
  <c r="N3776" i="1" s="1"/>
  <c r="M3777" i="1"/>
  <c r="N3777" i="1" s="1"/>
  <c r="M3778" i="1"/>
  <c r="N3778" i="1" s="1"/>
  <c r="M3779" i="1"/>
  <c r="N3779" i="1" s="1"/>
  <c r="M3780" i="1"/>
  <c r="N3780" i="1" s="1"/>
  <c r="M3781" i="1"/>
  <c r="N3781" i="1" s="1"/>
  <c r="M3782" i="1"/>
  <c r="N3782" i="1" s="1"/>
  <c r="M3783" i="1"/>
  <c r="N3783" i="1" s="1"/>
  <c r="M3784" i="1"/>
  <c r="N3784" i="1" s="1"/>
  <c r="M3785" i="1"/>
  <c r="N3785" i="1" s="1"/>
  <c r="M3786" i="1"/>
  <c r="N3786" i="1" s="1"/>
  <c r="M3787" i="1"/>
  <c r="N3787" i="1" s="1"/>
  <c r="M3788" i="1"/>
  <c r="N3788" i="1" s="1"/>
  <c r="M3789" i="1"/>
  <c r="N3789" i="1" s="1"/>
  <c r="M3790" i="1"/>
  <c r="N3790" i="1" s="1"/>
  <c r="M3791" i="1"/>
  <c r="N3791" i="1" s="1"/>
  <c r="M3793" i="1"/>
  <c r="N3793" i="1" s="1"/>
  <c r="M3794" i="1"/>
  <c r="N3794" i="1" s="1"/>
  <c r="M3795" i="1"/>
  <c r="N3795" i="1" s="1"/>
  <c r="M3796" i="1"/>
  <c r="N3796" i="1"/>
  <c r="M3797" i="1"/>
  <c r="N3797" i="1" s="1"/>
  <c r="M3798" i="1"/>
  <c r="N3798" i="1" s="1"/>
  <c r="M3799" i="1"/>
  <c r="N3799" i="1"/>
  <c r="M3800" i="1"/>
  <c r="N3800" i="1" s="1"/>
  <c r="M3801" i="1"/>
  <c r="N3801" i="1" s="1"/>
  <c r="M3802" i="1"/>
  <c r="N3802" i="1" s="1"/>
  <c r="M3803" i="1"/>
  <c r="N3803" i="1" s="1"/>
  <c r="M3682" i="1"/>
  <c r="N3682" i="1" s="1"/>
  <c r="N3586" i="1"/>
  <c r="N3596" i="1"/>
  <c r="N3597" i="1"/>
  <c r="N3598" i="1"/>
  <c r="N3587" i="1"/>
  <c r="N3588" i="1"/>
  <c r="N3589" i="1"/>
  <c r="N3590" i="1"/>
  <c r="N3591" i="1"/>
  <c r="N3592" i="1"/>
  <c r="N3593" i="1"/>
  <c r="N3594" i="1"/>
  <c r="N3595" i="1"/>
  <c r="N3599" i="1"/>
  <c r="N3577" i="1"/>
  <c r="N3578" i="1"/>
  <c r="N3585" i="1"/>
  <c r="N3550" i="1"/>
  <c r="N3551" i="1"/>
  <c r="N3552" i="1"/>
  <c r="N3553" i="1"/>
  <c r="N3530" i="1"/>
  <c r="N3529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510" i="1"/>
  <c r="N3511" i="1"/>
  <c r="N3512" i="1"/>
  <c r="N3509" i="1"/>
  <c r="N3508" i="1"/>
  <c r="N3507" i="1"/>
  <c r="N3506" i="1"/>
  <c r="N3505" i="1"/>
  <c r="N3504" i="1"/>
  <c r="N3503" i="1"/>
  <c r="N3502" i="1"/>
  <c r="N3495" i="1"/>
  <c r="N3496" i="1"/>
  <c r="N3497" i="1"/>
  <c r="N3498" i="1"/>
  <c r="N3499" i="1"/>
  <c r="N3500" i="1"/>
  <c r="N3501" i="1"/>
  <c r="N3491" i="1"/>
  <c r="N3492" i="1"/>
  <c r="N3493" i="1"/>
  <c r="N3494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67" i="1"/>
  <c r="N3466" i="1"/>
  <c r="N3465" i="1"/>
  <c r="N3464" i="1"/>
  <c r="N3459" i="1"/>
  <c r="N3460" i="1"/>
  <c r="N3461" i="1"/>
  <c r="N3462" i="1"/>
  <c r="N3463" i="1"/>
  <c r="N3468" i="1"/>
  <c r="N3469" i="1"/>
  <c r="N3470" i="1"/>
  <c r="N3471" i="1"/>
  <c r="N3472" i="1"/>
  <c r="N3473" i="1"/>
  <c r="N3474" i="1"/>
  <c r="N3475" i="1"/>
  <c r="N3476" i="1"/>
  <c r="N3477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27" i="1"/>
  <c r="N3424" i="1"/>
  <c r="N3423" i="1"/>
  <c r="N3422" i="1"/>
  <c r="N3420" i="1"/>
  <c r="N3415" i="1"/>
  <c r="N3417" i="1"/>
  <c r="N3416" i="1"/>
  <c r="N3414" i="1"/>
  <c r="N3412" i="1"/>
  <c r="N3413" i="1"/>
  <c r="N3421" i="1"/>
  <c r="N3425" i="1"/>
  <c r="N3426" i="1"/>
  <c r="N3428" i="1"/>
  <c r="N3429" i="1"/>
  <c r="N3430" i="1"/>
  <c r="N3408" i="1"/>
  <c r="N3409" i="1"/>
  <c r="N3410" i="1"/>
  <c r="N3411" i="1"/>
  <c r="N3418" i="1"/>
  <c r="N3419" i="1"/>
  <c r="N3404" i="1"/>
  <c r="N3405" i="1"/>
  <c r="N3406" i="1"/>
  <c r="N3407" i="1"/>
  <c r="N3399" i="1"/>
  <c r="N3400" i="1"/>
  <c r="N3401" i="1"/>
  <c r="N3402" i="1"/>
  <c r="N3403" i="1"/>
  <c r="N3388" i="1"/>
  <c r="N3389" i="1"/>
  <c r="N3390" i="1"/>
  <c r="N3391" i="1"/>
  <c r="N3392" i="1"/>
  <c r="N3393" i="1"/>
  <c r="N3394" i="1"/>
  <c r="N3395" i="1"/>
  <c r="N3396" i="1"/>
  <c r="N3397" i="1"/>
  <c r="N3398" i="1"/>
  <c r="N3381" i="1"/>
  <c r="N3382" i="1"/>
  <c r="N3383" i="1"/>
  <c r="N3384" i="1"/>
  <c r="N3385" i="1"/>
  <c r="N3386" i="1"/>
  <c r="N3387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68" i="1"/>
  <c r="N3367" i="1"/>
  <c r="N3366" i="1"/>
  <c r="N3365" i="1"/>
  <c r="N3364" i="1"/>
  <c r="N3363" i="1"/>
  <c r="N3362" i="1"/>
  <c r="N3361" i="1"/>
  <c r="N3360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36" i="1"/>
  <c r="N3344" i="1"/>
  <c r="N3343" i="1"/>
  <c r="N3342" i="1"/>
  <c r="N3339" i="1"/>
  <c r="N3338" i="1"/>
  <c r="N3359" i="1"/>
  <c r="N3358" i="1"/>
  <c r="N3357" i="1"/>
  <c r="N3318" i="1"/>
  <c r="N3319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37" i="1"/>
  <c r="N3340" i="1"/>
  <c r="N3341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286" i="1"/>
  <c r="N3285" i="1"/>
  <c r="N3283" i="1"/>
  <c r="N3284" i="1"/>
  <c r="N3278" i="1"/>
  <c r="N3277" i="1"/>
  <c r="N3276" i="1"/>
  <c r="N3275" i="1"/>
  <c r="N3274" i="1"/>
  <c r="N3273" i="1"/>
  <c r="N3282" i="1"/>
  <c r="N3281" i="1"/>
  <c r="N3280" i="1"/>
  <c r="N3279" i="1"/>
  <c r="N3271" i="1"/>
  <c r="N3270" i="1"/>
  <c r="N3269" i="1"/>
  <c r="N3267" i="1"/>
  <c r="N3260" i="1"/>
  <c r="N3261" i="1"/>
  <c r="N3262" i="1"/>
  <c r="N3263" i="1"/>
  <c r="N3264" i="1"/>
  <c r="N3265" i="1"/>
  <c r="N3266" i="1"/>
  <c r="N3268" i="1"/>
  <c r="N3272" i="1"/>
  <c r="N3215" i="1"/>
  <c r="N3216" i="1"/>
  <c r="N3217" i="1"/>
  <c r="N3218" i="1"/>
  <c r="N3219" i="1"/>
  <c r="N3220" i="1"/>
  <c r="N3221" i="1"/>
  <c r="N3222" i="1"/>
  <c r="N3235" i="1"/>
  <c r="N3236" i="1"/>
  <c r="N3237" i="1"/>
  <c r="N3238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7" i="1"/>
  <c r="N3188" i="1"/>
  <c r="N3168" i="1"/>
  <c r="N3163" i="1"/>
  <c r="N3162" i="1"/>
  <c r="N3151" i="1"/>
  <c r="N3152" i="1"/>
  <c r="N3153" i="1"/>
  <c r="N3154" i="1"/>
  <c r="N3157" i="1"/>
  <c r="N3158" i="1"/>
  <c r="N3159" i="1"/>
  <c r="N3155" i="1"/>
  <c r="N3156" i="1"/>
  <c r="N3160" i="1"/>
  <c r="N3161" i="1"/>
  <c r="N3164" i="1"/>
  <c r="N3165" i="1"/>
  <c r="N3166" i="1"/>
  <c r="N3167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49" i="1"/>
  <c r="N3150" i="1"/>
  <c r="N3148" i="1"/>
  <c r="N3146" i="1"/>
  <c r="N3147" i="1"/>
  <c r="N3142" i="1"/>
  <c r="N3141" i="1"/>
  <c r="N3123" i="1"/>
  <c r="N3120" i="1"/>
  <c r="N3121" i="1"/>
  <c r="N3122" i="1"/>
  <c r="N3124" i="1"/>
  <c r="N3125" i="1"/>
  <c r="N3126" i="1"/>
  <c r="N3127" i="1"/>
  <c r="N3128" i="1"/>
  <c r="N3129" i="1"/>
  <c r="N3130" i="1"/>
  <c r="N2692" i="1"/>
  <c r="N3131" i="1"/>
  <c r="N3132" i="1"/>
  <c r="N3133" i="1"/>
  <c r="N3134" i="1"/>
  <c r="N3135" i="1"/>
  <c r="N3136" i="1"/>
  <c r="N3137" i="1"/>
  <c r="N3138" i="1"/>
  <c r="N3139" i="1"/>
  <c r="N3140" i="1"/>
  <c r="N3143" i="1"/>
  <c r="N3144" i="1"/>
  <c r="N3145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070" i="1"/>
  <c r="N3071" i="1"/>
  <c r="N3072" i="1"/>
  <c r="N3073" i="1"/>
  <c r="N3074" i="1"/>
  <c r="N3075" i="1"/>
  <c r="N3076" i="1"/>
  <c r="N3077" i="1"/>
  <c r="N3078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12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08" i="1"/>
  <c r="N2904" i="1"/>
  <c r="N2905" i="1"/>
  <c r="N2906" i="1"/>
  <c r="N2907" i="1"/>
  <c r="N2909" i="1"/>
  <c r="N2910" i="1"/>
  <c r="N2911" i="1"/>
  <c r="N2912" i="1"/>
  <c r="N2913" i="1"/>
  <c r="N2914" i="1"/>
  <c r="N2915" i="1"/>
  <c r="N2916" i="1"/>
  <c r="N2917" i="1"/>
  <c r="N2918" i="1"/>
  <c r="N2898" i="1"/>
  <c r="N2901" i="1"/>
  <c r="N2902" i="1"/>
  <c r="N2903" i="1"/>
  <c r="N2892" i="1"/>
  <c r="N2893" i="1"/>
  <c r="N2887" i="1"/>
  <c r="N2889" i="1"/>
  <c r="N2890" i="1"/>
  <c r="N2891" i="1"/>
  <c r="N2894" i="1"/>
  <c r="N2895" i="1"/>
  <c r="N2896" i="1"/>
  <c r="N2897" i="1"/>
  <c r="N2899" i="1"/>
  <c r="N2900" i="1"/>
  <c r="N2878" i="1"/>
  <c r="N2879" i="1"/>
  <c r="N2871" i="1"/>
  <c r="N2872" i="1"/>
  <c r="N2873" i="1"/>
  <c r="N2874" i="1"/>
  <c r="N2880" i="1"/>
  <c r="N2881" i="1"/>
  <c r="N2882" i="1"/>
  <c r="N2883" i="1"/>
  <c r="N2884" i="1"/>
  <c r="N2885" i="1"/>
  <c r="N2886" i="1"/>
  <c r="N2888" i="1"/>
  <c r="N2877" i="1"/>
  <c r="N2876" i="1"/>
  <c r="N2875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31" i="1"/>
  <c r="N2832" i="1"/>
  <c r="N2833" i="1"/>
  <c r="N2834" i="1"/>
  <c r="N2835" i="1"/>
  <c r="N2836" i="1"/>
  <c r="N2830" i="1"/>
  <c r="N2841" i="1"/>
  <c r="N2842" i="1"/>
  <c r="N2829" i="1"/>
  <c r="N2848" i="1"/>
  <c r="N2849" i="1"/>
  <c r="N2845" i="1"/>
  <c r="N2846" i="1"/>
  <c r="N2847" i="1"/>
  <c r="N2840" i="1"/>
  <c r="N2852" i="1"/>
  <c r="N2837" i="1"/>
  <c r="N2838" i="1"/>
  <c r="N2839" i="1"/>
  <c r="N2851" i="1"/>
  <c r="N2850" i="1"/>
  <c r="N2844" i="1"/>
  <c r="N2843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09" i="1"/>
  <c r="N2810" i="1"/>
  <c r="N2811" i="1"/>
  <c r="N2812" i="1"/>
  <c r="N2813" i="1"/>
  <c r="N2814" i="1"/>
  <c r="N2815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6" i="1"/>
  <c r="N2765" i="1"/>
  <c r="N2764" i="1"/>
  <c r="N2763" i="1"/>
  <c r="N2762" i="1"/>
  <c r="N2761" i="1"/>
  <c r="N2760" i="1"/>
  <c r="N2759" i="1"/>
  <c r="N2767" i="1"/>
  <c r="N2758" i="1"/>
  <c r="N2757" i="1"/>
  <c r="N2756" i="1"/>
  <c r="N2755" i="1"/>
  <c r="N2754" i="1"/>
  <c r="N2753" i="1"/>
  <c r="N2752" i="1"/>
  <c r="N2751" i="1"/>
  <c r="N2750" i="1"/>
  <c r="N2747" i="1"/>
  <c r="N2744" i="1"/>
  <c r="N2749" i="1"/>
  <c r="N2748" i="1"/>
  <c r="N2746" i="1"/>
  <c r="N2745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668" i="1"/>
  <c r="N2701" i="1"/>
  <c r="N2700" i="1"/>
  <c r="N2649" i="1"/>
  <c r="N2648" i="1"/>
  <c r="N2699" i="1"/>
  <c r="N2698" i="1"/>
  <c r="N2697" i="1"/>
  <c r="N2696" i="1"/>
  <c r="N2695" i="1"/>
  <c r="N2694" i="1"/>
  <c r="N2693" i="1"/>
  <c r="N2688" i="1"/>
  <c r="N2689" i="1"/>
  <c r="N2690" i="1"/>
  <c r="N2691" i="1"/>
  <c r="N2687" i="1"/>
  <c r="N2686" i="1"/>
  <c r="N2685" i="1"/>
  <c r="N2684" i="1"/>
  <c r="N2683" i="1"/>
  <c r="N2682" i="1"/>
  <c r="N2681" i="1"/>
  <c r="N2680" i="1"/>
  <c r="N2679" i="1"/>
  <c r="N2675" i="1"/>
  <c r="N2676" i="1"/>
  <c r="N2677" i="1"/>
  <c r="N2678" i="1"/>
  <c r="N2674" i="1"/>
  <c r="N2670" i="1"/>
  <c r="N2673" i="1"/>
  <c r="N2672" i="1"/>
  <c r="N2671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4" i="1"/>
  <c r="N2653" i="1"/>
  <c r="N2655" i="1"/>
  <c r="N2652" i="1"/>
  <c r="N2651" i="1"/>
  <c r="N2650" i="1"/>
  <c r="N2647" i="1"/>
  <c r="N2646" i="1"/>
  <c r="N2645" i="1"/>
  <c r="N2644" i="1"/>
  <c r="N2640" i="1"/>
  <c r="N2639" i="1"/>
  <c r="N2643" i="1"/>
  <c r="N2642" i="1"/>
  <c r="N2641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0" i="1"/>
  <c r="N2588" i="1"/>
  <c r="N2585" i="1"/>
  <c r="N2583" i="1"/>
  <c r="N2581" i="1"/>
  <c r="N2580" i="1"/>
  <c r="N2576" i="1"/>
  <c r="N2577" i="1"/>
  <c r="N2578" i="1"/>
  <c r="N2579" i="1"/>
  <c r="N2582" i="1"/>
  <c r="N2584" i="1"/>
  <c r="N2587" i="1"/>
  <c r="N2586" i="1"/>
  <c r="N2589" i="1"/>
  <c r="N2591" i="1"/>
  <c r="N2592" i="1"/>
  <c r="N2593" i="1"/>
  <c r="N2594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58" i="1"/>
  <c r="N2548" i="1"/>
  <c r="N2547" i="1"/>
  <c r="N2546" i="1"/>
  <c r="N2557" i="1"/>
  <c r="N2556" i="1"/>
  <c r="N2555" i="1"/>
  <c r="N2554" i="1"/>
  <c r="N2553" i="1"/>
  <c r="N2552" i="1"/>
  <c r="N2551" i="1"/>
  <c r="N2550" i="1"/>
  <c r="N2549" i="1"/>
  <c r="N2545" i="1"/>
  <c r="N2544" i="1"/>
  <c r="N2543" i="1"/>
  <c r="N2542" i="1"/>
  <c r="N2541" i="1"/>
  <c r="N2540" i="1"/>
  <c r="N2539" i="1"/>
  <c r="N2538" i="1"/>
  <c r="N2534" i="1"/>
  <c r="N2535" i="1"/>
  <c r="N2536" i="1"/>
  <c r="N2537" i="1"/>
  <c r="N2533" i="1"/>
  <c r="N2532" i="1"/>
  <c r="N2531" i="1"/>
  <c r="N2530" i="1"/>
  <c r="N2529" i="1"/>
  <c r="N2528" i="1"/>
  <c r="N2527" i="1"/>
  <c r="N2526" i="1"/>
  <c r="N2525" i="1"/>
  <c r="N2524" i="1"/>
  <c r="N2521" i="1"/>
  <c r="N2523" i="1"/>
  <c r="N2520" i="1"/>
  <c r="N2519" i="1"/>
  <c r="N2518" i="1"/>
  <c r="N2517" i="1"/>
  <c r="N2516" i="1"/>
  <c r="N2515" i="1"/>
  <c r="N2514" i="1"/>
  <c r="N2513" i="1"/>
  <c r="N2511" i="1"/>
  <c r="N2510" i="1"/>
  <c r="N2522" i="1"/>
  <c r="N2509" i="1"/>
  <c r="N2508" i="1"/>
  <c r="N2507" i="1"/>
  <c r="N2512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64" i="1"/>
  <c r="N2480" i="1"/>
  <c r="N2479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66" i="1"/>
  <c r="N2465" i="1"/>
  <c r="N2463" i="1"/>
  <c r="N2462" i="1"/>
  <c r="N2461" i="1"/>
  <c r="N2460" i="1"/>
  <c r="N2459" i="1"/>
  <c r="N2458" i="1"/>
  <c r="N2457" i="1"/>
  <c r="N2456" i="1"/>
  <c r="N2455" i="1"/>
  <c r="N2454" i="1"/>
  <c r="N2452" i="1"/>
  <c r="N2451" i="1"/>
  <c r="N2453" i="1"/>
  <c r="N2450" i="1"/>
  <c r="N2449" i="1"/>
  <c r="N2446" i="1"/>
  <c r="N2448" i="1"/>
  <c r="N2447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7" i="1"/>
  <c r="N2376" i="1"/>
  <c r="N2379" i="1"/>
  <c r="N2378" i="1"/>
  <c r="N2375" i="1"/>
  <c r="N2374" i="1"/>
  <c r="N2373" i="1"/>
  <c r="N2372" i="1"/>
  <c r="N2371" i="1"/>
  <c r="N2370" i="1"/>
  <c r="N2369" i="1"/>
  <c r="N2367" i="1"/>
  <c r="N2368" i="1"/>
  <c r="N2366" i="1"/>
  <c r="N2365" i="1"/>
  <c r="N2364" i="1"/>
  <c r="N2363" i="1"/>
  <c r="N2362" i="1"/>
  <c r="N2361" i="1"/>
  <c r="N2360" i="1"/>
  <c r="N2357" i="1"/>
  <c r="N2356" i="1"/>
  <c r="N2355" i="1"/>
  <c r="N2354" i="1"/>
  <c r="N2358" i="1"/>
  <c r="N2359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18" i="1"/>
  <c r="N2222" i="1"/>
  <c r="N2221" i="1"/>
  <c r="N2220" i="1"/>
  <c r="N2219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83" i="1"/>
  <c r="N2197" i="1"/>
  <c r="N2198" i="1"/>
  <c r="N2196" i="1"/>
  <c r="N2195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94" i="1"/>
  <c r="N2193" i="1"/>
  <c r="N2192" i="1"/>
  <c r="N2191" i="1"/>
  <c r="N2190" i="1"/>
  <c r="N2189" i="1"/>
  <c r="N2188" i="1"/>
  <c r="N2187" i="1"/>
  <c r="N2186" i="1"/>
  <c r="N2185" i="1"/>
  <c r="N2184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38" i="1"/>
  <c r="N2137" i="1"/>
  <c r="N2136" i="1"/>
  <c r="N2144" i="1"/>
  <c r="N2143" i="1"/>
  <c r="N2142" i="1"/>
  <c r="N2141" i="1"/>
  <c r="N2140" i="1"/>
  <c r="N2139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110" i="1"/>
  <c r="N2096" i="1"/>
  <c r="N2095" i="1"/>
  <c r="N2097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54" i="1"/>
  <c r="N2053" i="1"/>
  <c r="N2052" i="1"/>
  <c r="N2051" i="1"/>
  <c r="N2050" i="1"/>
  <c r="N2049" i="1"/>
  <c r="N2060" i="1"/>
  <c r="N2059" i="1"/>
  <c r="N2058" i="1"/>
  <c r="N2057" i="1"/>
  <c r="N2056" i="1"/>
  <c r="N2055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1562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47" i="1"/>
  <c r="N1955" i="1"/>
  <c r="N1954" i="1"/>
  <c r="N1953" i="1"/>
  <c r="N1952" i="1"/>
  <c r="N1951" i="1"/>
  <c r="N1950" i="1"/>
  <c r="N1949" i="1"/>
  <c r="N1948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88" i="1"/>
  <c r="N1891" i="1"/>
  <c r="N1890" i="1"/>
  <c r="N1889" i="1"/>
  <c r="N1887" i="1"/>
  <c r="N1886" i="1"/>
  <c r="N1885" i="1"/>
  <c r="N1884" i="1"/>
  <c r="N1867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08" i="1"/>
  <c r="N1807" i="1"/>
  <c r="N1806" i="1"/>
  <c r="N1805" i="1"/>
  <c r="N1804" i="1"/>
  <c r="N1803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59" i="1"/>
  <c r="N1758" i="1"/>
  <c r="N1757" i="1"/>
  <c r="N1756" i="1"/>
  <c r="N1755" i="1"/>
  <c r="N1754" i="1"/>
  <c r="N1753" i="1"/>
  <c r="N1752" i="1"/>
  <c r="N1751" i="1"/>
  <c r="N1750" i="1"/>
  <c r="N1761" i="1"/>
  <c r="N176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09" i="1"/>
  <c r="N1708" i="1"/>
  <c r="N1707" i="1"/>
  <c r="N1712" i="1"/>
  <c r="N1711" i="1"/>
  <c r="N1710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L1591" i="1"/>
  <c r="N1591" i="1" s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L1576" i="1"/>
  <c r="N1576" i="1" s="1"/>
  <c r="N1575" i="1"/>
  <c r="N1574" i="1"/>
  <c r="N1573" i="1"/>
  <c r="N1571" i="1"/>
  <c r="N1570" i="1"/>
  <c r="N1569" i="1"/>
  <c r="N1568" i="1"/>
  <c r="N1567" i="1"/>
  <c r="N1566" i="1"/>
  <c r="N1565" i="1"/>
  <c r="N1564" i="1"/>
  <c r="N1572" i="1"/>
  <c r="N1563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0" i="1"/>
  <c r="N1446" i="1"/>
  <c r="N1445" i="1"/>
  <c r="N1444" i="1"/>
  <c r="N1443" i="1"/>
  <c r="N1442" i="1"/>
  <c r="N1441" i="1"/>
  <c r="N1439" i="1"/>
  <c r="N1438" i="1"/>
  <c r="N1437" i="1"/>
  <c r="N1436" i="1"/>
  <c r="N1434" i="1"/>
  <c r="N1433" i="1"/>
  <c r="N1432" i="1"/>
  <c r="N1431" i="1"/>
  <c r="N1430" i="1"/>
  <c r="N1429" i="1"/>
  <c r="N1428" i="1"/>
  <c r="N1427" i="1"/>
  <c r="N1426" i="1"/>
  <c r="N1425" i="1"/>
  <c r="N1424" i="1"/>
  <c r="N1417" i="1"/>
  <c r="N1418" i="1"/>
  <c r="N1419" i="1"/>
  <c r="N1420" i="1"/>
  <c r="N1421" i="1"/>
  <c r="N1422" i="1"/>
  <c r="N1423" i="1"/>
  <c r="N1416" i="1"/>
  <c r="N1435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090" i="1"/>
  <c r="N1089" i="1"/>
  <c r="N1106" i="1"/>
  <c r="N1109" i="1"/>
  <c r="N1108" i="1"/>
  <c r="N1107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6" i="1"/>
  <c r="N995" i="1"/>
  <c r="N994" i="1"/>
  <c r="N993" i="1"/>
  <c r="N992" i="1"/>
  <c r="N991" i="1"/>
  <c r="N990" i="1"/>
  <c r="N989" i="1"/>
  <c r="N998" i="1"/>
  <c r="N997" i="1"/>
  <c r="N988" i="1"/>
  <c r="N987" i="1"/>
  <c r="N986" i="1"/>
  <c r="N985" i="1"/>
  <c r="N984" i="1"/>
  <c r="N983" i="1"/>
  <c r="N977" i="1"/>
  <c r="N978" i="1"/>
  <c r="N979" i="1"/>
  <c r="N980" i="1"/>
  <c r="N981" i="1"/>
  <c r="N982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3" i="1"/>
  <c r="N864" i="1"/>
  <c r="N865" i="1"/>
  <c r="N866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1" i="1"/>
  <c r="N800" i="1"/>
  <c r="N799" i="1"/>
  <c r="N804" i="1"/>
  <c r="N803" i="1"/>
  <c r="N802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101" i="1"/>
  <c r="N102" i="1"/>
  <c r="N103" i="1"/>
  <c r="N10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200" i="1"/>
  <c r="N201" i="1"/>
  <c r="N202" i="1"/>
  <c r="N203" i="1"/>
  <c r="N204" i="1"/>
  <c r="N205" i="1"/>
  <c r="N206" i="1"/>
  <c r="N207" i="1"/>
  <c r="N199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387" i="1"/>
  <c r="N388" i="1"/>
  <c r="N418" i="1"/>
  <c r="N419" i="1"/>
  <c r="N420" i="1"/>
  <c r="N3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7" i="1"/>
  <c r="N578" i="1"/>
  <c r="N579" i="1"/>
  <c r="N580" i="1"/>
  <c r="N581" i="1"/>
  <c r="N582" i="1"/>
  <c r="N583" i="1"/>
  <c r="N584" i="1"/>
  <c r="N585" i="1"/>
  <c r="N586" i="1"/>
  <c r="N587" i="1"/>
  <c r="N572" i="1"/>
  <c r="N573" i="1"/>
  <c r="N574" i="1"/>
  <c r="N575" i="1"/>
  <c r="N576" i="1"/>
  <c r="N588" i="1"/>
  <c r="N589" i="1"/>
  <c r="N590" i="1"/>
  <c r="N591" i="1"/>
  <c r="N592" i="1"/>
  <c r="N593" i="1"/>
  <c r="N594" i="1"/>
  <c r="N595" i="1"/>
  <c r="N596" i="1"/>
  <c r="N597" i="1"/>
  <c r="N598" i="1"/>
  <c r="N604" i="1"/>
  <c r="N605" i="1"/>
  <c r="N606" i="1"/>
  <c r="N607" i="1"/>
  <c r="N608" i="1"/>
  <c r="N609" i="1"/>
  <c r="N599" i="1"/>
  <c r="N600" i="1"/>
  <c r="N601" i="1"/>
  <c r="N602" i="1"/>
  <c r="N603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L1" i="1" l="1"/>
  <c r="N1" i="1"/>
</calcChain>
</file>

<file path=xl/sharedStrings.xml><?xml version="1.0" encoding="utf-8"?>
<sst xmlns="http://schemas.openxmlformats.org/spreadsheetml/2006/main" count="26790" uniqueCount="1808">
  <si>
    <t>Clients</t>
  </si>
  <si>
    <t>Courtier</t>
  </si>
  <si>
    <t>Couleur</t>
  </si>
  <si>
    <t>Alma Cersius</t>
  </si>
  <si>
    <t>Castillo</t>
  </si>
  <si>
    <t>Blanc</t>
  </si>
  <si>
    <t xml:space="preserve">Amiel </t>
  </si>
  <si>
    <t>Cathala</t>
  </si>
  <si>
    <t>Rosé</t>
  </si>
  <si>
    <t>Badet Clément</t>
  </si>
  <si>
    <t>Ciatti</t>
  </si>
  <si>
    <t>Rouge</t>
  </si>
  <si>
    <t>Barton</t>
  </si>
  <si>
    <t>Claude Serra</t>
  </si>
  <si>
    <t>Orange</t>
  </si>
  <si>
    <t>Buxy</t>
  </si>
  <si>
    <t>DDM</t>
  </si>
  <si>
    <t>Castan</t>
  </si>
  <si>
    <t>Didier Saint Vigne</t>
  </si>
  <si>
    <t>Chapoutier</t>
  </si>
  <si>
    <t>Ferragut</t>
  </si>
  <si>
    <t>Friedmann</t>
  </si>
  <si>
    <t>Gilles Lambert</t>
  </si>
  <si>
    <t>Divino</t>
  </si>
  <si>
    <t>Gilles Louvet</t>
  </si>
  <si>
    <t>Domaine Vic</t>
  </si>
  <si>
    <t>JCS</t>
  </si>
  <si>
    <t>Duboeuf</t>
  </si>
  <si>
    <t>Jeanjean</t>
  </si>
  <si>
    <t>Foncalieu</t>
  </si>
  <si>
    <t>Lambert Gilles</t>
  </si>
  <si>
    <t>Frontignan</t>
  </si>
  <si>
    <t>Laurent Sauvage</t>
  </si>
  <si>
    <t>Garnier</t>
  </si>
  <si>
    <t>Murphy winecompany</t>
  </si>
  <si>
    <t>GCF La Baume</t>
  </si>
  <si>
    <t>Nicolas</t>
  </si>
  <si>
    <t>GCF Petersbach</t>
  </si>
  <si>
    <t>Olivier Castillo</t>
  </si>
  <si>
    <t>Raphaël Génaud</t>
  </si>
  <si>
    <t>Joseph Castan</t>
  </si>
  <si>
    <t>René Jeanjean</t>
  </si>
  <si>
    <t>Lacheteau</t>
  </si>
  <si>
    <t>Romain Duvernay</t>
  </si>
  <si>
    <t>Maison Chapoutier</t>
  </si>
  <si>
    <t>San Nicolas</t>
  </si>
  <si>
    <t>Montariol</t>
  </si>
  <si>
    <t>SP Wines</t>
  </si>
  <si>
    <t>Oenoterroir</t>
  </si>
  <si>
    <t>TWS</t>
  </si>
  <si>
    <t>Lurton</t>
  </si>
  <si>
    <t>V2W</t>
  </si>
  <si>
    <t>Paul Mas</t>
  </si>
  <si>
    <t>Vailhere Pascal</t>
  </si>
  <si>
    <t>So Vignerons</t>
  </si>
  <si>
    <t>WSC</t>
  </si>
  <si>
    <t>Bataillard</t>
  </si>
  <si>
    <t>-</t>
  </si>
  <si>
    <t>Boutinot</t>
  </si>
  <si>
    <t>Thomas Castet</t>
  </si>
  <si>
    <t>Castel</t>
  </si>
  <si>
    <t>Rgwine</t>
  </si>
  <si>
    <t>Celliers du Pic</t>
  </si>
  <si>
    <t>Celliers du Vent</t>
  </si>
  <si>
    <t>Colruyt</t>
  </si>
  <si>
    <t>DLM</t>
  </si>
  <si>
    <t>Domaine Auriol</t>
  </si>
  <si>
    <t>GCF Landiras</t>
  </si>
  <si>
    <t>Grand Terroir</t>
  </si>
  <si>
    <t>Hermansson &amp; co</t>
  </si>
  <si>
    <t>Jaboulet</t>
  </si>
  <si>
    <t>Mas la Chevalière</t>
  </si>
  <si>
    <t>Maison Idiart</t>
  </si>
  <si>
    <t>Martenot</t>
  </si>
  <si>
    <t>Mommessin</t>
  </si>
  <si>
    <t>Montrose</t>
  </si>
  <si>
    <t>Paul Sapin</t>
  </si>
  <si>
    <t>Saget</t>
  </si>
  <si>
    <t>Sieur d'Arques</t>
  </si>
  <si>
    <t>Skalli</t>
  </si>
  <si>
    <t>Solis</t>
  </si>
  <si>
    <t>Terroirs du Sud</t>
  </si>
  <si>
    <t>Transvin</t>
  </si>
  <si>
    <t>Mavericks</t>
  </si>
  <si>
    <t>Vallat</t>
  </si>
  <si>
    <t>Vignoble et compagnie</t>
  </si>
  <si>
    <t>WinePartners</t>
  </si>
  <si>
    <t>GVS</t>
  </si>
  <si>
    <t>Virgile Joly</t>
  </si>
  <si>
    <t>Mark and spencer</t>
  </si>
  <si>
    <t>Cantina Lunao Bosoni</t>
  </si>
  <si>
    <t>La Bulk</t>
  </si>
  <si>
    <t>De Villele</t>
  </si>
  <si>
    <t>Grandes Serres</t>
  </si>
  <si>
    <t xml:space="preserve">Yvan and co </t>
  </si>
  <si>
    <t>Sogrape</t>
  </si>
  <si>
    <t>Gérard Bertrand</t>
  </si>
  <si>
    <t>Divipro</t>
  </si>
  <si>
    <t>Sommelier's choice</t>
  </si>
  <si>
    <t>Chais du Sud</t>
  </si>
  <si>
    <t>Millésime</t>
  </si>
  <si>
    <t>Somme de Volume total (L)</t>
  </si>
  <si>
    <t>Étiquettes de colonnes</t>
  </si>
  <si>
    <t>Étiquettes de lignes</t>
  </si>
  <si>
    <t>Total général</t>
  </si>
  <si>
    <t>Castel Béziers</t>
  </si>
  <si>
    <t>Caves Garnier</t>
  </si>
  <si>
    <t>Charrin</t>
  </si>
  <si>
    <t>Gandia PLA</t>
  </si>
  <si>
    <t>GCF</t>
  </si>
  <si>
    <t>Grand Sud Vin</t>
  </si>
  <si>
    <t>Inconnu</t>
  </si>
  <si>
    <t>Jeantet-Laurent</t>
  </si>
  <si>
    <t>La Chevalière</t>
  </si>
  <si>
    <t>Moncigale</t>
  </si>
  <si>
    <t>Raphaël Michel</t>
  </si>
  <si>
    <t>Sanz-Gomez</t>
  </si>
  <si>
    <t>Vivelys</t>
  </si>
  <si>
    <t>Nombre de Volume total (L)</t>
  </si>
  <si>
    <t>Aldi Suisse</t>
  </si>
  <si>
    <t>Delhaize</t>
  </si>
  <si>
    <t>Domaine des Yeuses</t>
  </si>
  <si>
    <t>Gabriel Meffre</t>
  </si>
  <si>
    <t>Justamon</t>
  </si>
  <si>
    <t>Loron</t>
  </si>
  <si>
    <t>Monte-Bacco</t>
  </si>
  <si>
    <t>Rabovin</t>
  </si>
  <si>
    <t>Ranvier</t>
  </si>
  <si>
    <t xml:space="preserve">Bataillard </t>
  </si>
  <si>
    <t xml:space="preserve">Celliers du Vent </t>
  </si>
  <si>
    <t>Compagnons Récoltants</t>
  </si>
  <si>
    <t xml:space="preserve">France Brunel </t>
  </si>
  <si>
    <t xml:space="preserve">GCF </t>
  </si>
  <si>
    <t xml:space="preserve">GCF Landiras </t>
  </si>
  <si>
    <t xml:space="preserve">Gérard Bertrand </t>
  </si>
  <si>
    <t xml:space="preserve">Hermansson </t>
  </si>
  <si>
    <t xml:space="preserve">Jeanjean </t>
  </si>
  <si>
    <t xml:space="preserve">L.Sauvage </t>
  </si>
  <si>
    <t xml:space="preserve">La Bulk </t>
  </si>
  <si>
    <t xml:space="preserve">Laura Kavander : Finlande </t>
  </si>
  <si>
    <t>Maverick</t>
  </si>
  <si>
    <t xml:space="preserve">Mavericks </t>
  </si>
  <si>
    <t xml:space="preserve">Montrose </t>
  </si>
  <si>
    <t>Nicolas Gornes</t>
  </si>
  <si>
    <t xml:space="preserve">Ostal Cazes </t>
  </si>
  <si>
    <t xml:space="preserve">Peter Mertes </t>
  </si>
  <si>
    <t xml:space="preserve">Pierre Yves ? </t>
  </si>
  <si>
    <t xml:space="preserve">René Jeanjean </t>
  </si>
  <si>
    <t>Salon Suède</t>
  </si>
  <si>
    <t>Tds</t>
  </si>
  <si>
    <t xml:space="preserve">Thomas Castet </t>
  </si>
  <si>
    <t>Vargoz</t>
  </si>
  <si>
    <t xml:space="preserve">Vargoz </t>
  </si>
  <si>
    <t xml:space="preserve">Villebois </t>
  </si>
  <si>
    <t>Wine Fusion</t>
  </si>
  <si>
    <t xml:space="preserve">WSC </t>
  </si>
  <si>
    <t>Yvan and co</t>
  </si>
  <si>
    <t>Chardonnay</t>
  </si>
  <si>
    <t>Muscat</t>
  </si>
  <si>
    <t>Sauvignon</t>
  </si>
  <si>
    <t>Colombard</t>
  </si>
  <si>
    <t>Vermentino</t>
  </si>
  <si>
    <t>Chardonnay Viognier</t>
  </si>
  <si>
    <t xml:space="preserve">Chardonnay </t>
  </si>
  <si>
    <t xml:space="preserve">Viognier </t>
  </si>
  <si>
    <t>Sauvignon variétal</t>
  </si>
  <si>
    <t xml:space="preserve">Muscat </t>
  </si>
  <si>
    <t xml:space="preserve">Chardonnay Viognier </t>
  </si>
  <si>
    <t xml:space="preserve">Sauvignon </t>
  </si>
  <si>
    <t xml:space="preserve">Blanc trad </t>
  </si>
  <si>
    <t xml:space="preserve">Blanc trad/Ugny Blanc </t>
  </si>
  <si>
    <t xml:space="preserve">Sauvignon Supérieur </t>
  </si>
  <si>
    <t xml:space="preserve">Chardonnay  </t>
  </si>
  <si>
    <t xml:space="preserve">Piquepoul </t>
  </si>
  <si>
    <t xml:space="preserve">Vermentino </t>
  </si>
  <si>
    <t xml:space="preserve">Assemblage </t>
  </si>
  <si>
    <t>Roussanne Marsanne</t>
  </si>
  <si>
    <t>Cabernet</t>
  </si>
  <si>
    <t>Cinsault</t>
  </si>
  <si>
    <t>Merlot</t>
  </si>
  <si>
    <t>Syrah</t>
  </si>
  <si>
    <t>(vide)</t>
  </si>
  <si>
    <t>Grenache</t>
  </si>
  <si>
    <t>Générique</t>
  </si>
  <si>
    <t>Cap d'Agde Rosé</t>
  </si>
  <si>
    <t>Cinsault Rosé</t>
  </si>
  <si>
    <t xml:space="preserve">Merlot </t>
  </si>
  <si>
    <t>Nielluccio</t>
  </si>
  <si>
    <t>Syrah rosé</t>
  </si>
  <si>
    <t>Grenache rosé</t>
  </si>
  <si>
    <t xml:space="preserve">Syrah </t>
  </si>
  <si>
    <t>Merlot rosé</t>
  </si>
  <si>
    <t xml:space="preserve">Cinsault </t>
  </si>
  <si>
    <t xml:space="preserve">Grenache </t>
  </si>
  <si>
    <t>Nielluccio rosé</t>
  </si>
  <si>
    <t xml:space="preserve">Grenache rosé </t>
  </si>
  <si>
    <t>Caladoc</t>
  </si>
  <si>
    <t>Grenache rosé +</t>
  </si>
  <si>
    <t xml:space="preserve">Grenache rosé  </t>
  </si>
  <si>
    <t xml:space="preserve">Nielluccio </t>
  </si>
  <si>
    <t xml:space="preserve">Rosé trad </t>
  </si>
  <si>
    <t>Grenache +</t>
  </si>
  <si>
    <t>Francine 3</t>
  </si>
  <si>
    <t>Francine 2</t>
  </si>
  <si>
    <t>Arc-en-Ciel 2</t>
  </si>
  <si>
    <t>Arc-en-Ciel 3</t>
  </si>
  <si>
    <t>Syrah/Grenache</t>
  </si>
  <si>
    <t xml:space="preserve">Cinsault Rosé </t>
  </si>
  <si>
    <t>Gris de Gris</t>
  </si>
  <si>
    <t>Terre du Midi Rosé</t>
  </si>
  <si>
    <t xml:space="preserve">Cabernet </t>
  </si>
  <si>
    <t xml:space="preserve">Orange </t>
  </si>
  <si>
    <t xml:space="preserve">Oc Orange </t>
  </si>
  <si>
    <t xml:space="preserve">VDF Orange </t>
  </si>
  <si>
    <t xml:space="preserve">Orange+Muscat </t>
  </si>
  <si>
    <t>Analyses échantillons</t>
  </si>
  <si>
    <t>Date</t>
  </si>
  <si>
    <t>Cépage</t>
  </si>
  <si>
    <t>Qualité</t>
  </si>
  <si>
    <t>Cuve</t>
  </si>
  <si>
    <t>Volume présenté</t>
  </si>
  <si>
    <t>Réalisé</t>
  </si>
  <si>
    <t>Information complémentaire</t>
  </si>
  <si>
    <t>Nombre de bouteilles</t>
  </si>
  <si>
    <t>Volume échantillon (L)</t>
  </si>
  <si>
    <t>Volume total (L)</t>
  </si>
  <si>
    <t>ID</t>
  </si>
  <si>
    <t>CO2</t>
  </si>
  <si>
    <t>D</t>
  </si>
  <si>
    <t>TAV</t>
  </si>
  <si>
    <t>GF-5</t>
  </si>
  <si>
    <t>GF+5</t>
  </si>
  <si>
    <t>AT</t>
  </si>
  <si>
    <t>AV</t>
  </si>
  <si>
    <t>pH</t>
  </si>
  <si>
    <t>Malic</t>
  </si>
  <si>
    <t>ALac</t>
  </si>
  <si>
    <t>ATar</t>
  </si>
  <si>
    <t>SO2 Actif</t>
  </si>
  <si>
    <t>SO2 L</t>
  </si>
  <si>
    <t>SO2 T</t>
  </si>
  <si>
    <t>IPT</t>
  </si>
  <si>
    <t>TSat</t>
  </si>
  <si>
    <t>IC</t>
  </si>
  <si>
    <t>A420</t>
  </si>
  <si>
    <t>A520</t>
  </si>
  <si>
    <t>A620</t>
  </si>
  <si>
    <t>supérieur</t>
  </si>
  <si>
    <t>oui</t>
  </si>
  <si>
    <t>JC Simon</t>
  </si>
  <si>
    <t>flatteur</t>
  </si>
  <si>
    <t>Classique</t>
  </si>
  <si>
    <t>Variétal</t>
  </si>
  <si>
    <t>Supérieur</t>
  </si>
  <si>
    <t>riche</t>
  </si>
  <si>
    <t>Viognier</t>
  </si>
  <si>
    <t>hyper ox</t>
  </si>
  <si>
    <t>Petit degré</t>
  </si>
  <si>
    <t>Pas d'indication client</t>
  </si>
  <si>
    <t>Pinot Noir</t>
  </si>
  <si>
    <t>haut de cuve</t>
  </si>
  <si>
    <t>bas de cuve</t>
  </si>
  <si>
    <t>Terret</t>
  </si>
  <si>
    <t>Lot 3</t>
  </si>
  <si>
    <t>--</t>
  </si>
  <si>
    <t>profil expé</t>
  </si>
  <si>
    <t>Assemblage Agde</t>
  </si>
  <si>
    <t>Marsanne</t>
  </si>
  <si>
    <t>Assemblage Caves Garnier</t>
  </si>
  <si>
    <t>Base assemblage Chardonnay Garnier</t>
  </si>
  <si>
    <t>Base Oc Rosé 2015</t>
  </si>
  <si>
    <t>Jacques Woloviek</t>
  </si>
  <si>
    <t>Rosé générique</t>
  </si>
  <si>
    <t>Oc Rosé</t>
  </si>
  <si>
    <t>Base Oc Rosé 2016</t>
  </si>
  <si>
    <t>Hérault Rosé</t>
  </si>
  <si>
    <t>Base Hérault Rosé 2016</t>
  </si>
  <si>
    <t>1 - 1000 hL</t>
  </si>
  <si>
    <t>1000 hL</t>
  </si>
  <si>
    <t>2 - 1300 hL</t>
  </si>
  <si>
    <t>1300 hL</t>
  </si>
  <si>
    <t>3 - 1900 hL</t>
  </si>
  <si>
    <t>1900 hL</t>
  </si>
  <si>
    <t>209+206</t>
  </si>
  <si>
    <t>Standart</t>
  </si>
  <si>
    <t>Lot 100 hL solde Muscat</t>
  </si>
  <si>
    <t>Blend cuves Petit degré</t>
  </si>
  <si>
    <t>Roussanne</t>
  </si>
  <si>
    <t>Héraut Rouge</t>
  </si>
  <si>
    <t>voir assemblage sur fichier solde 2015</t>
  </si>
  <si>
    <t>Retravaillé novembre</t>
  </si>
  <si>
    <t>Retravaillé prix</t>
  </si>
  <si>
    <t>60 % Terret 40% Muscat</t>
  </si>
  <si>
    <t>Amiel</t>
  </si>
  <si>
    <t>Grenache Syrah</t>
  </si>
  <si>
    <t>80% - 20 %</t>
  </si>
  <si>
    <t>80% - 20%</t>
  </si>
  <si>
    <t>Alicante</t>
  </si>
  <si>
    <t>Ag152</t>
  </si>
  <si>
    <t>?</t>
  </si>
  <si>
    <t>Lot c.180 + c.195</t>
  </si>
  <si>
    <t>Présentation 195 seul</t>
  </si>
  <si>
    <t>rafraichi</t>
  </si>
  <si>
    <t>15% 424 - 85 % Vio sup 2016</t>
  </si>
  <si>
    <t>3 - 1600 hL</t>
  </si>
  <si>
    <t>Lot ADVINI</t>
  </si>
  <si>
    <t>Oc blanc</t>
  </si>
  <si>
    <t>Oc Blanc</t>
  </si>
  <si>
    <t>Thau blanc</t>
  </si>
  <si>
    <t>Lot GCF</t>
  </si>
  <si>
    <t>Piquepoul</t>
  </si>
  <si>
    <t>Base Piquepoul</t>
  </si>
  <si>
    <t>Base Sauvignon</t>
  </si>
  <si>
    <t>Lot Agde</t>
  </si>
  <si>
    <t>Solde bouteilles</t>
  </si>
  <si>
    <t>Lot tardif</t>
  </si>
  <si>
    <t>Lot PN</t>
  </si>
  <si>
    <t>Lot Cabernet</t>
  </si>
  <si>
    <t>Lot Merlot</t>
  </si>
  <si>
    <t>classique</t>
  </si>
  <si>
    <t>PN</t>
  </si>
  <si>
    <t>Lot Terret 2</t>
  </si>
  <si>
    <t>NP75</t>
  </si>
  <si>
    <t>Oc Rosé 2</t>
  </si>
  <si>
    <t>Oc Rosé 2 = Hérault Rosé</t>
  </si>
  <si>
    <t>Lot expérimental</t>
  </si>
  <si>
    <t>variétal</t>
  </si>
  <si>
    <t>Pasquetto</t>
  </si>
  <si>
    <t>Lot Solis 1</t>
  </si>
  <si>
    <t>Lot Solis 2</t>
  </si>
  <si>
    <t>Lot Solis 3</t>
  </si>
  <si>
    <t>Hérault Rosé + 50 g/hL acide tartrique</t>
  </si>
  <si>
    <t>MR</t>
  </si>
  <si>
    <t>CSR</t>
  </si>
  <si>
    <t xml:space="preserve">  + 4% Syrah Rosé</t>
  </si>
  <si>
    <t>Frais</t>
  </si>
  <si>
    <t>85 % 313 + 15% 189</t>
  </si>
  <si>
    <t>Lot Cinsault</t>
  </si>
  <si>
    <t>bouteille</t>
  </si>
  <si>
    <t>Ag301</t>
  </si>
  <si>
    <t>Cinsault/Grenache</t>
  </si>
  <si>
    <t>CF3</t>
  </si>
  <si>
    <t>Piquepoul/Sauvignon</t>
  </si>
  <si>
    <t>RT1</t>
  </si>
  <si>
    <t>80% 35 (Vio bt) + 20% 424</t>
  </si>
  <si>
    <t>RT2</t>
  </si>
  <si>
    <t>50% 424 + 50%315</t>
  </si>
  <si>
    <t>Maraval</t>
  </si>
  <si>
    <t>Lot Maraval Rosé</t>
  </si>
  <si>
    <t>RF2</t>
  </si>
  <si>
    <t>70% 45 + 30% 84</t>
  </si>
  <si>
    <t>RF3</t>
  </si>
  <si>
    <t>50% 63 + 50% 84</t>
  </si>
  <si>
    <t>FK10</t>
  </si>
  <si>
    <t>Lot JJ1</t>
  </si>
  <si>
    <t>Viognier Jeanjean</t>
  </si>
  <si>
    <t>Rosé Cap d'Agde</t>
  </si>
  <si>
    <t>Lot 1</t>
  </si>
  <si>
    <t>20 % Grenache + 80% Lot Rosé Oc</t>
  </si>
  <si>
    <t>Lot 2</t>
  </si>
  <si>
    <t>20 % Grenache + 5 % Muscat 184 + 80 % Lot Rosé Oc</t>
  </si>
  <si>
    <t>Lot Auriol</t>
  </si>
  <si>
    <t>85 % 424 + 15% variétal sauv</t>
  </si>
  <si>
    <t>Marsanne Roussanne</t>
  </si>
  <si>
    <t xml:space="preserve">Ass des 2 références + 15% </t>
  </si>
  <si>
    <t>200 hL PN + 50 hL 84</t>
  </si>
  <si>
    <t>Terre et Mer</t>
  </si>
  <si>
    <t>Grenache Cinsault</t>
  </si>
  <si>
    <t>FK4</t>
  </si>
  <si>
    <t>HippoCap</t>
  </si>
  <si>
    <t>Lot Russie</t>
  </si>
  <si>
    <t>60% Merlot std (NP81) + 40% Merlot Castel (114) + 4 g/L MCR</t>
  </si>
  <si>
    <t>Lot Thau blanc</t>
  </si>
  <si>
    <t>189+10</t>
  </si>
  <si>
    <t>Lot Oc Rosé</t>
  </si>
  <si>
    <t>Lot Syrah</t>
  </si>
  <si>
    <t>Lot MR</t>
  </si>
  <si>
    <t>Lot Viognier NR</t>
  </si>
  <si>
    <t>15% 315 + 85% 85</t>
  </si>
  <si>
    <t>15% 315 + 85% 54</t>
  </si>
  <si>
    <t>MRG</t>
  </si>
  <si>
    <t>Blanc générique</t>
  </si>
  <si>
    <t>Mu</t>
  </si>
  <si>
    <t>60% 184 + 40 % 54</t>
  </si>
  <si>
    <t>200 hL PN + 50 hL Grenache 16</t>
  </si>
  <si>
    <t>Viognier Roussanne Marsanne</t>
  </si>
  <si>
    <t>Lot Jeantet</t>
  </si>
  <si>
    <t>50 % Vio + 50 % Rouss Mars</t>
  </si>
  <si>
    <t>bt2</t>
  </si>
  <si>
    <t>2 citernes potentiels</t>
  </si>
  <si>
    <t>Boisé avec 5 g/hL Oenovia Affinage</t>
  </si>
  <si>
    <t>Lot Solis</t>
  </si>
  <si>
    <t>Grenache/Cinsault</t>
  </si>
  <si>
    <t>VDF Blanc</t>
  </si>
  <si>
    <t>Lot AR</t>
  </si>
  <si>
    <t>50% Lot Solis + 25% Vio 85 + 23% Vio 23</t>
  </si>
  <si>
    <t>Hérault Rouge</t>
  </si>
  <si>
    <t>Terret Vermentino</t>
  </si>
  <si>
    <t>T/V</t>
  </si>
  <si>
    <t>65% 419 (Terret) + 35% 45 (Vermentino)</t>
  </si>
  <si>
    <t>Chardo/Viognier</t>
  </si>
  <si>
    <t>63% 15 (Lot Solis) + 18% 23 (Viognier craqué) + 19 % 85 (Viognier)</t>
  </si>
  <si>
    <t>Lot Oc Rosé 2</t>
  </si>
  <si>
    <t>Ass integral</t>
  </si>
  <si>
    <t>Lot Oc Blanc</t>
  </si>
  <si>
    <t>Lot Petit degré</t>
  </si>
  <si>
    <t>Ass. Viognier intégral</t>
  </si>
  <si>
    <t>Ass. Partiel</t>
  </si>
  <si>
    <t>Ag 302</t>
  </si>
  <si>
    <t>Ass intégral</t>
  </si>
  <si>
    <t>Muscat 1</t>
  </si>
  <si>
    <t>Ass intégral + 2015</t>
  </si>
  <si>
    <t>Muscat 2 avec 17% Muscat PD 2015</t>
  </si>
  <si>
    <t>Ass 1</t>
  </si>
  <si>
    <t>23+85+324</t>
  </si>
  <si>
    <t>Ass 2</t>
  </si>
  <si>
    <t>324+23</t>
  </si>
  <si>
    <t>Ass Hérault Rosé</t>
  </si>
  <si>
    <t>Lot boisé Maraval</t>
  </si>
  <si>
    <t>FK01</t>
  </si>
  <si>
    <t>Merlot/Cabernet</t>
  </si>
  <si>
    <t>Lot Inde</t>
  </si>
  <si>
    <t>CF01</t>
  </si>
  <si>
    <t>NM</t>
  </si>
  <si>
    <t>Lot Solde 2015 - 2016</t>
  </si>
  <si>
    <t>Rafraichi 40% flatteur + 60% 2015 variétal</t>
  </si>
  <si>
    <t>Ass. Jeanjean</t>
  </si>
  <si>
    <t>boisé</t>
  </si>
  <si>
    <t>Sans Muscat</t>
  </si>
  <si>
    <t>60% NP67 + 40%21</t>
  </si>
  <si>
    <t>Ag302</t>
  </si>
  <si>
    <t>Sauvignon Viognier</t>
  </si>
  <si>
    <t>60% 409 + 40 % Vio bouteille</t>
  </si>
  <si>
    <t>60% 409 + 40 % Vio 84</t>
  </si>
  <si>
    <t>Blanc Oc</t>
  </si>
  <si>
    <t>50% Vio 84 + 25% Char 405 + 25% Chard 48</t>
  </si>
  <si>
    <t>30% Vio 84 + 35 % Char 405 + 35% Chard 48</t>
  </si>
  <si>
    <t>Lot bouteille + 24% 30</t>
  </si>
  <si>
    <t>76% bt FK7 + 24% c030</t>
  </si>
  <si>
    <t>Lot Jeanjean</t>
  </si>
  <si>
    <t>Non boisé</t>
  </si>
  <si>
    <t>Bois :</t>
  </si>
  <si>
    <t>NP79</t>
  </si>
  <si>
    <t>Buvette Rosé</t>
  </si>
  <si>
    <t>Ass. Viognier</t>
  </si>
  <si>
    <t>50% Vio NP79 + 50% Vio 85</t>
  </si>
  <si>
    <t>Riche</t>
  </si>
  <si>
    <t>2 bouteilles pour LGI 2 bouteille autre client</t>
  </si>
  <si>
    <t>Lot Celliers du Vent</t>
  </si>
  <si>
    <t>Ag153</t>
  </si>
  <si>
    <t>50% NP79 + 25% 85 + 25% 5</t>
  </si>
  <si>
    <t>50 % NP79 + 35 % 5 + 15 % 85</t>
  </si>
  <si>
    <t>VDF Sauvignon</t>
  </si>
  <si>
    <t>Ass 13/06/2017 ss colom</t>
  </si>
  <si>
    <t>Ass 13/06/2017 avec colom</t>
  </si>
  <si>
    <t>Muscat O2</t>
  </si>
  <si>
    <t>Lot 14/06/2017</t>
  </si>
  <si>
    <t>Vic</t>
  </si>
  <si>
    <t>70%Vermentino45 + 30% LotSolis</t>
  </si>
  <si>
    <t>VDF Chardonnay</t>
  </si>
  <si>
    <t>30 % C85 + 40% C328 + 30% C84</t>
  </si>
  <si>
    <t>60% 328 + 40% 84</t>
  </si>
  <si>
    <t>Ass refresh</t>
  </si>
  <si>
    <t>39% 318 + 21% 192 + 40% 84</t>
  </si>
  <si>
    <t>Ass. Variétal</t>
  </si>
  <si>
    <t>Ass. Classique</t>
  </si>
  <si>
    <t>Ass supérieur</t>
  </si>
  <si>
    <t>VDF Rouge</t>
  </si>
  <si>
    <t xml:space="preserve">387 hL Hérault Rouge + 355 hL Cab 2015 + 50 hL Merlot bt 2016 + 50 hL CCF1 Maraval </t>
  </si>
  <si>
    <t>387 hL Hérault Rouge + 255 hL Cab 2015 + 50 hL Merlot bt 2016 + 100 hL CF1</t>
  </si>
  <si>
    <t>Ass solde</t>
  </si>
  <si>
    <t>36% 148 + 30% 154 + 15% CF1 + 5% FK3 + 15% 139</t>
  </si>
  <si>
    <t>50% 79 + 50% 313</t>
  </si>
  <si>
    <t>NP68</t>
  </si>
  <si>
    <t>Nommé Lot 1 Petit degré</t>
  </si>
  <si>
    <t>Petit degré Lot 2</t>
  </si>
  <si>
    <t>Lot 2 = 70% Lot Petit degré + 30% Lot classique</t>
  </si>
  <si>
    <t>60% 202 (Rosé trad) + 40 % 65 (Caladoc)</t>
  </si>
  <si>
    <t>75 % 202 (Rosé trad) + 25% 65 (Caladoc)</t>
  </si>
  <si>
    <t>Thau Rosé</t>
  </si>
  <si>
    <t>Lot Prov</t>
  </si>
  <si>
    <t>Lot Rosé pâle défini le 19/10/2017</t>
  </si>
  <si>
    <t>VDF Rosé</t>
  </si>
  <si>
    <t>Lot Hérault</t>
  </si>
  <si>
    <t>400 hL 6 + 300 hL 78</t>
  </si>
  <si>
    <t>Lot</t>
  </si>
  <si>
    <t>Voir assemblage 2017</t>
  </si>
  <si>
    <t>Lot Viognier</t>
  </si>
  <si>
    <t>VIognier</t>
  </si>
  <si>
    <t>Lot Grenache</t>
  </si>
  <si>
    <t>Lot Muscat</t>
  </si>
  <si>
    <t>60% Sauv class + 40% chard riche</t>
  </si>
  <si>
    <t>Conraads</t>
  </si>
  <si>
    <t>Hérault Blanc</t>
  </si>
  <si>
    <t>Thau Blanc</t>
  </si>
  <si>
    <t>nommé variétal pour Skalli</t>
  </si>
  <si>
    <t>C56+C49</t>
  </si>
  <si>
    <t>C56+C49+C79</t>
  </si>
  <si>
    <t>60% var + 40% sup</t>
  </si>
  <si>
    <t>30% 328 + 70% 79</t>
  </si>
  <si>
    <t>Bouteille</t>
  </si>
  <si>
    <t>FK07</t>
  </si>
  <si>
    <t>Cap d'Agde</t>
  </si>
  <si>
    <t>Piquepoul Sauvignon</t>
  </si>
  <si>
    <t>50% Piquepoul + 50% Sauvignon supérieur</t>
  </si>
  <si>
    <t>4 g/L sucre  + 20 cL/hL Stabivin SP</t>
  </si>
  <si>
    <t>NP78</t>
  </si>
  <si>
    <t>Boisé</t>
  </si>
  <si>
    <t>CF4</t>
  </si>
  <si>
    <t>60% Chardo riche 2016 + 40% Terret Oc</t>
  </si>
  <si>
    <t>70% Chardo riche 2016 + 30% Terret Oc</t>
  </si>
  <si>
    <t>Cave du Port</t>
  </si>
  <si>
    <t>FK05</t>
  </si>
  <si>
    <t>Marselan</t>
  </si>
  <si>
    <t>Lot Ranvier</t>
  </si>
  <si>
    <t>ex 78</t>
  </si>
  <si>
    <t>Cinsault 2016 à rafraichir</t>
  </si>
  <si>
    <t>50% 44 + 50% 40</t>
  </si>
  <si>
    <t>Nommé variétal pour Skalli</t>
  </si>
  <si>
    <t>20% Chardo Advini (7) + 10% Vio boisé (318) + 70 % Chardo bourgui (123)</t>
  </si>
  <si>
    <t>Terre et Mer Rosé</t>
  </si>
  <si>
    <t>Lot Buvette</t>
  </si>
  <si>
    <t xml:space="preserve">Nommé Oc Rosé </t>
  </si>
  <si>
    <t>65% Pinot Rosé 334 + 35% Grenache Cinsault 82</t>
  </si>
  <si>
    <t>Oc Rouge</t>
  </si>
  <si>
    <t>Assemblage solde 2015 + 2016 + thermo 2017</t>
  </si>
  <si>
    <t>Terre et Mer Sec</t>
  </si>
  <si>
    <t>Chardonnay Roussanne</t>
  </si>
  <si>
    <t>Maraval Blanc</t>
  </si>
  <si>
    <t>FK04</t>
  </si>
  <si>
    <t>CF04</t>
  </si>
  <si>
    <t>CF03</t>
  </si>
  <si>
    <t>FK15</t>
  </si>
  <si>
    <t>Lot 85/15</t>
  </si>
  <si>
    <t>85% 409 + 15%80</t>
  </si>
  <si>
    <t>FK2</t>
  </si>
  <si>
    <t>Lot Boisé 1</t>
  </si>
  <si>
    <t>Lot Boisé 2 - 50% FK1 + 50% FK2</t>
  </si>
  <si>
    <t>supérieur Variétal</t>
  </si>
  <si>
    <t>61,4% chardonnay sup + 38,6% Chardonnay bouteille</t>
  </si>
  <si>
    <t>Lot Boisé</t>
  </si>
  <si>
    <t>PNR</t>
  </si>
  <si>
    <t>126 + FK11</t>
  </si>
  <si>
    <t>Lot vrac</t>
  </si>
  <si>
    <t>Ag305</t>
  </si>
  <si>
    <t>Ag303</t>
  </si>
  <si>
    <t>standard</t>
  </si>
  <si>
    <t>échantillon boisage</t>
  </si>
  <si>
    <t>Lot Hérault Rosé</t>
  </si>
  <si>
    <t>Lot classique</t>
  </si>
  <si>
    <t>Lot Rosé H</t>
  </si>
  <si>
    <t>Standard</t>
  </si>
  <si>
    <t>Lot Thau Rosé Cap d'Agde</t>
  </si>
  <si>
    <t>Blanc muscaté</t>
  </si>
  <si>
    <t>Blanc muscaté lot 1</t>
  </si>
  <si>
    <t>Lot Blanc 4000 + 20% Muscat variétal</t>
  </si>
  <si>
    <t>Blanc muscaté lot 2</t>
  </si>
  <si>
    <t>Lot Blanc 4000 + 20% Muscat petit degré</t>
  </si>
  <si>
    <t>Lot 4000</t>
  </si>
  <si>
    <t>Petit degré + 15%</t>
  </si>
  <si>
    <t>85% Chardonnay Petit degré + 15% Lot Blanc 4000</t>
  </si>
  <si>
    <t>DIvino</t>
  </si>
  <si>
    <t>Lot Sauvignon GCF</t>
  </si>
  <si>
    <t>Thau Blanc + 5% Muscat PD</t>
  </si>
  <si>
    <t>Thau Blanc + 7% Muscat PD</t>
  </si>
  <si>
    <t>Style 1</t>
  </si>
  <si>
    <t>Style 2</t>
  </si>
  <si>
    <t>Style 3</t>
  </si>
  <si>
    <t>Ginestet</t>
  </si>
  <si>
    <t>Lot 1500</t>
  </si>
  <si>
    <t>Didier Saint-Vignes</t>
  </si>
  <si>
    <t>Petit degré + 35% Supérieur</t>
  </si>
  <si>
    <t xml:space="preserve"> + 4 g MCR</t>
  </si>
  <si>
    <t xml:space="preserve"> + 6 g MCR</t>
  </si>
  <si>
    <t xml:space="preserve"> + 10 g MCR</t>
  </si>
  <si>
    <t>Alte Kunst</t>
  </si>
  <si>
    <t>Durand Jean-Etienne</t>
  </si>
  <si>
    <t>Cabernet Syrah</t>
  </si>
  <si>
    <t>40% 152 + 60% 139 + 4g MCR</t>
  </si>
  <si>
    <t>Cabernet Merlot</t>
  </si>
  <si>
    <t>15% 132 + 50% 131 + 35% 139 + 4g MCR</t>
  </si>
  <si>
    <t>33% 132 + 33% 139 + 33% 152 + 4g MCR</t>
  </si>
  <si>
    <t>Rabotvins</t>
  </si>
  <si>
    <t>Thau blanc + 7% Muscat</t>
  </si>
  <si>
    <t>Lot RTV - 425</t>
  </si>
  <si>
    <t>75% Lot 4000 + 25% Sauv variétal</t>
  </si>
  <si>
    <t>Yann Masson</t>
  </si>
  <si>
    <t>Thau Blanc + 10% Sauv sup</t>
  </si>
  <si>
    <t>Sélection</t>
  </si>
  <si>
    <t>Flex1</t>
  </si>
  <si>
    <t>Flex2</t>
  </si>
  <si>
    <t>Patrick Clerget</t>
  </si>
  <si>
    <t>Nommé Passion</t>
  </si>
  <si>
    <t>Nommé Expression</t>
  </si>
  <si>
    <t>80% Chardo Celliers du Vent + 20% Flex 5</t>
  </si>
  <si>
    <t>80% Chardo 417 + 20% Flex 5</t>
  </si>
  <si>
    <t>IGP Terre du Midi Rosé</t>
  </si>
  <si>
    <t xml:space="preserve">Lot Thau </t>
  </si>
  <si>
    <t>Agréage</t>
  </si>
  <si>
    <t>90% 151 + 5%109 + 5%132</t>
  </si>
  <si>
    <t>Lot 4</t>
  </si>
  <si>
    <t>Lot Badet Clément</t>
  </si>
  <si>
    <t>35% Lot 3 + 65% Lot 2</t>
  </si>
  <si>
    <t>129 + FK6</t>
  </si>
  <si>
    <t>Lot Marselan Rouge</t>
  </si>
  <si>
    <t>Lot fruité</t>
  </si>
  <si>
    <t>Lot structuré</t>
  </si>
  <si>
    <t>50% 69 + 50% sup</t>
  </si>
  <si>
    <t>40% 69 + 30% sup + 30% var</t>
  </si>
  <si>
    <t>ex 309</t>
  </si>
  <si>
    <t>Merlot Rosé Castel</t>
  </si>
  <si>
    <t>Muscat Castel</t>
  </si>
  <si>
    <t>60% variétal + 40% sup</t>
  </si>
  <si>
    <t>50% variétal + 50% sup</t>
  </si>
  <si>
    <t>Grenache Blanc</t>
  </si>
  <si>
    <t>Terre du Midi</t>
  </si>
  <si>
    <t>complément de marché</t>
  </si>
  <si>
    <t>NP72</t>
  </si>
  <si>
    <t>vrac</t>
  </si>
  <si>
    <t>NP73</t>
  </si>
  <si>
    <t>ex 201</t>
  </si>
  <si>
    <t>Emilie Conraads</t>
  </si>
  <si>
    <t>Spar</t>
  </si>
  <si>
    <t>ex 14</t>
  </si>
  <si>
    <t>Cap d'Agde Blanc</t>
  </si>
  <si>
    <t>Lot Thau</t>
  </si>
  <si>
    <t>Grenache / Terret</t>
  </si>
  <si>
    <t>80% 15 + 20% 19</t>
  </si>
  <si>
    <t>Domaine Saint Firmin</t>
  </si>
  <si>
    <t xml:space="preserve"> + 3 g/L Oenovia Affinage</t>
  </si>
  <si>
    <t xml:space="preserve"> + 5 g/L Oenovia Affinage</t>
  </si>
  <si>
    <t>CF1</t>
  </si>
  <si>
    <t>80% 15 + 20% 197</t>
  </si>
  <si>
    <t>Ag128</t>
  </si>
  <si>
    <t>2410 hl</t>
  </si>
  <si>
    <t>1800 hl</t>
  </si>
  <si>
    <t>40% Ag301 + 60% 10</t>
  </si>
  <si>
    <t>Castanier</t>
  </si>
  <si>
    <t>30% 324 + 70% 407</t>
  </si>
  <si>
    <t>NP70</t>
  </si>
  <si>
    <t>124+126</t>
  </si>
  <si>
    <t>Lot Merlot 202</t>
  </si>
  <si>
    <t>ex 76</t>
  </si>
  <si>
    <t>Le Star</t>
  </si>
  <si>
    <t>Ag150</t>
  </si>
  <si>
    <t>MTE International</t>
  </si>
  <si>
    <t>structuré</t>
  </si>
  <si>
    <t>Comptoir Méditérannéen des Vins</t>
  </si>
  <si>
    <t>Mûrs</t>
  </si>
  <si>
    <t>Castel Nantes</t>
  </si>
  <si>
    <t>Lot 210</t>
  </si>
  <si>
    <t>Lot TDS</t>
  </si>
  <si>
    <t>Lot 500</t>
  </si>
  <si>
    <t>Lot 750</t>
  </si>
  <si>
    <t>Lot 1000</t>
  </si>
  <si>
    <t>Florensac</t>
  </si>
  <si>
    <t>Fruité</t>
  </si>
  <si>
    <t>Terret Sauvignon</t>
  </si>
  <si>
    <t>70% 422 + 30% 207</t>
  </si>
  <si>
    <t>Lot Chardonnay Viognier</t>
  </si>
  <si>
    <t>CF2</t>
  </si>
  <si>
    <t>Primeur</t>
  </si>
  <si>
    <t>CF6</t>
  </si>
  <si>
    <t>Cabernet Franc</t>
  </si>
  <si>
    <t>Buvette</t>
  </si>
  <si>
    <t>Anagram</t>
  </si>
  <si>
    <t>Lot n°1</t>
  </si>
  <si>
    <t>Lot n°2</t>
  </si>
  <si>
    <t>Lot n°3</t>
  </si>
  <si>
    <t>Arista Canada</t>
  </si>
  <si>
    <t>FK09</t>
  </si>
  <si>
    <t>Lot Buxy</t>
  </si>
  <si>
    <t>Viognier Muscat</t>
  </si>
  <si>
    <t>70% Viognier vrac + 30 % Muscat vrac</t>
  </si>
  <si>
    <t>CGF</t>
  </si>
  <si>
    <t>ADVINI</t>
  </si>
  <si>
    <t>VDF Merlot</t>
  </si>
  <si>
    <t>Nommé lot CA</t>
  </si>
  <si>
    <t>Nommé Générique</t>
  </si>
  <si>
    <t>Cap d'Agde GCF</t>
  </si>
  <si>
    <t>Nommé CARGC</t>
  </si>
  <si>
    <t>Granqvist</t>
  </si>
  <si>
    <t>Marselan Syrah</t>
  </si>
  <si>
    <t>Merlot Petit Verdot</t>
  </si>
  <si>
    <t xml:space="preserve"> + 2 g/l MCR + 10cl/hl Stabivin SP</t>
  </si>
  <si>
    <t>Gangloff</t>
  </si>
  <si>
    <t>Filtré</t>
  </si>
  <si>
    <t xml:space="preserve"> + 5 g/L MCR + 20 cl/hl Stabivin SP</t>
  </si>
  <si>
    <t>Dalmayr</t>
  </si>
  <si>
    <t>Merlot / Cabernet</t>
  </si>
  <si>
    <t>(60% Merlot18 + 40% Cab 18) +à 80 % + (60% Merlot 19 + 40% Cab 19) à 20 % + 2 g/l MCR</t>
  </si>
  <si>
    <t>(60% Merlot18 + 40% Cab 18) à 70 % + (60% Merlot 19 + 40% Cab 19) à 20 % + 10% CapRouge + 2 g/l MCR</t>
  </si>
  <si>
    <t>Cuve rafraichi</t>
  </si>
  <si>
    <t>72% Merlot Rosé + 28% Cap Rosé</t>
  </si>
  <si>
    <t>FK03</t>
  </si>
  <si>
    <t>Richemer</t>
  </si>
  <si>
    <t>65% TM Sec (78) + 35% Sauvignon (17) + 20 cl/hl Senso Ü</t>
  </si>
  <si>
    <t>5 g/hl MCR + 20 cl/hl Stabivin SP</t>
  </si>
  <si>
    <t>Castel Saint Priest</t>
  </si>
  <si>
    <t>UCCOAR</t>
  </si>
  <si>
    <t>Albo</t>
  </si>
  <si>
    <t>Terret Chardonnay</t>
  </si>
  <si>
    <t>FK14</t>
  </si>
  <si>
    <t>Lot A</t>
  </si>
  <si>
    <t>60% Grenache Cap + 40% Syrah Rosé + 2%</t>
  </si>
  <si>
    <t>Lot B</t>
  </si>
  <si>
    <t>60 % Marselan + 40% Syrah Rosé BIB + 2%</t>
  </si>
  <si>
    <t>Marselan Grenache</t>
  </si>
  <si>
    <t>Lot C</t>
  </si>
  <si>
    <t>60% Marselan + 30% Grenache Rosé + 10% Syrah bouteille</t>
  </si>
  <si>
    <t>Viognier Roussanne</t>
  </si>
  <si>
    <t>70% Viognier vrac+ 30 % Roussanne</t>
  </si>
  <si>
    <t>60% Viognier vrac + 20 % Roussanne + 10 % Vermentino + 5% Muscat</t>
  </si>
  <si>
    <t>60% Viognier vrac + 20% Roussanne + 10% Vermentino + 10% Muscat</t>
  </si>
  <si>
    <t xml:space="preserve"> + 20% Merlot 2018</t>
  </si>
  <si>
    <t xml:space="preserve"> + 20% Cabernet</t>
  </si>
  <si>
    <t>60% Grenache Cap + 40% Syrah Rosé + 15 g/hl acide citrique</t>
  </si>
  <si>
    <t>60 % Marselan + 40% Syrah Rosé BIB + 15 g/hl acide citrique</t>
  </si>
  <si>
    <t>60% Marselan + 30% Grenache Rosé + 10% Syrah bouteille + 15 g/hl acide citrique</t>
  </si>
  <si>
    <t>SIC Agentur</t>
  </si>
  <si>
    <t>(60% Merlot18 + 40% Cab 18) +à 80 % + (60% Merlot 19 + 40% Cab 19) à 20 % + 2 g/l MCR + 10 % Marselan Rouge</t>
  </si>
  <si>
    <t>Lot retravaillé</t>
  </si>
  <si>
    <t>60 % Maraval Rouge + 40 % Cap d'Agde Rouge + 2 g/l MCR + 20 cl/hl Stabivin SP</t>
  </si>
  <si>
    <t xml:space="preserve"> + Marselan</t>
  </si>
  <si>
    <t>60% Grenache Cap + 40% Syrah Rosé + 15 g/hl acide citrique + 10% Marselan Rosé</t>
  </si>
  <si>
    <t xml:space="preserve"> + Vermentino</t>
  </si>
  <si>
    <t>70% Viognier vrac+ 30 % Roussanne + 10% Vermentino</t>
  </si>
  <si>
    <t xml:space="preserve">Lot 1 </t>
  </si>
  <si>
    <t>46% Muscat bouteille + 54% Muscat vrac</t>
  </si>
  <si>
    <t>46% Muscat bouteille + 54 % Marsanne</t>
  </si>
  <si>
    <t>Lot RM</t>
  </si>
  <si>
    <t>64 % Roussanne + 36% Marsanne</t>
  </si>
  <si>
    <t>80 % Viognier vrac + 20 % Roussanne</t>
  </si>
  <si>
    <t>80 % Viognier bouteille + 10 % Roussanne + 10 % Vermentino</t>
  </si>
  <si>
    <t>80 % Viognier bouteille + 20 % Roussanne</t>
  </si>
  <si>
    <t xml:space="preserve"> + 15 g/hl acide citrique</t>
  </si>
  <si>
    <t>Cap d'Agde Rosé GCF</t>
  </si>
  <si>
    <t>70% Chardo var + 25% Terret</t>
  </si>
  <si>
    <t>Pierre Chavin</t>
  </si>
  <si>
    <t>Médaille Or Paris</t>
  </si>
  <si>
    <t>NP74</t>
  </si>
  <si>
    <t>BIB</t>
  </si>
  <si>
    <t>B1-0</t>
  </si>
  <si>
    <t>Blanc trad</t>
  </si>
  <si>
    <t>E1-0</t>
  </si>
  <si>
    <t>F2-3</t>
  </si>
  <si>
    <t>B1-1</t>
  </si>
  <si>
    <t>H1-10</t>
  </si>
  <si>
    <t>C1-10</t>
  </si>
  <si>
    <t>Rosé sauvignon</t>
  </si>
  <si>
    <t>C2-2</t>
  </si>
  <si>
    <t>E2-5</t>
  </si>
  <si>
    <t>G1-6</t>
  </si>
  <si>
    <t>A1-9</t>
  </si>
  <si>
    <t>A1-2</t>
  </si>
  <si>
    <t>GCC Rosé</t>
  </si>
  <si>
    <t>B1-4</t>
  </si>
  <si>
    <t>mûrs</t>
  </si>
  <si>
    <t>croquant</t>
  </si>
  <si>
    <t>B1-2</t>
  </si>
  <si>
    <t>E1-8</t>
  </si>
  <si>
    <t>C2-1</t>
  </si>
  <si>
    <t>E1-3</t>
  </si>
  <si>
    <t>A1-10</t>
  </si>
  <si>
    <t>D1-9</t>
  </si>
  <si>
    <t>H1-3</t>
  </si>
  <si>
    <t>B1-9</t>
  </si>
  <si>
    <t>C1-0</t>
  </si>
  <si>
    <t xml:space="preserve">Terret </t>
  </si>
  <si>
    <t>50 - 50</t>
  </si>
  <si>
    <t>50 % Viognier supérieur + 50 % Viognier variétal</t>
  </si>
  <si>
    <t>F2-7</t>
  </si>
  <si>
    <t>Boxie</t>
  </si>
  <si>
    <t>Merlot Cabernet</t>
  </si>
  <si>
    <t>70% C2-4 + 30% K1-9 + 5g/l MCR</t>
  </si>
  <si>
    <t>VDF Rosé BIB Suède</t>
  </si>
  <si>
    <t>C1-7</t>
  </si>
  <si>
    <t>Arc en Ciel</t>
  </si>
  <si>
    <t>75% Viognier sup + 12,5% Vermentino + 12,5% Roussanne</t>
  </si>
  <si>
    <t>G1-1</t>
  </si>
  <si>
    <t>Blanc BIB Suède</t>
  </si>
  <si>
    <t>Dominante Viognier</t>
  </si>
  <si>
    <t>Dominante Muscat</t>
  </si>
  <si>
    <t>Château Croix de Labrie</t>
  </si>
  <si>
    <t>D1-7</t>
  </si>
  <si>
    <t>B1-7</t>
  </si>
  <si>
    <t>B1-5</t>
  </si>
  <si>
    <t>D2-5</t>
  </si>
  <si>
    <t>B2-4</t>
  </si>
  <si>
    <t>J1-10</t>
  </si>
  <si>
    <t>A2-3</t>
  </si>
  <si>
    <t>E2-2</t>
  </si>
  <si>
    <t>VDF Pinot Lot A</t>
  </si>
  <si>
    <t xml:space="preserve">50% H1-1 + 50% D1-1 </t>
  </si>
  <si>
    <t>VDF Pinot Lot B</t>
  </si>
  <si>
    <t>40% H1-1 + 40% D1-1 + 20% D2-7</t>
  </si>
  <si>
    <t>G1-4</t>
  </si>
  <si>
    <t>80% G1-4 + 20% G1-1</t>
  </si>
  <si>
    <t>E1-6</t>
  </si>
  <si>
    <t>Reste Petit degré boisé</t>
  </si>
  <si>
    <t>80% E1-6 + 20% Oc Blanc</t>
  </si>
  <si>
    <t>80% E1-6 + 20% Chardo sup</t>
  </si>
  <si>
    <t>C2-4</t>
  </si>
  <si>
    <t>F1-8</t>
  </si>
  <si>
    <t>F2-4</t>
  </si>
  <si>
    <t>Pinot</t>
  </si>
  <si>
    <t>35% D1-4 + 65% B2-3</t>
  </si>
  <si>
    <t>H1-6</t>
  </si>
  <si>
    <t>Blanc Trad</t>
  </si>
  <si>
    <t>F1-7</t>
  </si>
  <si>
    <t>Pinot Rouge</t>
  </si>
  <si>
    <t>C2-6</t>
  </si>
  <si>
    <t>D2-3</t>
  </si>
  <si>
    <t>mûr</t>
  </si>
  <si>
    <t>A1-3</t>
  </si>
  <si>
    <t>D1-8</t>
  </si>
  <si>
    <t>F1-2</t>
  </si>
  <si>
    <t>F1-6</t>
  </si>
  <si>
    <t>A2-4</t>
  </si>
  <si>
    <t xml:space="preserve">BIB Blanc </t>
  </si>
  <si>
    <t>21_01_04_Bib_3L Blc</t>
  </si>
  <si>
    <t>990.4</t>
  </si>
  <si>
    <t>13.18</t>
  </si>
  <si>
    <t>2.34</t>
  </si>
  <si>
    <t>3.49</t>
  </si>
  <si>
    <t>3.46</t>
  </si>
  <si>
    <t>0.26</t>
  </si>
  <si>
    <t>3.47</t>
  </si>
  <si>
    <t>1.24</t>
  </si>
  <si>
    <t>0.00</t>
  </si>
  <si>
    <t>3.69</t>
  </si>
  <si>
    <t>0.8</t>
  </si>
  <si>
    <t>0.1</t>
  </si>
  <si>
    <t>0.102</t>
  </si>
  <si>
    <t>0.000</t>
  </si>
  <si>
    <t>C1-9</t>
  </si>
  <si>
    <t>1250 hl F1-7 + 550 hl C1-9</t>
  </si>
  <si>
    <t>G1-3</t>
  </si>
  <si>
    <t>35% B1-3 + 65 % B2-3</t>
  </si>
  <si>
    <t>K1-16</t>
  </si>
  <si>
    <t>K1-15</t>
  </si>
  <si>
    <t>J1-7</t>
  </si>
  <si>
    <t>K1-7</t>
  </si>
  <si>
    <t>A1-1</t>
  </si>
  <si>
    <t>E2-3</t>
  </si>
  <si>
    <t>J1-9</t>
  </si>
  <si>
    <t>G1-2</t>
  </si>
  <si>
    <t>50% Chardonnay variétal + 50% Chardonnay bouteille</t>
  </si>
  <si>
    <t>A1-8</t>
  </si>
  <si>
    <t>A1-8 + 5%</t>
  </si>
  <si>
    <t>B1-6</t>
  </si>
  <si>
    <t>50% A1-9 + 50% B1-10</t>
  </si>
  <si>
    <t>I1-4</t>
  </si>
  <si>
    <t>F2-2</t>
  </si>
  <si>
    <t>Cuvée du Patron</t>
  </si>
  <si>
    <t>I1-5</t>
  </si>
  <si>
    <t>(43% Marselan + 10% Arc en ciel + 15% MagneMarselan + 25% Cabernet + 8% Merlot) + 1g SO2 + 10cl/hl Senso Ü</t>
  </si>
  <si>
    <t>(30% MarselanAlcon + 40% MagneSyr + 5% Syrbt + 25% Marselan Celliers du Vent) + 1 g SO2 + 10 ch/hl SensoU</t>
  </si>
  <si>
    <t>Lot A + Lot B</t>
  </si>
  <si>
    <t>Arc en ciel</t>
  </si>
  <si>
    <t>A1-7</t>
  </si>
  <si>
    <t>A2-7</t>
  </si>
  <si>
    <t>30% A2-6 + 40% D1-6 + 30% A1-7</t>
  </si>
  <si>
    <t>50% B1-10 + 50% D1-6</t>
  </si>
  <si>
    <t>95-5</t>
  </si>
  <si>
    <t>C2-5</t>
  </si>
  <si>
    <t>Nouba</t>
  </si>
  <si>
    <t>55% B1-1(Terre et Mer Sec) + 25% L1-10 (Piquepoul) + 20% A2-8 (Sauvignon)</t>
  </si>
  <si>
    <t>GCA</t>
  </si>
  <si>
    <t>Lot GCF Cap d'Agde</t>
  </si>
  <si>
    <t>C1-3</t>
  </si>
  <si>
    <t>A1-5</t>
  </si>
  <si>
    <t>Croquant</t>
  </si>
  <si>
    <t>Vrac</t>
  </si>
  <si>
    <t>F1-0</t>
  </si>
  <si>
    <t>H1-4</t>
  </si>
  <si>
    <t>F1-6 + 5%</t>
  </si>
  <si>
    <t>Thau Blanc lot 2</t>
  </si>
  <si>
    <t>A1-6</t>
  </si>
  <si>
    <t>B1-3</t>
  </si>
  <si>
    <t>E1-1</t>
  </si>
  <si>
    <t xml:space="preserve"> + 2 g/l MCR + 20 cl/hl Sweetgum + cuivre + SO2</t>
  </si>
  <si>
    <t>21_04_09_Av Envoi_ Merlot RGE</t>
  </si>
  <si>
    <t>995.7</t>
  </si>
  <si>
    <t>14.49</t>
  </si>
  <si>
    <t>4.30</t>
  </si>
  <si>
    <t>6.83</t>
  </si>
  <si>
    <t>3.77</t>
  </si>
  <si>
    <t>0.46</t>
  </si>
  <si>
    <t>3.62</t>
  </si>
  <si>
    <t>0.21</t>
  </si>
  <si>
    <t>0.59</t>
  </si>
  <si>
    <t>3.93</t>
  </si>
  <si>
    <t>0.5</t>
  </si>
  <si>
    <t>16.7</t>
  </si>
  <si>
    <t>5.619</t>
  </si>
  <si>
    <t>8.923</t>
  </si>
  <si>
    <t>2.155</t>
  </si>
  <si>
    <t>B1-10</t>
  </si>
  <si>
    <t xml:space="preserve"> + 2 g/l MCR + 10 cl/hl Senso Ü + SO2</t>
  </si>
  <si>
    <t>21_04_09_Av Envoi_ Gre rsé CAP</t>
  </si>
  <si>
    <t>991.7</t>
  </si>
  <si>
    <t>12.77</t>
  </si>
  <si>
    <t>3.32</t>
  </si>
  <si>
    <t>4.92</t>
  </si>
  <si>
    <t>3.87</t>
  </si>
  <si>
    <t>0.20</t>
  </si>
  <si>
    <t>3.37</t>
  </si>
  <si>
    <t>1.70</t>
  </si>
  <si>
    <t>3.68</t>
  </si>
  <si>
    <t>0.3</t>
  </si>
  <si>
    <t>0.196</t>
  </si>
  <si>
    <t>0.118</t>
  </si>
  <si>
    <t>0.025</t>
  </si>
  <si>
    <t>J2-9</t>
  </si>
  <si>
    <t>80% Hippocampe 2019 + 20% Merlot 2020 + 20 cl/hl Sweetgum</t>
  </si>
  <si>
    <t>21_05_27_CTL_Wine of the years MerlotCab19</t>
  </si>
  <si>
    <t>993.4</t>
  </si>
  <si>
    <t>14.45</t>
  </si>
  <si>
    <t>2.26</t>
  </si>
  <si>
    <t>4.58</t>
  </si>
  <si>
    <t>3.34</t>
  </si>
  <si>
    <t>0.53</t>
  </si>
  <si>
    <t>3.66</t>
  </si>
  <si>
    <t>0.71</t>
  </si>
  <si>
    <t>3.22</t>
  </si>
  <si>
    <t>0.4</t>
  </si>
  <si>
    <t>13.2</t>
  </si>
  <si>
    <t>4.829</t>
  </si>
  <si>
    <t>6.754</t>
  </si>
  <si>
    <t>1.590</t>
  </si>
  <si>
    <t>A2-5</t>
  </si>
  <si>
    <t>A2-8</t>
  </si>
  <si>
    <t>C1-5</t>
  </si>
  <si>
    <t>J3-9</t>
  </si>
  <si>
    <t>D1-6</t>
  </si>
  <si>
    <t>contrat à 11,5 donc + 35</t>
  </si>
  <si>
    <t>cabernet</t>
  </si>
  <si>
    <t>B2-8</t>
  </si>
  <si>
    <t>21_05_27_DALLMAYR_Wine of the years MerlotCab19</t>
  </si>
  <si>
    <t>14.46</t>
  </si>
  <si>
    <t>4.66</t>
  </si>
  <si>
    <t>3.31</t>
  </si>
  <si>
    <t>0.50</t>
  </si>
  <si>
    <t>3.67</t>
  </si>
  <si>
    <t>0.9</t>
  </si>
  <si>
    <t>12.0</t>
  </si>
  <si>
    <t>4.435</t>
  </si>
  <si>
    <t>6.112</t>
  </si>
  <si>
    <t>1.489</t>
  </si>
  <si>
    <t>PrS</t>
  </si>
  <si>
    <t>Lot GCF n°3</t>
  </si>
  <si>
    <t>H1-7</t>
  </si>
  <si>
    <t>Andreu</t>
  </si>
  <si>
    <t>K1-9</t>
  </si>
  <si>
    <t>67% H1-9 + 33% J1-5</t>
  </si>
  <si>
    <t xml:space="preserve"> + 100 g Acide tartrique</t>
  </si>
  <si>
    <t xml:space="preserve"> + 75 g Acide tartrique + 25 g acide malique</t>
  </si>
  <si>
    <t xml:space="preserve"> + 50 g acide tartrique + 50 g acide malique</t>
  </si>
  <si>
    <t>Waddesdon</t>
  </si>
  <si>
    <t>5 cL/hL Sweetgum</t>
  </si>
  <si>
    <t>Arc en Ciel Rosé</t>
  </si>
  <si>
    <t>G1-5</t>
  </si>
  <si>
    <t xml:space="preserve">  </t>
  </si>
  <si>
    <t>10 cL/hL Sweetgum</t>
  </si>
  <si>
    <t>non</t>
  </si>
  <si>
    <t>Type GCF</t>
  </si>
  <si>
    <t>20 cL/hL Antartika</t>
  </si>
  <si>
    <t>21_11_08_Ass_Cap AG rsé1</t>
  </si>
  <si>
    <t>991.1</t>
  </si>
  <si>
    <t>12.27</t>
  </si>
  <si>
    <t>2.19</t>
  </si>
  <si>
    <t>3.57</t>
  </si>
  <si>
    <t>3.75</t>
  </si>
  <si>
    <t>1.88</t>
  </si>
  <si>
    <t>0.17</t>
  </si>
  <si>
    <t>4.05</t>
  </si>
  <si>
    <t>6.7</t>
  </si>
  <si>
    <t>2.205</t>
  </si>
  <si>
    <t>2.226</t>
  </si>
  <si>
    <t>2.264</t>
  </si>
  <si>
    <t>B1-5/B1-8</t>
  </si>
  <si>
    <t>Cap d'Agde sentiment</t>
  </si>
  <si>
    <t>Arc en ciel Blanc</t>
  </si>
  <si>
    <t>0,5 g/L MCR</t>
  </si>
  <si>
    <t>envoi postal</t>
  </si>
  <si>
    <t>Thau Cap d'Agde Rosé</t>
  </si>
  <si>
    <t>Monopôle</t>
  </si>
  <si>
    <t>Arc-en-ciel</t>
  </si>
  <si>
    <t>Chardonnay/Viognier</t>
  </si>
  <si>
    <t>C1-9/H1-4</t>
  </si>
  <si>
    <t>80/20</t>
  </si>
  <si>
    <t>Export</t>
  </si>
  <si>
    <t>Thau Rosé Cap d'Agde GCF</t>
  </si>
  <si>
    <t>10 cL/hL Antartika 5 cL/hL Sweetgum 0,5 g/L MCR</t>
  </si>
  <si>
    <t>21_11_26_EXP_ rosé Cap AG1</t>
  </si>
  <si>
    <t>990.5</t>
  </si>
  <si>
    <t>12.25</t>
  </si>
  <si>
    <t>2.15</t>
  </si>
  <si>
    <t>3.13</t>
  </si>
  <si>
    <t>1.98</t>
  </si>
  <si>
    <t>0.13</t>
  </si>
  <si>
    <t>3.90</t>
  </si>
  <si>
    <t>0.7</t>
  </si>
  <si>
    <t>0.115</t>
  </si>
  <si>
    <t>0.002</t>
  </si>
  <si>
    <t>0.009</t>
  </si>
  <si>
    <t>Témoin/ 75 AT - 25 AM/ 100 AT/ 50 AT - 25 AM</t>
  </si>
  <si>
    <t>G1-3/D2-4</t>
  </si>
  <si>
    <t>B1-8</t>
  </si>
  <si>
    <t>Appolo US</t>
  </si>
  <si>
    <t>J1-11</t>
  </si>
  <si>
    <t>20 Sweetgum et 2g MCR</t>
  </si>
  <si>
    <t>J3-8</t>
  </si>
  <si>
    <t>Sitco</t>
  </si>
  <si>
    <t>"Chardo Oc"</t>
  </si>
  <si>
    <t>J1-8</t>
  </si>
  <si>
    <t>"Terre du Midi Rosé"</t>
  </si>
  <si>
    <t>Thau</t>
  </si>
  <si>
    <t>J1-6</t>
  </si>
  <si>
    <t>"Cinsault Oc"</t>
  </si>
  <si>
    <t>"Gris Oc" = J2-6</t>
  </si>
  <si>
    <t>E1-5</t>
  </si>
  <si>
    <t>"Viognier Oc"</t>
  </si>
  <si>
    <t>B1-5/B1-7/K1-11</t>
  </si>
  <si>
    <t>10% K1-11- 45% B1-5- 45% B1-7</t>
  </si>
  <si>
    <t>"Cinsault Oc" nommé G1-0 pour le client</t>
  </si>
  <si>
    <t>B2-2</t>
  </si>
  <si>
    <t>"Oc Gris"</t>
  </si>
  <si>
    <t>"Oc Gris" nommé J2-6 pour le client</t>
  </si>
  <si>
    <t>Liberty Wines</t>
  </si>
  <si>
    <t>F1-3</t>
  </si>
  <si>
    <t>5 g/hl PVPP + 0,15mg/l Cu2+ + 3 g/l MCR</t>
  </si>
  <si>
    <t>5 g/hl PVPP + 0,15mg/l Cu2+ + 4 g/l MCR</t>
  </si>
  <si>
    <t>7,5 g/hl PVPP + 0,2 mg/l Cu2+ + 3 g/l MCR</t>
  </si>
  <si>
    <t>7,5 g/hl PVPP + 0,2 mg/l Cu2+ + 3 g/l MCR + 25 g/hl ac tartrique</t>
  </si>
  <si>
    <t>90% A1-9 + 10% C1-9 + 7,5 g/hl PVPP + 0,25 mg/l Cu2+ + 2,5 g/l MCR</t>
  </si>
  <si>
    <t>90% A1-9 + 10% C1-9 + 7,5 g/hl PVPP + 0,25 mg/l Cu2+ + 2,5 g/l MCR + 25 g/hl ac tartrique</t>
  </si>
  <si>
    <t>Muscat/Sauvignon</t>
  </si>
  <si>
    <t>G1-3/B1-7</t>
  </si>
  <si>
    <t>76% G1-3/ 24% B1-7</t>
  </si>
  <si>
    <t>E1-4</t>
  </si>
  <si>
    <t>A1_9</t>
  </si>
  <si>
    <t>Courdurié</t>
  </si>
  <si>
    <t>A1-9/E1-4</t>
  </si>
  <si>
    <t>lot A: 80% A1-9 20% E1-4</t>
  </si>
  <si>
    <t>A1-9/A2-7</t>
  </si>
  <si>
    <t>lot B: 90% A1-9 10% A2-7</t>
  </si>
  <si>
    <t>Landiras GCF</t>
  </si>
  <si>
    <t>A1-8/A2-1</t>
  </si>
  <si>
    <t>76% A1-8/24% A2-1</t>
  </si>
  <si>
    <t>générique</t>
  </si>
  <si>
    <t>A1-10/B2-4</t>
  </si>
  <si>
    <t>lot A: 80% A1-10 20% B2-4</t>
  </si>
  <si>
    <t>lot B: 70% A1-10 30% B2-4</t>
  </si>
  <si>
    <t>7,5g/hL PVPP/ 0,2 mg/L Cu2+/ 3g/L MCR</t>
  </si>
  <si>
    <t>7,5g/hL PVPP/ 0,2 mg/L Cu2+/ 3g/L MCR/ 25g/hL H2T</t>
  </si>
  <si>
    <t>Majestic</t>
  </si>
  <si>
    <t>1 g/l MCR + 1 goutte cuivre</t>
  </si>
  <si>
    <t>Vermentino Viognier</t>
  </si>
  <si>
    <t>50% B2-1 (T/M) + 50% J1-8 (Chardo bouteille)</t>
  </si>
  <si>
    <t>70% B2-1 (T/M) + 30% E2-2 (Sauv bouteille)</t>
  </si>
  <si>
    <t>Weincontor</t>
  </si>
  <si>
    <t>Terret-Chardonnay</t>
  </si>
  <si>
    <t>E2-1</t>
  </si>
  <si>
    <t>I1-2</t>
  </si>
  <si>
    <t>L1-6</t>
  </si>
  <si>
    <t>A1-9/F1-0</t>
  </si>
  <si>
    <t>lot A</t>
  </si>
  <si>
    <t>G1-0</t>
  </si>
  <si>
    <t>Oc</t>
  </si>
  <si>
    <t>B2-7</t>
  </si>
  <si>
    <t>Wielinga</t>
  </si>
  <si>
    <t>L1-10</t>
  </si>
  <si>
    <t>4 g/L MCR</t>
  </si>
  <si>
    <t>Cap d'Agde Sentiments</t>
  </si>
  <si>
    <t>K1-8</t>
  </si>
  <si>
    <t>1 g/l MCR + 1 goutte cuivre + 5 cL/hL Sweetgum</t>
  </si>
  <si>
    <t>K1-11</t>
  </si>
  <si>
    <t>L1-8</t>
  </si>
  <si>
    <t>J1-4</t>
  </si>
  <si>
    <t>B2-1</t>
  </si>
  <si>
    <t>A1-3/A2-3</t>
  </si>
  <si>
    <t>90% A1-3 - 10% A2-3</t>
  </si>
  <si>
    <t>Côtes de Thau</t>
  </si>
  <si>
    <t>E1-2</t>
  </si>
  <si>
    <t>Cabernet Sauvignon</t>
  </si>
  <si>
    <t>B2-1/J1-11</t>
  </si>
  <si>
    <t>70% B2-1 (T/M) + 30% J1-11 (Sauv bouteille)</t>
  </si>
  <si>
    <t>Cap d'Agde Rosé Souvenir</t>
  </si>
  <si>
    <t>L1-12</t>
  </si>
  <si>
    <t>B1-6/F2-2/E1-3</t>
  </si>
  <si>
    <t>40% F2-2/30% B1-6/ 30% E1-3</t>
  </si>
  <si>
    <t>D2-7</t>
  </si>
  <si>
    <t>B2-3/ L1-10</t>
  </si>
  <si>
    <t>65% B2-3/35% L1-10</t>
  </si>
  <si>
    <t>J1-5</t>
  </si>
  <si>
    <t>MCR 3g/L 01,15 mg/L Cu2+ 10cL/hL CMC</t>
  </si>
  <si>
    <t>E2-4</t>
  </si>
  <si>
    <t>"Terret blanc"</t>
  </si>
  <si>
    <t>Sustainable Wine Solutions</t>
  </si>
  <si>
    <t>B2-3/L1-10</t>
  </si>
  <si>
    <t>Oc Merlot</t>
  </si>
  <si>
    <t>Jackson Nugent</t>
  </si>
  <si>
    <t>fruité boisé</t>
  </si>
  <si>
    <t>J1-10/ Amiel</t>
  </si>
  <si>
    <t>75% J1-10-25% Amiel 2,5 g/hL Trutan Rf, 4g/L MCR, 10 cL/hL Sweetgum</t>
  </si>
  <si>
    <t>fruiré</t>
  </si>
  <si>
    <t>25% J1-10-75% Amiel 2,5 g/hL Trutan Rf, 2g/L MCR, 10 cL/hL Sweetgum</t>
  </si>
  <si>
    <t>A2-2</t>
  </si>
  <si>
    <t>B2-3</t>
  </si>
  <si>
    <t>60 % F2-3 + 40% B1-8</t>
  </si>
  <si>
    <t>C1-6</t>
  </si>
  <si>
    <t xml:space="preserve">Caurdurié </t>
  </si>
  <si>
    <t>"Cinsault Grenache rosé"</t>
  </si>
  <si>
    <t>A1-7/F1-8</t>
  </si>
  <si>
    <t>80% A1-7 + 20% F1-8 "VDF Chardonnay"</t>
  </si>
  <si>
    <t xml:space="preserve">Finlande </t>
  </si>
  <si>
    <t xml:space="preserve">0,005g/hL cuivre; 1g/L MCR </t>
  </si>
  <si>
    <t>Oc rouge</t>
  </si>
  <si>
    <t>L1-7</t>
  </si>
  <si>
    <t>5g/L MCR; 20cl/hL Sweetgum</t>
  </si>
  <si>
    <t>D1-5</t>
  </si>
  <si>
    <t xml:space="preserve">Lot boisé 1/3 Macaron 2/3 Opéra (Erbsloh) </t>
  </si>
  <si>
    <t>D-6</t>
  </si>
  <si>
    <t>Lot non boisé cuve D1-5</t>
  </si>
  <si>
    <t>Lot blanc</t>
  </si>
  <si>
    <t>HVE</t>
  </si>
  <si>
    <t>Pinot noir</t>
  </si>
  <si>
    <t>C1-4</t>
  </si>
  <si>
    <t>Oc rosé</t>
  </si>
  <si>
    <t>C1-8</t>
  </si>
  <si>
    <t>"Cinsault"</t>
  </si>
  <si>
    <t xml:space="preserve">VDF Pinot noir </t>
  </si>
  <si>
    <t>Oc syrah</t>
  </si>
  <si>
    <t>"Cinsault rosé"</t>
  </si>
  <si>
    <t>"Grenache rosé"</t>
  </si>
  <si>
    <t xml:space="preserve">Marselan </t>
  </si>
  <si>
    <t>E2-6</t>
  </si>
  <si>
    <t xml:space="preserve"> "Grenache rosé"</t>
  </si>
  <si>
    <t>Vigouroux</t>
  </si>
  <si>
    <t>Poujol</t>
  </si>
  <si>
    <t>E1-08</t>
  </si>
  <si>
    <t>"Marsanne lot 2"</t>
  </si>
  <si>
    <t>Finlande</t>
  </si>
  <si>
    <t>C2-2/C2-7/L1-7</t>
  </si>
  <si>
    <t>"Cap d'Agde rouge" 29% L1-7; 37% C2-2; 34%C2-7 6g/L gomme sucrante + 20 cm/hL sweet + 2,5 TT</t>
  </si>
  <si>
    <t>D1-1</t>
  </si>
  <si>
    <t>Tardif GB</t>
  </si>
  <si>
    <t>"Oc rosé"</t>
  </si>
  <si>
    <t xml:space="preserve">Courdurié </t>
  </si>
  <si>
    <t>Cap d'Agde rosé GCF</t>
  </si>
  <si>
    <t>D2-2</t>
  </si>
  <si>
    <t>"Rosé"</t>
  </si>
  <si>
    <t xml:space="preserve">oui </t>
  </si>
  <si>
    <t xml:space="preserve">Vermentino stabulé </t>
  </si>
  <si>
    <t>D1-3</t>
  </si>
  <si>
    <t>"Rolle"</t>
  </si>
  <si>
    <t xml:space="preserve">Merlot rosé </t>
  </si>
  <si>
    <t xml:space="preserve">Sauvignon sup </t>
  </si>
  <si>
    <t xml:space="preserve">Sauvignon variétal </t>
  </si>
  <si>
    <t xml:space="preserve">Chardonnay sup </t>
  </si>
  <si>
    <t xml:space="preserve">Rosé trad tardif </t>
  </si>
  <si>
    <t>Chardonnay Jaubert 50% var + 50% sup</t>
  </si>
  <si>
    <t>"Chardonnay"</t>
  </si>
  <si>
    <t xml:space="preserve">Oc rosé générique </t>
  </si>
  <si>
    <t>"Rosé cinsault"</t>
  </si>
  <si>
    <t>"Rosé merlot"</t>
  </si>
  <si>
    <t>Oc Rosé gris</t>
  </si>
  <si>
    <t>"Merlot Rosé K1"</t>
  </si>
  <si>
    <t>"Syrah Rosé"</t>
  </si>
  <si>
    <t>D1-10</t>
  </si>
  <si>
    <t>Merlot Rosé</t>
  </si>
  <si>
    <t>I1-8</t>
  </si>
  <si>
    <t>Oc Orange</t>
  </si>
  <si>
    <t>J1-2</t>
  </si>
  <si>
    <t>H1-8</t>
  </si>
  <si>
    <t>D2-6</t>
  </si>
  <si>
    <t>thermo</t>
  </si>
  <si>
    <t>C1-2</t>
  </si>
  <si>
    <t>50% A2-6 + 50% E2-6</t>
  </si>
  <si>
    <t>Oc Terret</t>
  </si>
  <si>
    <t>Romuald Vargos</t>
  </si>
  <si>
    <t>50% B1-0 + 50% E1-1</t>
  </si>
  <si>
    <t>Lot GCF Petit degré</t>
  </si>
  <si>
    <t>30 g/hl acide tartrique + 15 g/hl acide malique</t>
  </si>
  <si>
    <t>30 g/hl acide malique + 30 g/hl acide tartrique</t>
  </si>
  <si>
    <t>C2-7</t>
  </si>
  <si>
    <t>Viognier Grenache</t>
  </si>
  <si>
    <t>Lot Cers 1</t>
  </si>
  <si>
    <t>Lot Cers 2</t>
  </si>
  <si>
    <t>Francine</t>
  </si>
  <si>
    <t>I1-9</t>
  </si>
  <si>
    <t>I1-3</t>
  </si>
  <si>
    <t>Besombes</t>
  </si>
  <si>
    <t>F1-06</t>
  </si>
  <si>
    <t>J2-06</t>
  </si>
  <si>
    <t>A1-08</t>
  </si>
  <si>
    <t>I1-09</t>
  </si>
  <si>
    <t>Sauvignon classique</t>
  </si>
  <si>
    <t>Chardonnay variétal</t>
  </si>
  <si>
    <t>Chardonnay classique</t>
  </si>
  <si>
    <t>C1-07</t>
  </si>
  <si>
    <t>A2-03</t>
  </si>
  <si>
    <t>Thau rosé</t>
  </si>
  <si>
    <t>Chardonnay sup</t>
  </si>
  <si>
    <t>Sauvignon sup</t>
  </si>
  <si>
    <t>J2-6</t>
  </si>
  <si>
    <t>Vermentino / Grenache</t>
  </si>
  <si>
    <t>I1-08</t>
  </si>
  <si>
    <t>J1-06</t>
  </si>
  <si>
    <t>70% A1-10 + 30% C1-8</t>
  </si>
  <si>
    <t>SITCO</t>
  </si>
  <si>
    <t>E2-8</t>
  </si>
  <si>
    <t>Grenache Rosé  bouteille</t>
  </si>
  <si>
    <t>66% C1-10 + 34% C1-07</t>
  </si>
  <si>
    <t>A1-07</t>
  </si>
  <si>
    <t>C1-04</t>
  </si>
  <si>
    <t>B1-08</t>
  </si>
  <si>
    <t>Oc orance</t>
  </si>
  <si>
    <t>J1-02</t>
  </si>
  <si>
    <t>I1-10</t>
  </si>
  <si>
    <t>E1-02</t>
  </si>
  <si>
    <t>Les Grandes Serres</t>
  </si>
  <si>
    <t xml:space="preserve">SP Wines </t>
  </si>
  <si>
    <t>Piquepoul Noir</t>
  </si>
  <si>
    <t>85% piquepoul + 15% C1-1+ 1g/L MCR + 2,5 g/hL Tanin RF + 20 cl/hL Sweet</t>
  </si>
  <si>
    <t>40% Chardo petit degré + 60 % A1-08</t>
  </si>
  <si>
    <t>50% Chardo petit degré + 50 % A1-08</t>
  </si>
  <si>
    <t>70% I1-08 + 20% A1-10 + 10 % A2-01</t>
  </si>
  <si>
    <t xml:space="preserve">Castan </t>
  </si>
  <si>
    <t>G1-06</t>
  </si>
  <si>
    <t>50% A1-05 + 50% J3-06</t>
  </si>
  <si>
    <t>G1-04</t>
  </si>
  <si>
    <t>PYR</t>
  </si>
  <si>
    <t>70% I1-08 + 20% A1-10 + 10% A2-01</t>
  </si>
  <si>
    <t>J1-03</t>
  </si>
  <si>
    <t>A1-09</t>
  </si>
  <si>
    <t xml:space="preserve">   </t>
  </si>
  <si>
    <t>C1-06</t>
  </si>
  <si>
    <t xml:space="preserve">Cap d'Agde </t>
  </si>
  <si>
    <t>Chardonnay petit degré</t>
  </si>
  <si>
    <t>chaterret</t>
  </si>
  <si>
    <t>F1-07</t>
  </si>
  <si>
    <t>Cap d'Agde souvenir</t>
  </si>
  <si>
    <t>Cap d'Agde sentiments</t>
  </si>
  <si>
    <t>L1-14</t>
  </si>
  <si>
    <t>Cabernet sauvignon</t>
  </si>
  <si>
    <t xml:space="preserve">thermo </t>
  </si>
  <si>
    <t>D2-06</t>
  </si>
  <si>
    <t>D1-05</t>
  </si>
  <si>
    <t>vrac 1</t>
  </si>
  <si>
    <t>42% B2-06 + 15% F2-02+ 19% E2-04 + 10% I1-07 + 14% J2-09</t>
  </si>
  <si>
    <t>vrac 2</t>
  </si>
  <si>
    <t>32% B2-06 + 15% F2-02+ 19% E2-04 + 19% I1-07 + 14% J2-09</t>
  </si>
  <si>
    <t>20% C2-07 + 80% C2-05</t>
  </si>
  <si>
    <t>F1-00</t>
  </si>
  <si>
    <t>B1-09</t>
  </si>
  <si>
    <t>bled 11</t>
  </si>
  <si>
    <t>E1-06</t>
  </si>
  <si>
    <t>J3-06</t>
  </si>
  <si>
    <t>F1-08</t>
  </si>
  <si>
    <t xml:space="preserve">supérieur </t>
  </si>
  <si>
    <t>60% A1-10 + 15% J1-03 +25% B2-05</t>
  </si>
  <si>
    <t>63% B1-05 + 37% J3-10</t>
  </si>
  <si>
    <t>90% A1-09 + 10% G1-04</t>
  </si>
  <si>
    <t>G1-05</t>
  </si>
  <si>
    <t>Chardonnay Limoux</t>
  </si>
  <si>
    <t xml:space="preserve">Terroirs du Sud </t>
  </si>
  <si>
    <t>Lot oc rosé</t>
  </si>
  <si>
    <t>sup</t>
  </si>
  <si>
    <t>E2-05</t>
  </si>
  <si>
    <t>"IGP côtes de Thau Cap d'Agde"</t>
  </si>
  <si>
    <t>"IGP Oc Sauvignon"</t>
  </si>
  <si>
    <t>petit degré</t>
  </si>
  <si>
    <t>40% F1-07 + 60% G1-06</t>
  </si>
  <si>
    <t>Vermentino/Grenache</t>
  </si>
  <si>
    <t>E2-03</t>
  </si>
  <si>
    <t>Oc orange</t>
  </si>
  <si>
    <t>63% B1-05 + 37% J2-10</t>
  </si>
  <si>
    <t>65%I1-07 + 35% B2-06</t>
  </si>
  <si>
    <t>Alko</t>
  </si>
  <si>
    <t>Assemblage</t>
  </si>
  <si>
    <t>"Cap d'Agde souvenir</t>
  </si>
  <si>
    <t xml:space="preserve">60% A1-10 + 30% I1-08 + 10% D1-09 + 8 g/L MCR + 15 g/hL tartrique </t>
  </si>
  <si>
    <t>"Terre et Mer"</t>
  </si>
  <si>
    <t xml:space="preserve">6 g/l MCR + 5g/hL citrique </t>
  </si>
  <si>
    <t>I1-04</t>
  </si>
  <si>
    <t>I1-07</t>
  </si>
  <si>
    <t>I1-03</t>
  </si>
  <si>
    <t>Oc terret</t>
  </si>
  <si>
    <t>D1-08</t>
  </si>
  <si>
    <t>L1-03</t>
  </si>
  <si>
    <t>Cers</t>
  </si>
  <si>
    <t>30g/hL acide tartrique + 20g/hL acide malique</t>
  </si>
  <si>
    <t xml:space="preserve">Lot 2 </t>
  </si>
  <si>
    <t>Merlot vrac</t>
  </si>
  <si>
    <t>65% B2-06 + 35% B2-06</t>
  </si>
  <si>
    <t xml:space="preserve">Divino </t>
  </si>
  <si>
    <t>Lot Oc rosé</t>
  </si>
  <si>
    <t>"Cinsault Rosé"</t>
  </si>
  <si>
    <t xml:space="preserve">Calmel et Joseph </t>
  </si>
  <si>
    <t>A1-06</t>
  </si>
  <si>
    <t>C1-09</t>
  </si>
  <si>
    <t>D1-06</t>
  </si>
  <si>
    <t>D2-01</t>
  </si>
  <si>
    <t xml:space="preserve">Syrah rosé </t>
  </si>
  <si>
    <t xml:space="preserve">Oc rosé </t>
  </si>
  <si>
    <t>C2-05</t>
  </si>
  <si>
    <t>I1-02</t>
  </si>
  <si>
    <t xml:space="preserve">Variétal </t>
  </si>
  <si>
    <t>Boisé GCF</t>
  </si>
  <si>
    <t>E2-04</t>
  </si>
  <si>
    <t xml:space="preserve">Boisé </t>
  </si>
  <si>
    <t xml:space="preserve"> </t>
  </si>
  <si>
    <t>G1-03</t>
  </si>
  <si>
    <t>G1-01</t>
  </si>
  <si>
    <t>H1-01</t>
  </si>
  <si>
    <t>Blend 11</t>
  </si>
  <si>
    <t xml:space="preserve">Wine fusion </t>
  </si>
  <si>
    <t>E1-05</t>
  </si>
  <si>
    <t>44,5% C1-09 + 31% I1-01 + 24,5% D1-08</t>
  </si>
  <si>
    <t>Domaine du grand sud</t>
  </si>
  <si>
    <t>Limoux</t>
  </si>
  <si>
    <t>I1-05</t>
  </si>
  <si>
    <t>C2-02</t>
  </si>
  <si>
    <t>Cordurié</t>
  </si>
  <si>
    <t>60% chardo sup + 40% chardo classique</t>
  </si>
  <si>
    <t>60% chardo classique + 40% chardo sup</t>
  </si>
  <si>
    <t>H1-06</t>
  </si>
  <si>
    <t xml:space="preserve">Orsolini </t>
  </si>
  <si>
    <t>Exhib</t>
  </si>
  <si>
    <t>Cap d'Agde rosé</t>
  </si>
  <si>
    <t>D1-01</t>
  </si>
  <si>
    <t>Prepa concours</t>
  </si>
  <si>
    <t>J1-08</t>
  </si>
  <si>
    <t>A1-02</t>
  </si>
  <si>
    <t>K1-02</t>
  </si>
  <si>
    <t>L1-16</t>
  </si>
  <si>
    <t>L1-04</t>
  </si>
  <si>
    <t>K1-08</t>
  </si>
  <si>
    <t>L1-01</t>
  </si>
  <si>
    <t>K1-06</t>
  </si>
  <si>
    <t>K1-07</t>
  </si>
  <si>
    <t>D1-02</t>
  </si>
  <si>
    <t>F1-01</t>
  </si>
  <si>
    <t>Vermentino Grenache</t>
  </si>
  <si>
    <t>B2-07</t>
  </si>
  <si>
    <t>F1-02</t>
  </si>
  <si>
    <t>Sup</t>
  </si>
  <si>
    <t>I1-01</t>
  </si>
  <si>
    <t>F2-08</t>
  </si>
  <si>
    <t>E1-04</t>
  </si>
  <si>
    <t>B2-08</t>
  </si>
  <si>
    <t>J3-07</t>
  </si>
  <si>
    <t>J2-11</t>
  </si>
  <si>
    <t>A1-04</t>
  </si>
  <si>
    <t>D1-07</t>
  </si>
  <si>
    <t>"Oc Rosé"</t>
  </si>
  <si>
    <t>Cabernet Sauv</t>
  </si>
  <si>
    <t>C2-01</t>
  </si>
  <si>
    <t>Wine fusion</t>
  </si>
  <si>
    <t>60% Chardo classique + 40% Chardo sup</t>
  </si>
  <si>
    <t>60% Chardo classique + 40% Chardo sup + 15g/hL Citrique + 35g/hL Malique</t>
  </si>
  <si>
    <t>"Rosé lot 3"</t>
  </si>
  <si>
    <t>B1-00</t>
  </si>
  <si>
    <t>MPC</t>
  </si>
  <si>
    <t>C1-01</t>
  </si>
  <si>
    <t>Muscat PG</t>
  </si>
  <si>
    <t>D2-08</t>
  </si>
  <si>
    <t>Grenache blanc</t>
  </si>
  <si>
    <t>J2-01</t>
  </si>
  <si>
    <t>D2-04</t>
  </si>
  <si>
    <t>A2-05</t>
  </si>
  <si>
    <t>B2-02</t>
  </si>
  <si>
    <t>H1-02</t>
  </si>
  <si>
    <t>Marselan rosé cers</t>
  </si>
  <si>
    <t>"Grenache rosé" 5%</t>
  </si>
  <si>
    <t>B1-05</t>
  </si>
  <si>
    <t xml:space="preserve">"Rosé </t>
  </si>
  <si>
    <t>thermo vrac</t>
  </si>
  <si>
    <t>A2-06</t>
  </si>
  <si>
    <t>"Thermo boisé"</t>
  </si>
  <si>
    <t>"Thermo non boisé"</t>
  </si>
  <si>
    <t>"Rosé Lot 1"</t>
  </si>
  <si>
    <t>"Rosé Lot 2"</t>
  </si>
  <si>
    <t>"Rosé Lot 3"</t>
  </si>
  <si>
    <t>Richmond Wines Buying</t>
  </si>
  <si>
    <t>90% vermentino + 10% T et M sec</t>
  </si>
  <si>
    <t>D1-03</t>
  </si>
  <si>
    <t>oc terret</t>
  </si>
  <si>
    <t>A2-04</t>
  </si>
  <si>
    <t>Minervois</t>
  </si>
  <si>
    <t>J3-7</t>
  </si>
  <si>
    <t>"Marsanne lot 1"</t>
  </si>
  <si>
    <t>J2-05</t>
  </si>
  <si>
    <t>Grenache blc</t>
  </si>
  <si>
    <t>A2-07</t>
  </si>
  <si>
    <t>Grenache rsé</t>
  </si>
  <si>
    <t>C1-02</t>
  </si>
  <si>
    <t>70% C1-02 + 30% D1-05 "Cabernet Sauv Lot 1"</t>
  </si>
  <si>
    <t>F1-04</t>
  </si>
  <si>
    <t>75% F1-04 + 25% F1-02 "Cabernet Sauv Lot 2"</t>
  </si>
  <si>
    <t xml:space="preserve">Cabernet  Sauv </t>
  </si>
  <si>
    <t>75% F1-04 + 12,5% F1-02 + 12,5% D1-05  "Cab Sauv lot 2"</t>
  </si>
  <si>
    <t>A1-05</t>
  </si>
  <si>
    <t>assemblage</t>
  </si>
  <si>
    <t>C2-08</t>
  </si>
  <si>
    <t>"Sauvignon lot 1" 50% C2-08 + 50%E1-08"</t>
  </si>
  <si>
    <t xml:space="preserve">"Sauvignon lot 2" </t>
  </si>
  <si>
    <t>Nicolas Cornesse</t>
  </si>
  <si>
    <t>50% E1-08 + 50% A1-02</t>
  </si>
  <si>
    <t>"Rosé lot 1"</t>
  </si>
  <si>
    <t>"Rosé lot 2"</t>
  </si>
  <si>
    <t xml:space="preserve">vrac </t>
  </si>
  <si>
    <t>Ass</t>
  </si>
  <si>
    <t>"Rosé lot 1" 66% H1-02 + 33% D2-02 + 50 g/hL tartrique</t>
  </si>
  <si>
    <t>"Lot 2"</t>
  </si>
  <si>
    <t>"Lot 3"</t>
  </si>
  <si>
    <t>Thau blanc lot 1</t>
  </si>
  <si>
    <t>"Thau blanc" 66% E1-08 + 33% D2-02 lot 2</t>
  </si>
  <si>
    <t>C2-04</t>
  </si>
  <si>
    <t>"Syrah rosé" C2-04 65,7% + H1-02 34,3%</t>
  </si>
  <si>
    <t>"Gros degré"</t>
  </si>
  <si>
    <t>"Lot 1" 70% E1-04 + 30% D2-06</t>
  </si>
  <si>
    <t>"Lot 2" 80% E1-04 + 20% D2-06</t>
  </si>
  <si>
    <t>J3-10</t>
  </si>
  <si>
    <t>"Thau rosé"</t>
  </si>
  <si>
    <t>C1-1</t>
  </si>
  <si>
    <t>F1-4</t>
  </si>
  <si>
    <t>Cab Sauvignon</t>
  </si>
  <si>
    <t>"Merlot rouge"</t>
  </si>
  <si>
    <t>C2-03</t>
  </si>
  <si>
    <t>"Rosé générique lot 1"</t>
  </si>
  <si>
    <t>"Rosé générique lot 2"</t>
  </si>
  <si>
    <t>Syrah MPC</t>
  </si>
  <si>
    <t>Vergne</t>
  </si>
  <si>
    <t>"Rouge générique" 50% B2-07 + 50% F1-02</t>
  </si>
  <si>
    <t>"Rosé lot 1" 66% D2-04 + 33% C2-04 + 50g/hL acide tartrique</t>
  </si>
  <si>
    <t>"Rosé lot 2" 50g/hL acide tartrique</t>
  </si>
  <si>
    <t>"Lot sauvignon VR2" 55% C2-08 + 45% E1-08</t>
  </si>
  <si>
    <t>"Cinsault rosé " 50 g/hL acide tartrique</t>
  </si>
  <si>
    <t>D2-4</t>
  </si>
  <si>
    <t>Thermo</t>
  </si>
  <si>
    <t>Sauvignon VR2</t>
  </si>
  <si>
    <t>C2-06</t>
  </si>
  <si>
    <t>Malbec</t>
  </si>
  <si>
    <t>J3-08</t>
  </si>
  <si>
    <t>Chevalière</t>
  </si>
  <si>
    <t>ass</t>
  </si>
  <si>
    <t>70% A1-06 + 30% J2-03</t>
  </si>
  <si>
    <t>J3-09</t>
  </si>
  <si>
    <t>"Grenache blanc"</t>
  </si>
  <si>
    <t>"Viognier"  47% C1-04 + 38% B1-05 + 15% J3-10</t>
  </si>
  <si>
    <t>VR2</t>
  </si>
  <si>
    <t>Blend</t>
  </si>
  <si>
    <t>C2-07</t>
  </si>
  <si>
    <t>"Chardonnay 13"</t>
  </si>
  <si>
    <t>"Côtes de thau rosé"</t>
  </si>
  <si>
    <t>Viognier vrac</t>
  </si>
  <si>
    <t>Locomotive Wine</t>
  </si>
  <si>
    <t>Sauvage</t>
  </si>
  <si>
    <t>Boisé blend 11</t>
  </si>
  <si>
    <t>"Sauvignon VR2"</t>
  </si>
  <si>
    <t xml:space="preserve">Sp wines </t>
  </si>
  <si>
    <t>"Lot 1" 750 hL C1-01 41% + K1-09 13% + F1-02 28% + C2-02 18% + 4%</t>
  </si>
  <si>
    <t xml:space="preserve">"Lot 2" 600 hL C1-01 50% + K1-09 16% + F1-02 28% + L1-15 6% + 4% </t>
  </si>
  <si>
    <t>75 % A1-06 + 25% C1-02</t>
  </si>
  <si>
    <t>Chardonnay PM</t>
  </si>
  <si>
    <t>Rosé trad</t>
  </si>
  <si>
    <t>Presse sauvignon</t>
  </si>
  <si>
    <t>B1-07</t>
  </si>
  <si>
    <t>Sauvignon tard</t>
  </si>
  <si>
    <t>D2-05</t>
  </si>
  <si>
    <t>Cinsault rosé</t>
  </si>
  <si>
    <t>E1-07</t>
  </si>
  <si>
    <t>D1-09</t>
  </si>
  <si>
    <t>E1-7</t>
  </si>
  <si>
    <t>Ostal Cazes</t>
  </si>
  <si>
    <t>Auriol</t>
  </si>
  <si>
    <t>B1-04</t>
  </si>
  <si>
    <t>"lot 1"</t>
  </si>
  <si>
    <t>C1-03</t>
  </si>
  <si>
    <t>"lot 2"</t>
  </si>
  <si>
    <t>A1-01</t>
  </si>
  <si>
    <t>D2-03</t>
  </si>
  <si>
    <t>J1-09</t>
  </si>
  <si>
    <t>32% A1-01 + 48% D2-03 + 20% J1-09</t>
  </si>
  <si>
    <t>E2-02</t>
  </si>
  <si>
    <t>H1-04</t>
  </si>
  <si>
    <t>"Lot 1"  ass Oc terret + cuivre</t>
  </si>
  <si>
    <t>"Lot 1"</t>
  </si>
  <si>
    <t>Végétal</t>
  </si>
  <si>
    <t>C1-05</t>
  </si>
  <si>
    <t>Cinsault petit degré</t>
  </si>
  <si>
    <t>Végétale</t>
  </si>
  <si>
    <t>IQ1-04</t>
  </si>
  <si>
    <t>E2-08</t>
  </si>
  <si>
    <t>Souvignier</t>
  </si>
  <si>
    <t>D1-04</t>
  </si>
  <si>
    <t>I1-06</t>
  </si>
  <si>
    <t>Yeuse</t>
  </si>
  <si>
    <t>80% var + 20% sup</t>
  </si>
  <si>
    <t>Domaine Blanville</t>
  </si>
  <si>
    <t>B1-06</t>
  </si>
  <si>
    <t>F2-06</t>
  </si>
  <si>
    <t>80% chardonnay variétal + 20% chardonnay supérieur</t>
  </si>
  <si>
    <t>Best cellar</t>
  </si>
  <si>
    <t>H1-05</t>
  </si>
  <si>
    <t>Cabernet TH</t>
  </si>
  <si>
    <t>G1-00</t>
  </si>
  <si>
    <t>"Cabernet rouge"</t>
  </si>
  <si>
    <t>Merlot TH</t>
  </si>
  <si>
    <t>trad</t>
  </si>
  <si>
    <t>J3-3</t>
  </si>
  <si>
    <t>"Marsanne Lot 1"</t>
  </si>
  <si>
    <t>"Marsanne Lot 2"</t>
  </si>
  <si>
    <t>Buvette rouge</t>
  </si>
  <si>
    <t>Cabernet Sauvignon H1-10"</t>
  </si>
  <si>
    <t>Rosé Lot 1</t>
  </si>
  <si>
    <t>Cabernet rosé</t>
  </si>
  <si>
    <t>Rosé Lot 2</t>
  </si>
  <si>
    <t>F2-01</t>
  </si>
  <si>
    <t>Rosé Lot 3</t>
  </si>
  <si>
    <t xml:space="preserve">Contrat rosé </t>
  </si>
  <si>
    <t>Vermentino lot 1</t>
  </si>
  <si>
    <t xml:space="preserve">Verrmentino </t>
  </si>
  <si>
    <t xml:space="preserve">Vermentino lot 2 85% I1-06 + 15% C2-07 </t>
  </si>
  <si>
    <t>Rolle</t>
  </si>
  <si>
    <t>E1-03</t>
  </si>
  <si>
    <t>Marselan rosé</t>
  </si>
  <si>
    <t>Francine rosé</t>
  </si>
  <si>
    <t>Marselan rosé Puimisson</t>
  </si>
  <si>
    <t xml:space="preserve">65% Nielluccio + 35% Cabernet rosé </t>
  </si>
  <si>
    <t xml:space="preserve">Terret petit degré </t>
  </si>
  <si>
    <t>Merlot rosé presse</t>
  </si>
  <si>
    <t>Marselan Rosé Cers</t>
  </si>
  <si>
    <t>Cabernet Rosé</t>
  </si>
  <si>
    <t>Solde Rosé 13%</t>
  </si>
  <si>
    <t>Arc-en-Ciel</t>
  </si>
  <si>
    <t>Lot 5</t>
  </si>
  <si>
    <t xml:space="preserve">Marselan Rosé Bouteille </t>
  </si>
  <si>
    <t>Lot 6</t>
  </si>
  <si>
    <t>Oscar Sanz</t>
  </si>
  <si>
    <t>Sauvignon VDF</t>
  </si>
  <si>
    <t>"Lot 1" B1-08 13% + A1-06 31%  + 47% A1-07 + 9% J1-10</t>
  </si>
  <si>
    <t>"Lot 2"  B1-08 13% + A1-06 31%  + 47% A1-07 + 9% A1-05</t>
  </si>
  <si>
    <t>"Lot 1 50%C2-06 + 50% G1-01"</t>
  </si>
  <si>
    <t>"Chardo 3010"</t>
  </si>
  <si>
    <t>D1-00</t>
  </si>
  <si>
    <t>C1-08</t>
  </si>
  <si>
    <t>H1-07</t>
  </si>
  <si>
    <t xml:space="preserve">  +3% "Oc générique Rosé 1"</t>
  </si>
  <si>
    <t xml:space="preserve"> +3 % "Oc générique Rosé 2"</t>
  </si>
  <si>
    <t>"Oc générique Rosé"</t>
  </si>
  <si>
    <t>"Oc générique Rosé 1"</t>
  </si>
  <si>
    <t>"Oc générique Rosé 2"</t>
  </si>
  <si>
    <t>H1-03</t>
  </si>
  <si>
    <t>"Oc cinsault Rosé"</t>
  </si>
  <si>
    <t>Presse rouge</t>
  </si>
  <si>
    <t>A2-02</t>
  </si>
  <si>
    <t xml:space="preserve">Presse rouge </t>
  </si>
  <si>
    <t>Merlot rouge btl</t>
  </si>
  <si>
    <t>Cap d'Agde rouge btl</t>
  </si>
  <si>
    <t>D2-07</t>
  </si>
  <si>
    <t>Cab Sauvignon btl</t>
  </si>
  <si>
    <t xml:space="preserve">Cap Rosé Petit Degré </t>
  </si>
  <si>
    <t xml:space="preserve">Cap d'Agde Gros Degré </t>
  </si>
  <si>
    <t xml:space="preserve">Chardonnay Casher </t>
  </si>
  <si>
    <t>J1-1</t>
  </si>
  <si>
    <t xml:space="preserve">Cabernet Casher </t>
  </si>
  <si>
    <t>Cinsault Rosé Casher</t>
  </si>
  <si>
    <t xml:space="preserve">Cap d'Agde Rosé Casher </t>
  </si>
  <si>
    <t>TdS</t>
  </si>
  <si>
    <t xml:space="preserve">Chardonnay Supérieur </t>
  </si>
  <si>
    <t xml:space="preserve">ass </t>
  </si>
  <si>
    <t>Grenache Rosé</t>
  </si>
  <si>
    <t xml:space="preserve">Syrah Rosé </t>
  </si>
  <si>
    <t>Sauvignon Variétal</t>
  </si>
  <si>
    <t>Grenache Rosé +</t>
  </si>
  <si>
    <t xml:space="preserve">Grenache Rosé </t>
  </si>
  <si>
    <t>Syrah Rosé</t>
  </si>
  <si>
    <t xml:space="preserve">Chardonnay Variétal </t>
  </si>
  <si>
    <t xml:space="preserve">Viognier vrac </t>
  </si>
  <si>
    <t xml:space="preserve">Générique blanc </t>
  </si>
  <si>
    <t xml:space="preserve">Sauvignon Variétal </t>
  </si>
  <si>
    <t>K1-2</t>
  </si>
  <si>
    <t>J2-10</t>
  </si>
  <si>
    <t xml:space="preserve">Colombard </t>
  </si>
  <si>
    <t>Sauvignon Variétal "D1-10"</t>
  </si>
  <si>
    <t>Sauvignon Supérieur "C1-7"</t>
  </si>
  <si>
    <t xml:space="preserve">Cap d'Agde Rosé Gros degré </t>
  </si>
  <si>
    <t xml:space="preserve">Cap d'Agde Rosé Petit degré </t>
  </si>
  <si>
    <t>Nielluccio Rosé</t>
  </si>
  <si>
    <t xml:space="preserve">Grenache Rosé  </t>
  </si>
  <si>
    <t>E1-8 ex C1-8</t>
  </si>
  <si>
    <t xml:space="preserve">Grenache Rosé   </t>
  </si>
  <si>
    <t>H1-5</t>
  </si>
  <si>
    <t xml:space="preserve">D1-10 </t>
  </si>
  <si>
    <t xml:space="preserve">Chardonnay variétal </t>
  </si>
  <si>
    <t xml:space="preserve">Chardonnay supérieur </t>
  </si>
  <si>
    <t>Chardonnay Viognier 12,8% Lot 1</t>
  </si>
  <si>
    <t xml:space="preserve">Sauvignon Bouteille </t>
  </si>
  <si>
    <t>Muscat vrac 2024</t>
  </si>
  <si>
    <t xml:space="preserve">Vincent </t>
  </si>
  <si>
    <t>Francine Lot 2</t>
  </si>
  <si>
    <t>Francine Lot 1</t>
  </si>
  <si>
    <t>Arc-en-Ciel Lot 1</t>
  </si>
  <si>
    <t>Arc-en-Ciel Lot 2</t>
  </si>
  <si>
    <t>Vincent</t>
  </si>
  <si>
    <t>Grenouille Sauvage Lot 1 (7,2mL MCR, 3mL sorbate, 1,5mL Sweet)</t>
  </si>
  <si>
    <t>Grenouille Sauvage Lot 2 (7,2mL MCR, 3mL sorbate, 1,5mL Sweet, 4 gouttes tanins)</t>
  </si>
  <si>
    <t>Orange  +8g/l MCR</t>
  </si>
  <si>
    <t>Chardonnay Variétal</t>
  </si>
  <si>
    <t xml:space="preserve">Cinsault rosé </t>
  </si>
  <si>
    <t xml:space="preserve">Merlot Rosé </t>
  </si>
  <si>
    <t>Merlot Rouge 24 (70% F1-2, 30% B1-5 + 2g/L MCR)</t>
  </si>
  <si>
    <t>Cabernet 24 (60% E2-2, 40% D2-7)</t>
  </si>
  <si>
    <t xml:space="preserve">Thau Blanc </t>
  </si>
  <si>
    <t xml:space="preserve">Cap d'Agde Blanc </t>
  </si>
  <si>
    <t>Arc-en-Ciel Lot 1 nommé lot 2</t>
  </si>
  <si>
    <t>Arc-en-Ciel Lot 2 nommé Merlot Rosé</t>
  </si>
  <si>
    <t>1250 hL</t>
  </si>
  <si>
    <t>G1-0 ex E1-8 ex C1-8</t>
  </si>
  <si>
    <t xml:space="preserve">Pas de volume indiqué </t>
  </si>
  <si>
    <t>Syrah Rosé "Lot 1"</t>
  </si>
  <si>
    <t>Grenache "Lot 2"</t>
  </si>
  <si>
    <t>Assemblage 50% Lot 1 et 50% Lot 2 "Lot 3"</t>
  </si>
  <si>
    <t>30 g/hl tartrique + 30 g/hl malique - Nommé Lot 1</t>
  </si>
  <si>
    <t>Nommé Lot 2</t>
  </si>
  <si>
    <t>30 % supérieur + 70 % var + 30 g/hl tartrique + 30 g/hl malique - Nommé Lot 3</t>
  </si>
  <si>
    <t>I1-6</t>
  </si>
  <si>
    <t>25 % Vermentino + 75 % Grenache</t>
  </si>
  <si>
    <t>lot vrac</t>
  </si>
  <si>
    <t>Grenache Gris</t>
  </si>
  <si>
    <t>25% Caladoc Rosé C1-10 + 25% Syrah Rosé A1-7 + 50% Rosé trad D1-7</t>
  </si>
  <si>
    <t>30 g/hl tartrique + 30 g/hl malique</t>
  </si>
  <si>
    <t xml:space="preserve">vrac + </t>
  </si>
  <si>
    <t>Nommé Lot 1</t>
  </si>
  <si>
    <t>Lot muscat</t>
  </si>
  <si>
    <t>Casher</t>
  </si>
  <si>
    <t>Cap d'Agde Casher</t>
  </si>
  <si>
    <t>J2-3</t>
  </si>
  <si>
    <t>A1-0</t>
  </si>
  <si>
    <t>Lot Skalli</t>
  </si>
  <si>
    <t>1/3 I1-7 + 2/3 J2-6</t>
  </si>
  <si>
    <t>Buvette Blanc</t>
  </si>
  <si>
    <t>L1-2</t>
  </si>
  <si>
    <t>6% bourbes fines</t>
  </si>
  <si>
    <t>J3-5</t>
  </si>
  <si>
    <t>66% Piquepoul + 33% Sauvignon var</t>
  </si>
  <si>
    <t>Nommé lot 1</t>
  </si>
  <si>
    <t>80% variétal + 20% supérieur</t>
  </si>
  <si>
    <t>Lot 1 : 50% C2-4 + 50% C1-9 + 2g/l MCR</t>
  </si>
  <si>
    <t>Lot 2 : 70% C1-9 + 30% C2-4 + 2g/l MCR</t>
  </si>
  <si>
    <t>Lot 1 : 50% D2-1 + 50% F1-2 + 2g/l MCR</t>
  </si>
  <si>
    <t>Lot 2 : 70% D2-1 + 30% F1-2 + 2g/l MCR</t>
  </si>
  <si>
    <t>A2-01</t>
  </si>
  <si>
    <t>2/3 Cinsault + 1/3 A1-07</t>
  </si>
  <si>
    <t>40% C2-06 +30% C1-09 + 30% A1-09</t>
  </si>
  <si>
    <t>H1-08</t>
  </si>
  <si>
    <t>52% B1-05 + 7% F2-02 + 19% J1-03 +22% J3-06</t>
  </si>
  <si>
    <t>11% D2-07 + 31% I1-04 + 28% J1-08 + 30% C1-01</t>
  </si>
  <si>
    <t>Lot 1 + 10cl/hL Sweet</t>
  </si>
  <si>
    <t>Lot 2 + 10cl/hL Sweet</t>
  </si>
  <si>
    <t>Lot 3 + 10cl/hL Sweet</t>
  </si>
  <si>
    <t xml:space="preserve">Oc Rosé </t>
  </si>
  <si>
    <t>VDF Orange</t>
  </si>
  <si>
    <t xml:space="preserve">Picpoul </t>
  </si>
  <si>
    <t>AOP</t>
  </si>
  <si>
    <t>L1-08</t>
  </si>
  <si>
    <t xml:space="preserve">Cabernet rouge </t>
  </si>
  <si>
    <t>Merlot rouge</t>
  </si>
  <si>
    <t>45% J3-05 + 55% C1-09</t>
  </si>
  <si>
    <t>55% I1-06 + 45% J3-05</t>
  </si>
  <si>
    <t xml:space="preserve">Générique </t>
  </si>
  <si>
    <t xml:space="preserve">Merlot rouge  </t>
  </si>
  <si>
    <t xml:space="preserve">47% chardo var + 47% viognier + 6% bourbes fines </t>
  </si>
  <si>
    <t xml:space="preserve">Pinot </t>
  </si>
  <si>
    <t>50% D1-01 + 40% C2-07 +10% J2-11</t>
  </si>
  <si>
    <t>L1-13</t>
  </si>
  <si>
    <t xml:space="preserve">Sauvignon  </t>
  </si>
  <si>
    <t xml:space="preserve">Lot booster "81% sauv var + 19% Sauv Gers" </t>
  </si>
  <si>
    <t xml:space="preserve">5% bourbes fines </t>
  </si>
  <si>
    <t xml:space="preserve">7% bourbes fines </t>
  </si>
  <si>
    <t>Sauvignon booster 65% Sauv neutre + 35% Sauvignon Gers</t>
  </si>
  <si>
    <t>Achat</t>
  </si>
  <si>
    <t>65% Sauvignon neutre + 35% Sauvignon Gers</t>
  </si>
  <si>
    <t>J1-04</t>
  </si>
  <si>
    <t xml:space="preserve">Chardonnay boisé </t>
  </si>
  <si>
    <t xml:space="preserve">50% C1-09 + 50% E2-04 </t>
  </si>
  <si>
    <t>60% cinsault + 40% grenache</t>
  </si>
  <si>
    <t xml:space="preserve">Lot 1 33% D1-00 + 33%G1-00 + 33% C1-10 + 1g/L MCR </t>
  </si>
  <si>
    <t>70% cinsault + 30% grenache</t>
  </si>
  <si>
    <t>Lot 2 68% D1-00 + 32% C1-10</t>
  </si>
  <si>
    <t>50% cinsault + 50% grenache</t>
  </si>
  <si>
    <t>Lot 3 50% D1-00 + 50% G1-00</t>
  </si>
  <si>
    <t>80% cinsault +  20% grenache</t>
  </si>
  <si>
    <t>I1-1</t>
  </si>
  <si>
    <t>Variétal sup</t>
  </si>
  <si>
    <t>Roll</t>
  </si>
  <si>
    <t>J3-05</t>
  </si>
  <si>
    <t>B2-04</t>
  </si>
  <si>
    <t>J3-11</t>
  </si>
  <si>
    <t>Assemblage Bosini</t>
  </si>
  <si>
    <t>Lot 2 1g/L MCR + 10cl/hL Gomixel + 5 Ultima Soft</t>
  </si>
  <si>
    <t>Lot 3 1g/L MCR + 10cl/hL Gomixel + 5 Oakbarrel</t>
  </si>
  <si>
    <t>Lot boisé</t>
  </si>
  <si>
    <t>10% Flex 2 + 10% Flex 6 + I1-10</t>
  </si>
  <si>
    <t>10% Flex + 10% Flex 6 + I1-8</t>
  </si>
  <si>
    <t>30% Buv Rouge 2025 + 50 % I1-4 + 20% A2-2</t>
  </si>
  <si>
    <t>30% Buv Rouge 2024 + 50 % I1-4 + 20% A2-2</t>
  </si>
  <si>
    <t>F1-1</t>
  </si>
  <si>
    <t xml:space="preserve">Arc en ciel </t>
  </si>
  <si>
    <t>A1-08 80% + K1-13 20%</t>
  </si>
  <si>
    <t>A1-08 30% + A1-03 70%</t>
  </si>
  <si>
    <t>60% C2-02 + 40% L1-13</t>
  </si>
  <si>
    <t xml:space="preserve">Supérieur </t>
  </si>
  <si>
    <t xml:space="preserve">- </t>
  </si>
  <si>
    <t xml:space="preserve">65% A1-8 + 17% A2-8 + 17% A2-7+ 5% + 5g/hL citrique </t>
  </si>
  <si>
    <t xml:space="preserve">Lot B </t>
  </si>
  <si>
    <t xml:space="preserve">42% A1-8 + 18% A2-8 + 22% G1-0 + 18% A2-7 + 3% + 5g/hL citrique </t>
  </si>
  <si>
    <t xml:space="preserve">53% A1-8 + 23% A2-8 + 23% A2-7 + 4% + 5 g/hL citrique </t>
  </si>
  <si>
    <t xml:space="preserve">50% G1-0 + 50% A1-8 + 2% + 5g/hL citrique </t>
  </si>
  <si>
    <t xml:space="preserve">Rosé </t>
  </si>
  <si>
    <t>29% B1-3 + 15% A2-7 + 31% H1-1 + 26% G1-0 + 3% + 5 g/hL citrique</t>
  </si>
  <si>
    <t xml:space="preserve">29% B1-3 + 19% B1-1 + 52% H1-1 + 5% + 5 g/hL citrique </t>
  </si>
  <si>
    <t xml:space="preserve">Blanc </t>
  </si>
  <si>
    <t xml:space="preserve">48% A1-8 + 23% A2-8 + 29% G1-0 + 3% + 5g/hL citrique </t>
  </si>
  <si>
    <t xml:space="preserve">53% A1-8 + 23% A2-8 + 29% G1-0 + 4% + 5 g/hL citrique </t>
  </si>
  <si>
    <t xml:space="preserve">Cabernet rosé </t>
  </si>
  <si>
    <t xml:space="preserve">Grenache rose </t>
  </si>
  <si>
    <t>Grenache rose</t>
  </si>
  <si>
    <t>A2-08 + B1-04</t>
  </si>
  <si>
    <t xml:space="preserve">Thau blanc </t>
  </si>
  <si>
    <t>Thau blanc V.4</t>
  </si>
  <si>
    <t>Essai 1</t>
  </si>
  <si>
    <t>Essai 2</t>
  </si>
  <si>
    <t>F1-03</t>
  </si>
  <si>
    <t xml:space="preserve">45% F1-03 + 29% C1-06 + 26%J3-08 </t>
  </si>
  <si>
    <t>Rosé Perrin 1</t>
  </si>
  <si>
    <t>Rosé Perrin 2</t>
  </si>
  <si>
    <t>Rosé Perrin 3</t>
  </si>
  <si>
    <t>Grenache rosé Marseillan</t>
  </si>
  <si>
    <t>Générique blanc lot 2 orange</t>
  </si>
  <si>
    <t>Blanc TWS 78euros</t>
  </si>
  <si>
    <t xml:space="preserve">Générique blanc lot 1 </t>
  </si>
  <si>
    <t>Lot cers 2</t>
  </si>
  <si>
    <t>Générique rosé lot 1</t>
  </si>
  <si>
    <t>Lot cers 3</t>
  </si>
  <si>
    <t>Générique rosé lot 2</t>
  </si>
  <si>
    <t xml:space="preserve">VDF Blanc </t>
  </si>
  <si>
    <t>Lot Cers 3</t>
  </si>
  <si>
    <t>Oc Rosé Lot 1</t>
  </si>
  <si>
    <t>Lot Cers 4</t>
  </si>
  <si>
    <t>Oc Rosé Lot 2</t>
  </si>
  <si>
    <t>Viognier vrac V.2</t>
  </si>
  <si>
    <t xml:space="preserve">Premium Bouteille </t>
  </si>
  <si>
    <t>Cinsault Rosé Bouteille (250 hL)</t>
  </si>
  <si>
    <t>Cab Rouge Lot BV</t>
  </si>
  <si>
    <t>Buvette Rouge 2025 (500 hL)</t>
  </si>
  <si>
    <t>Cabernet Thermo</t>
  </si>
  <si>
    <t>Cap d'Agde Rouge 2025 (110 hL)</t>
  </si>
  <si>
    <t>2024-2025</t>
  </si>
  <si>
    <t>Cabernet 24-25</t>
  </si>
  <si>
    <t>F2-03</t>
  </si>
  <si>
    <t>Solde Rouge 2025 (900 hL)</t>
  </si>
  <si>
    <t>Cabernet lot 1</t>
  </si>
  <si>
    <t>78% F1-03 + 22% J2-10</t>
  </si>
  <si>
    <t>Cabernet lot 2</t>
  </si>
  <si>
    <t>90% F1-03 + 10% J2-10</t>
  </si>
  <si>
    <t>90% B2-05 + 10% F1-03</t>
  </si>
  <si>
    <t>Grenache Rouge</t>
  </si>
  <si>
    <t>Grenache rouge</t>
  </si>
  <si>
    <t>B2-05</t>
  </si>
  <si>
    <t>Grenache rosé lot 1</t>
  </si>
  <si>
    <t>test 1</t>
  </si>
  <si>
    <t>Grenache rosé lot 2</t>
  </si>
  <si>
    <t>test 2</t>
  </si>
  <si>
    <t>Grenache Cinsault lot 1</t>
  </si>
  <si>
    <t>Lot Rosé test 1</t>
  </si>
  <si>
    <t>Lot Rosé test 2</t>
  </si>
  <si>
    <t>Lot 1 n°26133</t>
  </si>
  <si>
    <t>Lot 1 25% F1-3 + 20% E1-2 + 50% B1-0 + 5%</t>
  </si>
  <si>
    <t>Lot 2 n°26132</t>
  </si>
  <si>
    <t>Lot 2 50% F1-3 + 16% E1-2 + 30% B1-0 + 4%</t>
  </si>
  <si>
    <t>Lot 1 29% B1-3 + 19% A1-7 + 52% H1-1</t>
  </si>
  <si>
    <t>Lot 1 48% D1-6 + 23% A2-8 + 29% C1-4</t>
  </si>
  <si>
    <t>Lot 2 Rosé test 2</t>
  </si>
  <si>
    <t>Lot 2 17,95% B1-3 + 17,95% B1-4 + 32,82% H1-1 + 13,32% A2-8 + 17,95% D1-3</t>
  </si>
  <si>
    <t>Lot 3 Rosé Cers lot 3</t>
  </si>
  <si>
    <t>Lot 3 29% B1-3 + 19% A1-7 + 52% H1-1</t>
  </si>
  <si>
    <t xml:space="preserve">Viognier vrac Boisé </t>
  </si>
  <si>
    <t xml:space="preserve">Viognier Lot Boisé </t>
  </si>
  <si>
    <t>30% A1-1 + 60% C1-6 + 10% C2-1</t>
  </si>
  <si>
    <t>Grenache Rosé Lot 2</t>
  </si>
  <si>
    <t>Cers Lot 3 29% B1-3 + 19% A1-7 + 52% H1-1</t>
  </si>
  <si>
    <t>Grenache Rosé Lot 1</t>
  </si>
  <si>
    <t xml:space="preserve">Cinsault Rosé test 1 26,12% B1-3 + 26,12% B1-4 + H1-1 47,75% </t>
  </si>
  <si>
    <t>Générique Lot 1</t>
  </si>
  <si>
    <t>Générique Lot 2</t>
  </si>
  <si>
    <t>10% A1-7 + 40% H1-1 + 60% A2-7</t>
  </si>
  <si>
    <t>50% A1-7 + 50% H1-1</t>
  </si>
  <si>
    <t xml:space="preserve">Niellucio </t>
  </si>
  <si>
    <t xml:space="preserve">70% E2-8 + 30% L1-3 + 2,5 g/hL acide citrique </t>
  </si>
  <si>
    <t>Chardonnay bouteille</t>
  </si>
  <si>
    <t>Pour Pierre-Yves</t>
  </si>
  <si>
    <t>26%E1-3 + 26% E1-4 + 48% H1-1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</si>
</sst>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dashDotDot">
        <color auto="1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 indent="1"/>
    </xf>
    <xf numFmtId="164" fontId="1" fillId="0" borderId="0" xfId="0" applyNumberFormat="1" applyFont="1"/>
    <xf numFmtId="0" fontId="2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6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/>
    <xf numFmtId="0" fontId="0" fillId="3" borderId="0" xfId="0" applyFill="1"/>
    <xf numFmtId="0" fontId="1" fillId="3" borderId="0" xfId="0" applyFont="1" applyFill="1" applyAlignment="1">
      <alignment vertical="center"/>
    </xf>
    <xf numFmtId="14" fontId="0" fillId="3" borderId="0" xfId="0" applyNumberFormat="1" applyFill="1"/>
    <xf numFmtId="0" fontId="0" fillId="3" borderId="0" xfId="0" quotePrefix="1" applyFill="1"/>
    <xf numFmtId="0" fontId="2" fillId="3" borderId="0" xfId="0" applyFont="1" applyFill="1"/>
    <xf numFmtId="0" fontId="0" fillId="3" borderId="0" xfId="0" applyFill="1" applyAlignment="1">
      <alignment vertical="center"/>
    </xf>
    <xf numFmtId="0" fontId="6" fillId="3" borderId="0" xfId="0" applyFont="1" applyFill="1"/>
    <xf numFmtId="14" fontId="0" fillId="0" borderId="0" xfId="0" applyNumberFormat="1"/>
    <xf numFmtId="14" fontId="2" fillId="0" borderId="0" xfId="0" applyNumberFormat="1" applyFont="1"/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right"/>
    </xf>
    <xf numFmtId="0" fontId="1" fillId="4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1" fillId="4" borderId="0" xfId="0" applyFont="1" applyFill="1"/>
    <xf numFmtId="0" fontId="1" fillId="5" borderId="0" xfId="0" applyFont="1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6" borderId="0" xfId="0" applyFill="1"/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vertical="top"/>
    </xf>
    <xf numFmtId="0" fontId="0" fillId="7" borderId="0" xfId="0" applyFill="1"/>
    <xf numFmtId="0" fontId="0" fillId="7" borderId="0" xfId="0" applyFill="1" applyAlignment="1">
      <alignment horizontal="left" vertical="center"/>
    </xf>
    <xf numFmtId="16" fontId="0" fillId="7" borderId="0" xfId="0" applyNumberFormat="1" applyFill="1"/>
    <xf numFmtId="0" fontId="1" fillId="8" borderId="0" xfId="0" applyFont="1" applyFill="1" applyAlignment="1">
      <alignment vertical="center"/>
    </xf>
    <xf numFmtId="0" fontId="0" fillId="8" borderId="0" xfId="0" applyFill="1"/>
  </cellXfs>
  <cellStyles count="1">
    <cellStyle name="Normal" xfId="0" builtinId="0"/>
  </cellStyles>
  <dxfs count="2">
    <dxf>
      <font>
        <color rgb="FFFF0000"/>
      </font>
      <numFmt numFmtId="1" formatCode="0"/>
    </dxf>
    <dxf>
      <font>
        <color rgb="FF0070C0"/>
      </font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orian MASSON" refreshedDate="45979.749107291667" createdVersion="6" refreshedVersion="8" minRefreshableVersion="3" recordCount="1192" xr:uid="{D3676876-1897-0D46-8EE4-5E5073C81E9D}">
  <cacheSource type="worksheet">
    <worksheetSource ref="A2:N1194" sheet="Listing journalier"/>
  </cacheSource>
  <cacheFields count="14">
    <cacheField name="Date" numFmtId="14">
      <sharedItems containsSemiMixedTypes="0" containsNonDate="0" containsDate="1" containsString="0" minDate="2016-01-10T00:00:00" maxDate="2018-10-12T00:00:00"/>
    </cacheField>
    <cacheField name="Clients" numFmtId="0">
      <sharedItems count="54">
        <s v="Moncigale"/>
        <s v="-"/>
        <s v="Celliers du Vent"/>
        <s v="Terroirs du Sud"/>
        <s v="Grand Sud Vin"/>
        <s v="GCF"/>
        <s v="Castel Béziers"/>
        <s v="Lurton"/>
        <s v="Caves Garnier"/>
        <s v="Jeanjean"/>
        <s v="Badet Clément"/>
        <s v="Skalli"/>
        <s v="Sieur d'Arques"/>
        <s v="Jeantet-Laurent"/>
        <s v="Domaine Auriol"/>
        <s v="Amiel"/>
        <s v="Frontignan"/>
        <s v="Buxy"/>
        <s v="Lacheteau"/>
        <s v="Solis"/>
        <s v="Claude Serra"/>
        <s v="Colruyt"/>
        <s v="Paul Mas"/>
        <s v="Raphaël Michel"/>
        <s v="Charrin"/>
        <s v="Duboeuf"/>
        <s v="Maison Idiart"/>
        <s v="Foncalieu"/>
        <s v="Vivelys"/>
        <s v="Amiel "/>
        <s v="Montariol"/>
        <s v="La Chevalière"/>
        <s v="Inconnu"/>
        <s v="Domaine Vic"/>
        <s v="Gandia PLA"/>
        <s v="Sanz-Gomez"/>
        <s v="Maison Chapoutier"/>
        <s v="Garnier"/>
        <s v="Aldi Suisse"/>
        <s v="Saget"/>
        <s v="Rabovin"/>
        <s v="Delhaize"/>
        <s v="Loron"/>
        <s v="Castel"/>
        <s v="Justamon"/>
        <s v="Ranvier"/>
        <s v="Mommessin"/>
        <s v="DLM"/>
        <s v="Martenot"/>
        <s v="Monte-Bacco"/>
        <s v="Gabriel Meffre"/>
        <s v="Domaine des Yeuses"/>
        <s v="Barton"/>
        <s v="Terroir du Sud" u="1"/>
      </sharedItems>
    </cacheField>
    <cacheField name="Courtier" numFmtId="0">
      <sharedItems containsBlank="1"/>
    </cacheField>
    <cacheField name="Couleur" numFmtId="0">
      <sharedItems count="3">
        <s v="Blanc"/>
        <s v="Rosé"/>
        <s v="Rouge"/>
      </sharedItems>
    </cacheField>
    <cacheField name="Cépage" numFmtId="0">
      <sharedItems/>
    </cacheField>
    <cacheField name="Millésime" numFmtId="0">
      <sharedItems containsMixedTypes="1" containsNumber="1" containsInteger="1" minValue="2015" maxValue="2018" count="5">
        <n v="2016"/>
        <n v="2015"/>
        <s v="NM"/>
        <n v="2017"/>
        <n v="2018"/>
      </sharedItems>
    </cacheField>
    <cacheField name="Qualité" numFmtId="0">
      <sharedItems containsBlank="1" containsMixedTypes="1" containsNumber="1" containsInteger="1" minValue="1" maxValue="2"/>
    </cacheField>
    <cacheField name="Cuve" numFmtId="0">
      <sharedItems containsMixedTypes="1" containsNumber="1" containsInteger="1" minValue="5" maxValue="424"/>
    </cacheField>
    <cacheField name="Volume présenté" numFmtId="0">
      <sharedItems containsNonDate="0" containsString="0" containsBlank="1"/>
    </cacheField>
    <cacheField name="Réalisé" numFmtId="0">
      <sharedItems/>
    </cacheField>
    <cacheField name="Information complémentaire" numFmtId="0">
      <sharedItems containsBlank="1"/>
    </cacheField>
    <cacheField name="Nombre de bouteilles" numFmtId="0">
      <sharedItems containsSemiMixedTypes="0" containsString="0" containsNumber="1" containsInteger="1" minValue="1" maxValue="12"/>
    </cacheField>
    <cacheField name="Volume échantillon (L)" numFmtId="0">
      <sharedItems containsSemiMixedTypes="0" containsString="0" containsNumber="1" minValue="0.375" maxValue="50"/>
    </cacheField>
    <cacheField name="Volume total (L)" numFmtId="0">
      <sharedItems containsSemiMixedTypes="0" containsString="0" containsNumber="1" minValue="0.7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orian MASSON" refreshedDate="45979.74927453704" createdVersion="6" refreshedVersion="8" minRefreshableVersion="3" recordCount="3692" xr:uid="{00000000-000A-0000-FFFF-FFFF00000000}">
  <cacheSource type="worksheet">
    <worksheetSource ref="A2:N9549" sheet="Listing journalier"/>
  </cacheSource>
  <cacheFields count="14">
    <cacheField name="Date" numFmtId="0">
      <sharedItems containsNonDate="0" containsDate="1" containsString="0" containsBlank="1" minDate="2016-01-10T00:00:00" maxDate="2025-11-19T00:00:00"/>
    </cacheField>
    <cacheField name="Clients" numFmtId="0">
      <sharedItems containsBlank="1" count="193">
        <s v="Moncigale"/>
        <s v="-"/>
        <s v="Celliers du Vent"/>
        <s v="Terroirs du Sud"/>
        <s v="Grand Sud Vin"/>
        <s v="GCF"/>
        <s v="Castel Béziers"/>
        <s v="Lurton"/>
        <s v="Caves Garnier"/>
        <s v="Jeanjean"/>
        <s v="Badet Clément"/>
        <s v="Skalli"/>
        <s v="Sieur d'Arques"/>
        <s v="Jeantet-Laurent"/>
        <s v="Domaine Auriol"/>
        <s v="Amiel"/>
        <s v="Frontignan"/>
        <s v="Buxy"/>
        <s v="Lacheteau"/>
        <s v="Solis"/>
        <s v="Claude Serra"/>
        <s v="Colruyt"/>
        <s v="Paul Mas"/>
        <s v="Raphaël Michel"/>
        <s v="Charrin"/>
        <s v="Duboeuf"/>
        <s v="Maison Idiart"/>
        <s v="Foncalieu"/>
        <s v="Vivelys"/>
        <s v="Amiel "/>
        <s v="Montariol"/>
        <s v="La Chevalière"/>
        <s v="Inconnu"/>
        <s v="Domaine Vic"/>
        <s v="Gandia PLA"/>
        <s v="Sanz-Gomez"/>
        <s v="Maison Chapoutier"/>
        <s v="Garnier"/>
        <s v="Aldi Suisse"/>
        <s v="Saget"/>
        <s v="Rabovin"/>
        <s v="Delhaize"/>
        <s v="Loron"/>
        <s v="Castel"/>
        <s v="Justamon"/>
        <s v="Ranvier"/>
        <s v="Mommessin"/>
        <s v="DLM"/>
        <s v="Martenot"/>
        <s v="Monte-Bacco"/>
        <s v="Gabriel Meffre"/>
        <s v="Domaine des Yeuses"/>
        <s v="Barton"/>
        <s v="Chapoutier"/>
        <s v="Divino"/>
        <s v="Jaboulet"/>
        <s v="Ginestet"/>
        <s v="Alte Kunst"/>
        <s v="Rabotvins"/>
        <s v="Yann Masson"/>
        <s v="Patrick Clerget"/>
        <s v="Joseph Castan"/>
        <s v="Vallat"/>
        <s v="Paul Sapin"/>
        <s v="Celliers du Pic"/>
        <s v="DDM"/>
        <s v="Spar"/>
        <s v="Domaine Saint Firmin"/>
        <s v="WinePartners"/>
        <s v="Castanier"/>
        <s v="Le Star"/>
        <s v="MTE International"/>
        <s v="Comptoir Méditérannéen des Vins"/>
        <s v="Castel Nantes"/>
        <s v="Boutinot"/>
        <s v="Florensac"/>
        <s v="Vignoble et compagnie"/>
        <s v="So Vignerons"/>
        <s v="Anagram"/>
        <s v="Transvin"/>
        <s v="Arista Canada"/>
        <s v="TWS"/>
        <s v="CGF"/>
        <s v="Granqvist"/>
        <s v="Gangloff"/>
        <s v="Dalmayr"/>
        <s v="Alma Cersius"/>
        <s v="Richemer"/>
        <s v="Castel Saint Priest"/>
        <s v="UCCOAR"/>
        <s v="Albo"/>
        <s v="Grand Terroir"/>
        <s v="Hermansson &amp; co"/>
        <s v="Pierre Chavin"/>
        <s v="Oenoterroir"/>
        <s v="Boxie"/>
        <s v="Château Croix de Labrie"/>
        <s v="Castan"/>
        <s v="Bataillard"/>
        <s v="Montrose"/>
        <m/>
        <s v="ADVINI"/>
        <s v="Andreu"/>
        <s v="Waddesdon"/>
        <s v="Mas la Chevalière"/>
        <s v="Export"/>
        <s v="Appolo US"/>
        <s v="Liberty Wines"/>
        <s v="Courdurié"/>
        <s v="Landiras GCF"/>
        <s v="Majestic"/>
        <s v="Weincontor"/>
        <s v="Wielinga"/>
        <s v="Gérard Bertrand"/>
        <s v="Sustainable Wine Solutions"/>
        <s v="GCF Petersbach"/>
        <s v="Jackson Nugent"/>
        <s v="Caurdurié "/>
        <s v="Finlande "/>
        <s v="Vigouroux"/>
        <s v="Finlande"/>
        <s v="Courdurié "/>
        <s v="Wine Fusion"/>
        <s v="Besombes"/>
        <s v="Les Grandes Serres"/>
        <s v="Castan "/>
        <s v="JCS"/>
        <s v="GCF Landiras"/>
        <s v="Terroirs du Sud "/>
        <s v="Alko"/>
        <s v="Divino "/>
        <s v="Calmel et Joseph "/>
        <s v="WSC"/>
        <s v="Wine fusion "/>
        <s v="Domaine du grand sud"/>
        <s v="Cordurié"/>
        <s v="Orsolini "/>
        <s v="Richmond Wines Buying"/>
        <s v="Nicolas Cornesse"/>
        <s v="Chevalière"/>
        <s v="Locomotive Wine"/>
        <s v="San Nicolas"/>
        <s v="Vargoz"/>
        <s v="Ostal Cazes"/>
        <s v="Auriol"/>
        <s v="Tds"/>
        <s v="Grandes Serres"/>
        <s v="Yeuse"/>
        <s v="Domaine Blanville"/>
        <s v="Best cellar"/>
        <s v="Virgile Joly"/>
        <s v="Oscar Sanz"/>
        <s v="Pierre Yves ? "/>
        <s v="Yvan and co"/>
        <s v="Montrose "/>
        <s v="Maverick"/>
        <s v="Nicolas Gornes"/>
        <s v="Peter Mertes "/>
        <s v="Villebois "/>
        <s v="Vargoz "/>
        <s v="WSC "/>
        <s v="L.Sauvage "/>
        <s v="GCF Landiras "/>
        <s v="Thomas Castet "/>
        <s v="V2W"/>
        <s v="Gérard Bertrand "/>
        <s v="René Jeanjean "/>
        <s v="Ostal Cazes "/>
        <s v="Bataillard "/>
        <s v="France Brunel "/>
        <s v="Celliers du Vent "/>
        <s v="Jeanjean "/>
        <s v="Salon Suède"/>
        <s v="Laura Kavander : Finlande "/>
        <s v="La Bulk "/>
        <s v="GCF "/>
        <s v="Hermansson "/>
        <s v="Mavericks "/>
        <s v="Compagnons Récoltants"/>
        <s v="Terroir du Sud" u="1"/>
        <s v="Domaine des Marins" u="1"/>
        <s v="JC Simon" u="1"/>
        <s v="Didier Saint Vigne" u="1"/>
        <s v="SP Wine" u="1"/>
        <s v="Olivier Castillot" u="1"/>
        <s v="Romain Duvernay" u="1"/>
        <s v="René Jeanjean" u="1"/>
        <s v="Grand Chais de France" u="1"/>
        <s v="Gilles Lambert" u="1"/>
        <s v="Friedmann" u="1"/>
        <s v="Vailhere Pascal" u="1"/>
        <s v="Nicolas" u="1"/>
        <s v="Murphy winecompany" u="1"/>
      </sharedItems>
    </cacheField>
    <cacheField name="Courtier" numFmtId="0">
      <sharedItems containsBlank="1"/>
    </cacheField>
    <cacheField name="Couleur" numFmtId="0">
      <sharedItems containsBlank="1" count="10">
        <s v="Blanc"/>
        <s v="Rosé"/>
        <s v="Rouge"/>
        <s v="Orange"/>
        <m/>
        <s v="Orange "/>
        <s v="Blanc " u="1"/>
        <s v="Rosé " u="1"/>
        <s v="Rosé  " u="1"/>
        <s v="Rouge " u="1"/>
      </sharedItems>
    </cacheField>
    <cacheField name="Cépage" numFmtId="0">
      <sharedItems containsBlank="1" count="219">
        <s v="Chardonnay"/>
        <s v="Sauvignon"/>
        <s v="Viognier"/>
        <s v="Muscat"/>
        <s v="Syrah"/>
        <s v="Pinot Noir"/>
        <s v="Terret"/>
        <s v="Merlot"/>
        <s v="Cinsault"/>
        <s v="Marsanne"/>
        <s v="Rosé générique"/>
        <s v="Roussanne"/>
        <s v="Héraut Rouge"/>
        <s v="Cabernet"/>
        <s v="Grenache Syrah"/>
        <s v="Alicante"/>
        <s v="Oc blanc"/>
        <s v="Thau blanc"/>
        <s v="Piquepoul"/>
        <s v="Grenache"/>
        <s v="Colombard"/>
        <s v="Vermentino"/>
        <s v="Générique"/>
        <s v="Cinsault/Grenache"/>
        <s v="Piquepoul/Sauvignon"/>
        <s v="Maraval"/>
        <s v="Rosé Cap d'Agde"/>
        <s v="Marsanne Roussanne"/>
        <s v="Terre et Mer"/>
        <s v="Grenache Cinsault"/>
        <s v="HippoCap"/>
        <s v="Blanc générique"/>
        <s v="Viognier Roussanne Marsanne"/>
        <s v="Grenache/Cinsault"/>
        <s v="VDF Blanc"/>
        <s v="Hérault Rouge"/>
        <s v="Terret Vermentino"/>
        <s v="Chardonnay Viognier"/>
        <s v="Oc Rosé"/>
        <s v="Rosé"/>
        <s v="Hérault Rosé"/>
        <s v="Merlot/Cabernet"/>
        <s v="Sauvignon Viognier"/>
        <s v="Blanc Oc"/>
        <s v="VDF Chardonnay"/>
        <s v="VDF Rouge"/>
        <s v="Thau Rosé"/>
        <s v="VDF Rosé"/>
        <s v="Hérault Blanc"/>
        <s v="Piquepoul Sauvignon"/>
        <s v="Cave du Port"/>
        <s v="Marselan"/>
        <s v="Terre et Mer Rosé"/>
        <s v="Oc Rouge"/>
        <s v="Chardonnay Roussanne"/>
        <s v="Blanc muscaté"/>
        <s v="Cap d'Agde Rosé"/>
        <s v="Cabernet Syrah"/>
        <s v="Cabernet Merlot"/>
        <s v="Cap d'Agde Blanc"/>
        <s v="Grenache / Terret"/>
        <s v="Terret Sauvignon"/>
        <s v="Cap d'Agde"/>
        <s v="Terre et Mer Sec"/>
        <s v="Viognier Muscat"/>
        <s v="Marselan Syrah"/>
        <s v="Merlot Petit Verdot"/>
        <s v="Merlot / Cabernet"/>
        <s v="Terret Chardonnay"/>
        <s v="Marselan Grenache"/>
        <s v="Viognier Roussanne"/>
        <s v="Terre du Midi"/>
        <s v="Blanc trad"/>
        <s v="Cinsault Rosé"/>
        <s v="Rosé sauvignon"/>
        <s v="GCC Rosé"/>
        <s v="Terret "/>
        <s v="Merlot Cabernet"/>
        <s v="Arc en Ciel"/>
        <s v="Blanc BIB Suède"/>
        <s v="Pinot"/>
        <s v="BIB Blanc "/>
        <s v="Nouba"/>
        <s v="Chardonnay "/>
        <s v="Arc en Ciel Rosé"/>
        <s v="Type GCF"/>
        <s v="Arc en ciel Blanc"/>
        <s v="Thau Cap d'Agde Rosé"/>
        <s v="Monopôle"/>
        <s v="Arc-en-ciel"/>
        <s v="Chardonnay/Viognier"/>
        <s v="Thau Rosé Cap d'Agde GCF"/>
        <s v="Thau"/>
        <s v="Muscat/Sauvignon"/>
        <s v="-"/>
        <s v="Vermentino Viognier"/>
        <s v="Terret-Chardonnay"/>
        <s v="Cap d'Agde Sentiments"/>
        <s v="Cabernet Sauvignon"/>
        <s v="Cap d'Agde Rosé Souvenir"/>
        <s v="Oc"/>
        <s v="Oc Merlot"/>
        <s v="Cap d'Agde GCF"/>
        <s v="Viognier "/>
        <s v="Merlot "/>
        <s v="Oc syrah"/>
        <s v="Marselan "/>
        <s v="Tardif GB"/>
        <s v="Cap d'Agde rosé GCF"/>
        <s v="Vermentino stabulé "/>
        <s v="Merlot rosé "/>
        <s v="Sauvignon sup "/>
        <s v="Sauvignon variétal "/>
        <s v="Chardonnay sup "/>
        <s v="Rosé trad tardif "/>
        <s v="Chardonnay Jaubert 50% var + 50% sup"/>
        <s v="Oc rosé générique "/>
        <s v="Oc Rosé gris"/>
        <s v="Oc Orange"/>
        <s v="Nielluccio"/>
        <s v="Viognier Grenache"/>
        <s v="Francine"/>
        <s v="Sauvignon classique"/>
        <s v="Chardonnay variétal"/>
        <s v="Chardonnay classique"/>
        <s v="Chardonnay sup"/>
        <s v="Sauvignon variétal"/>
        <s v="Sauvignon sup"/>
        <s v="Muscat "/>
        <s v="Vermentino / Grenache"/>
        <s v="Syrah rosé"/>
        <s v="Grenache rosé"/>
        <s v="Oc orance"/>
        <s v="Piquepoul Noir"/>
        <s v="Chardonnay Viognier "/>
        <s v="Syrah "/>
        <s v="Cap d'Agde "/>
        <s v="Chardonnay petit degré"/>
        <s v="Cap d'Agde souvenir"/>
        <s v="Lot oc rosé"/>
        <s v="Vermentino/Grenache"/>
        <s v="Assemblage"/>
        <s v="Oc terret"/>
        <s v="Lot 1"/>
        <s v="Lot 2 "/>
        <s v="Cers"/>
        <s v="Syrah rosé "/>
        <s v="Oc rosé "/>
        <s v="Exhib"/>
        <s v="Cabernet "/>
        <s v="Vermentino Grenache"/>
        <s v="Cabernet Sauv"/>
        <s v="Orange"/>
        <s v="Muscat PG"/>
        <s v="Grenache blanc"/>
        <s v="Marselan rosé cers"/>
        <s v="Merlot rosé"/>
        <s v="Grenache blc"/>
        <s v="Grenache rsé"/>
        <s v="Cabernet  Sauv "/>
        <s v="Cinsault "/>
        <s v="Ass"/>
        <s v="Cab Sauvignon"/>
        <s v="Syrah MPC"/>
        <s v="Malbec"/>
        <s v="Sauvignon VR2"/>
        <s v="Viognier vrac"/>
        <s v="Sauvignon "/>
        <s v="Rosé trad"/>
        <s v="Presse sauvignon"/>
        <s v="Sauvignon tard"/>
        <s v="Cinsault petit degré"/>
        <s v="Souvignier"/>
        <s v="Orange "/>
        <s v="Grenache "/>
        <s v="Cabernet TH"/>
        <s v="Merlot TH"/>
        <s v="Buvette rouge"/>
        <s v="Nielluccio rosé"/>
        <s v="Cabernet rosé"/>
        <s v="Verrmentino "/>
        <s v="Rolle"/>
        <s v="Terret petit degré "/>
        <s v="Merlot rosé presse"/>
        <s v="Solde Rosé 13%"/>
        <s v="Marselan Rosé Bouteille "/>
        <s v="Sauvignon VDF"/>
        <m/>
        <s v="Grenache rosé "/>
        <s v="Caladoc"/>
        <s v="Presse rouge"/>
        <s v="Presse rouge "/>
        <s v="Merlot rouge btl"/>
        <s v="Cap d'Agde rouge btl"/>
        <s v="Cab Sauvignon btl"/>
        <s v="Grenache rosé +"/>
        <s v="Grenache rosé  "/>
        <s v="Blanc trad "/>
        <s v="Blanc trad/Ugny Blanc "/>
        <s v="Oc Orange "/>
        <s v="VDF Orange "/>
        <s v="Nielluccio "/>
        <s v="Rosé trad "/>
        <s v="Sauvignon Supérieur "/>
        <s v="Chardonnay  "/>
        <s v="Grenache +"/>
        <s v="Francine 3"/>
        <s v="Francine 2"/>
        <s v="Arc-en-Ciel 2"/>
        <s v="Arc-en-Ciel 3"/>
        <s v="Piquepoul "/>
        <s v="Orange+Muscat "/>
        <s v="Vermentino "/>
        <s v="Assemblage "/>
        <s v="Syrah/Grenache"/>
        <s v="Cinsault Rosé "/>
        <s v="Roussanne Marsanne"/>
        <s v="Gris de Gris"/>
        <s v="Terre du Midi Rosé"/>
      </sharedItems>
    </cacheField>
    <cacheField name="Millésime" numFmtId="0">
      <sharedItems containsBlank="1" containsMixedTypes="1" containsNumber="1" containsInteger="1" minValue="2015" maxValue="2025" count="13">
        <n v="2016"/>
        <n v="2015"/>
        <s v="NM"/>
        <n v="2017"/>
        <n v="2018"/>
        <n v="2019"/>
        <n v="2020"/>
        <n v="2021"/>
        <n v="2022"/>
        <n v="2023"/>
        <n v="2024"/>
        <m/>
        <n v="2025"/>
      </sharedItems>
    </cacheField>
    <cacheField name="Qualité" numFmtId="0">
      <sharedItems containsBlank="1" containsMixedTypes="1" containsNumber="1" containsInteger="1" minValue="1" maxValue="210"/>
    </cacheField>
    <cacheField name="Cuve" numFmtId="0">
      <sharedItems containsBlank="1" containsMixedTypes="1" containsNumber="1" containsInteger="1" minValue="5" maxValue="3010"/>
    </cacheField>
    <cacheField name="Volume présenté" numFmtId="0">
      <sharedItems containsString="0" containsBlank="1" containsNumber="1" containsInteger="1" minValue="1200" maxValue="4800"/>
    </cacheField>
    <cacheField name="Réalisé" numFmtId="0">
      <sharedItems containsBlank="1"/>
    </cacheField>
    <cacheField name="Information complémentaire" numFmtId="0">
      <sharedItems containsBlank="1" containsMixedTypes="1" containsNumber="1" minValue="0.01" maxValue="0.06"/>
    </cacheField>
    <cacheField name="Nombre de bouteilles" numFmtId="0">
      <sharedItems containsString="0" containsBlank="1" containsNumber="1" containsInteger="1" minValue="1" maxValue="32"/>
    </cacheField>
    <cacheField name="Volume échantillon (L)" numFmtId="0">
      <sharedItems containsString="0" containsBlank="1" containsNumber="1" minValue="0.375" maxValue="50"/>
    </cacheField>
    <cacheField name="Volume total (L)" numFmtId="0">
      <sharedItems containsString="0" containsBlank="1" containsNumb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2">
  <r>
    <d v="2016-01-10T00:00:00"/>
    <x v="0"/>
    <s v="Olivier Castillo"/>
    <x v="0"/>
    <s v="Chardonnay"/>
    <x v="0"/>
    <s v="supérieur"/>
    <n v="27"/>
    <m/>
    <s v="oui"/>
    <m/>
    <n v="2"/>
    <n v="0.75"/>
    <n v="1.5"/>
  </r>
  <r>
    <d v="2016-01-16T00:00:00"/>
    <x v="1"/>
    <s v="JC Simon"/>
    <x v="0"/>
    <s v="Chardonnay"/>
    <x v="0"/>
    <s v="flatteur"/>
    <n v="14"/>
    <m/>
    <s v="oui"/>
    <m/>
    <n v="3"/>
    <n v="0.75"/>
    <n v="2.25"/>
  </r>
  <r>
    <d v="2016-10-17T00:00:00"/>
    <x v="2"/>
    <m/>
    <x v="0"/>
    <s v="Sauvignon"/>
    <x v="0"/>
    <s v="Classique"/>
    <s v="-"/>
    <m/>
    <s v="oui"/>
    <m/>
    <n v="3"/>
    <n v="0.75"/>
    <n v="2.25"/>
  </r>
  <r>
    <d v="2016-10-17T00:00:00"/>
    <x v="2"/>
    <m/>
    <x v="0"/>
    <s v="Sauvignon"/>
    <x v="0"/>
    <s v="Variétal"/>
    <s v="-"/>
    <m/>
    <s v="oui"/>
    <m/>
    <n v="3"/>
    <n v="0.75"/>
    <n v="2.25"/>
  </r>
  <r>
    <d v="2016-10-17T00:00:00"/>
    <x v="2"/>
    <m/>
    <x v="0"/>
    <s v="Sauvignon"/>
    <x v="0"/>
    <s v="supérieur"/>
    <s v="-"/>
    <m/>
    <s v="oui"/>
    <m/>
    <n v="3"/>
    <n v="0.75"/>
    <n v="2.25"/>
  </r>
  <r>
    <d v="2016-10-17T00:00:00"/>
    <x v="2"/>
    <m/>
    <x v="0"/>
    <s v="Chardonnay"/>
    <x v="0"/>
    <s v="flatteur"/>
    <s v="-"/>
    <m/>
    <s v="oui"/>
    <m/>
    <n v="3"/>
    <n v="0.75"/>
    <n v="2.25"/>
  </r>
  <r>
    <d v="2016-10-17T00:00:00"/>
    <x v="2"/>
    <m/>
    <x v="0"/>
    <s v="Chardonnay"/>
    <x v="0"/>
    <s v="riche"/>
    <s v="-"/>
    <m/>
    <s v="oui"/>
    <m/>
    <n v="3"/>
    <n v="0.75"/>
    <n v="2.25"/>
  </r>
  <r>
    <d v="2016-10-17T00:00:00"/>
    <x v="2"/>
    <m/>
    <x v="0"/>
    <s v="Chardonnay"/>
    <x v="0"/>
    <s v="supérieur"/>
    <s v="-"/>
    <m/>
    <s v="oui"/>
    <m/>
    <n v="3"/>
    <n v="0.75"/>
    <n v="2.25"/>
  </r>
  <r>
    <d v="2016-10-17T00:00:00"/>
    <x v="2"/>
    <m/>
    <x v="0"/>
    <s v="Viognier"/>
    <x v="0"/>
    <m/>
    <n v="424"/>
    <m/>
    <s v="oui"/>
    <m/>
    <n v="3"/>
    <n v="0.75"/>
    <n v="2.25"/>
  </r>
  <r>
    <d v="2016-10-17T00:00:00"/>
    <x v="2"/>
    <m/>
    <x v="0"/>
    <s v="Muscat"/>
    <x v="0"/>
    <s v="hyper ox"/>
    <n v="184"/>
    <m/>
    <s v="oui"/>
    <m/>
    <n v="3"/>
    <n v="0.75"/>
    <n v="2.25"/>
  </r>
  <r>
    <d v="2016-10-17T00:00:00"/>
    <x v="2"/>
    <m/>
    <x v="0"/>
    <s v="Muscat"/>
    <x v="0"/>
    <s v="Petit degré"/>
    <n v="195"/>
    <m/>
    <s v="oui"/>
    <m/>
    <n v="3"/>
    <n v="0.75"/>
    <n v="2.25"/>
  </r>
  <r>
    <d v="2016-10-17T00:00:00"/>
    <x v="2"/>
    <m/>
    <x v="0"/>
    <s v="Muscat"/>
    <x v="0"/>
    <s v="Petit degré"/>
    <n v="30"/>
    <m/>
    <s v="oui"/>
    <m/>
    <n v="3"/>
    <n v="0.75"/>
    <n v="2.25"/>
  </r>
  <r>
    <d v="2016-10-17T00:00:00"/>
    <x v="3"/>
    <m/>
    <x v="0"/>
    <s v="Sauvignon"/>
    <x v="0"/>
    <s v="Classique"/>
    <s v="-"/>
    <m/>
    <s v="oui"/>
    <m/>
    <n v="3"/>
    <n v="0.75"/>
    <n v="2.25"/>
  </r>
  <r>
    <d v="2016-10-17T00:00:00"/>
    <x v="3"/>
    <m/>
    <x v="0"/>
    <s v="Sauvignon"/>
    <x v="0"/>
    <s v="Variétal"/>
    <s v="-"/>
    <m/>
    <s v="oui"/>
    <m/>
    <n v="3"/>
    <n v="0.75"/>
    <n v="2.25"/>
  </r>
  <r>
    <d v="2016-10-17T00:00:00"/>
    <x v="3"/>
    <m/>
    <x v="0"/>
    <s v="Sauvignon"/>
    <x v="0"/>
    <s v="supérieur"/>
    <s v="-"/>
    <m/>
    <s v="oui"/>
    <m/>
    <n v="3"/>
    <n v="0.75"/>
    <n v="2.25"/>
  </r>
  <r>
    <d v="2016-10-17T00:00:00"/>
    <x v="3"/>
    <m/>
    <x v="0"/>
    <s v="Chardonnay"/>
    <x v="0"/>
    <s v="flatteur"/>
    <s v="-"/>
    <m/>
    <s v="oui"/>
    <m/>
    <n v="3"/>
    <n v="0.75"/>
    <n v="2.25"/>
  </r>
  <r>
    <d v="2016-10-17T00:00:00"/>
    <x v="3"/>
    <m/>
    <x v="0"/>
    <s v="Chardonnay"/>
    <x v="0"/>
    <s v="riche"/>
    <s v="-"/>
    <m/>
    <s v="oui"/>
    <m/>
    <n v="3"/>
    <n v="0.75"/>
    <n v="2.25"/>
  </r>
  <r>
    <d v="2016-10-17T00:00:00"/>
    <x v="3"/>
    <m/>
    <x v="0"/>
    <s v="Chardonnay"/>
    <x v="0"/>
    <s v="supérieur"/>
    <s v="-"/>
    <m/>
    <s v="oui"/>
    <m/>
    <n v="3"/>
    <n v="0.75"/>
    <n v="2.25"/>
  </r>
  <r>
    <d v="2016-10-17T00:00:00"/>
    <x v="4"/>
    <s v="-"/>
    <x v="0"/>
    <s v="Sauvignon"/>
    <x v="0"/>
    <s v="Classique"/>
    <s v="-"/>
    <m/>
    <s v="oui"/>
    <m/>
    <n v="3"/>
    <n v="0.75"/>
    <n v="2.25"/>
  </r>
  <r>
    <d v="2016-10-17T00:00:00"/>
    <x v="4"/>
    <s v="-"/>
    <x v="0"/>
    <s v="Sauvignon"/>
    <x v="0"/>
    <s v="Variétal"/>
    <s v="-"/>
    <m/>
    <s v="oui"/>
    <m/>
    <n v="3"/>
    <n v="0.75"/>
    <n v="2.25"/>
  </r>
  <r>
    <d v="2016-10-17T00:00:00"/>
    <x v="4"/>
    <s v="-"/>
    <x v="0"/>
    <s v="Sauvignon"/>
    <x v="0"/>
    <s v="supérieur"/>
    <s v="-"/>
    <m/>
    <s v="oui"/>
    <m/>
    <n v="3"/>
    <n v="0.75"/>
    <n v="2.25"/>
  </r>
  <r>
    <d v="2016-10-17T00:00:00"/>
    <x v="5"/>
    <m/>
    <x v="0"/>
    <s v="Sauvignon"/>
    <x v="0"/>
    <s v="Classique"/>
    <s v="-"/>
    <m/>
    <s v="oui"/>
    <s v="Pas d'indication client"/>
    <n v="3"/>
    <n v="0.75"/>
    <n v="2.25"/>
  </r>
  <r>
    <d v="2016-10-17T00:00:00"/>
    <x v="5"/>
    <m/>
    <x v="1"/>
    <s v="Syrah"/>
    <x v="0"/>
    <s v="-"/>
    <n v="334"/>
    <m/>
    <s v="oui"/>
    <m/>
    <n v="1"/>
    <n v="0.75"/>
    <n v="0.75"/>
  </r>
  <r>
    <d v="2016-10-17T00:00:00"/>
    <x v="2"/>
    <m/>
    <x v="2"/>
    <s v="Pinot Noir"/>
    <x v="0"/>
    <m/>
    <n v="41"/>
    <m/>
    <s v="oui"/>
    <m/>
    <n v="3"/>
    <n v="0.75"/>
    <n v="2.25"/>
  </r>
  <r>
    <d v="2016-10-17T00:00:00"/>
    <x v="2"/>
    <m/>
    <x v="1"/>
    <s v="Pinot Noir"/>
    <x v="0"/>
    <m/>
    <n v="129"/>
    <m/>
    <s v="oui"/>
    <m/>
    <n v="3"/>
    <n v="0.75"/>
    <n v="2.25"/>
  </r>
  <r>
    <d v="2016-10-18T00:00:00"/>
    <x v="6"/>
    <m/>
    <x v="0"/>
    <s v="Muscat"/>
    <x v="0"/>
    <s v="-"/>
    <n v="180"/>
    <m/>
    <s v="oui"/>
    <s v="haut de cuve"/>
    <n v="1"/>
    <n v="0.75"/>
    <n v="0.75"/>
  </r>
  <r>
    <d v="2016-10-18T00:00:00"/>
    <x v="6"/>
    <m/>
    <x v="0"/>
    <s v="Muscat"/>
    <x v="0"/>
    <s v="-"/>
    <n v="180"/>
    <m/>
    <s v="oui"/>
    <s v="bas de cuve"/>
    <n v="1"/>
    <n v="0.75"/>
    <n v="0.75"/>
  </r>
  <r>
    <d v="2016-10-18T00:00:00"/>
    <x v="6"/>
    <m/>
    <x v="0"/>
    <s v="Muscat"/>
    <x v="0"/>
    <s v="-"/>
    <n v="195"/>
    <m/>
    <s v="oui"/>
    <s v="haut de cuve"/>
    <n v="1"/>
    <n v="0.75"/>
    <n v="0.75"/>
  </r>
  <r>
    <d v="2016-10-18T00:00:00"/>
    <x v="6"/>
    <m/>
    <x v="0"/>
    <s v="Muscat"/>
    <x v="0"/>
    <s v="-"/>
    <n v="195"/>
    <m/>
    <s v="oui"/>
    <s v="bas de cuve"/>
    <n v="1"/>
    <n v="0.75"/>
    <n v="0.75"/>
  </r>
  <r>
    <d v="2016-10-18T00:00:00"/>
    <x v="6"/>
    <m/>
    <x v="0"/>
    <s v="Muscat"/>
    <x v="0"/>
    <s v="-"/>
    <n v="30"/>
    <m/>
    <s v="oui"/>
    <s v="haut de cuve"/>
    <n v="1"/>
    <n v="0.75"/>
    <n v="0.75"/>
  </r>
  <r>
    <d v="2016-10-18T00:00:00"/>
    <x v="6"/>
    <m/>
    <x v="0"/>
    <s v="Muscat"/>
    <x v="0"/>
    <s v="-"/>
    <n v="30"/>
    <m/>
    <s v="oui"/>
    <s v="bas de cuve"/>
    <n v="1"/>
    <n v="0.75"/>
    <n v="0.75"/>
  </r>
  <r>
    <d v="2016-10-18T00:00:00"/>
    <x v="1"/>
    <s v="SP Wines"/>
    <x v="0"/>
    <s v="Sauvignon"/>
    <x v="0"/>
    <s v="Variétal"/>
    <s v="-"/>
    <m/>
    <s v="oui"/>
    <m/>
    <n v="2"/>
    <n v="0.75"/>
    <n v="1.5"/>
  </r>
  <r>
    <d v="2016-10-18T00:00:00"/>
    <x v="1"/>
    <s v="SP Wines"/>
    <x v="0"/>
    <s v="Sauvignon"/>
    <x v="0"/>
    <s v="Classique"/>
    <s v="-"/>
    <m/>
    <s v="oui"/>
    <m/>
    <n v="2"/>
    <n v="0.75"/>
    <n v="1.5"/>
  </r>
  <r>
    <d v="2016-10-18T00:00:00"/>
    <x v="1"/>
    <s v="SP Wines"/>
    <x v="0"/>
    <s v="Chardonnay"/>
    <x v="0"/>
    <s v="flatteur"/>
    <s v="-"/>
    <m/>
    <s v="oui"/>
    <m/>
    <n v="1"/>
    <n v="0.75"/>
    <n v="0.75"/>
  </r>
  <r>
    <d v="2016-10-18T00:00:00"/>
    <x v="1"/>
    <s v="SP Wines"/>
    <x v="0"/>
    <s v="Chardonnay"/>
    <x v="0"/>
    <s v="riche"/>
    <s v="-"/>
    <m/>
    <s v="oui"/>
    <m/>
    <n v="1"/>
    <n v="0.75"/>
    <n v="0.75"/>
  </r>
  <r>
    <d v="2016-10-18T00:00:00"/>
    <x v="1"/>
    <s v="SP Wines"/>
    <x v="0"/>
    <s v="Chardonnay"/>
    <x v="0"/>
    <s v="supérieur"/>
    <s v="-"/>
    <m/>
    <s v="oui"/>
    <m/>
    <n v="1"/>
    <n v="0.75"/>
    <n v="0.75"/>
  </r>
  <r>
    <d v="2016-10-19T00:00:00"/>
    <x v="2"/>
    <s v="-"/>
    <x v="0"/>
    <s v="Viognier"/>
    <x v="0"/>
    <s v="-"/>
    <n v="424"/>
    <m/>
    <s v="oui"/>
    <m/>
    <n v="3"/>
    <n v="0.75"/>
    <n v="2.25"/>
  </r>
  <r>
    <d v="2016-10-19T00:00:00"/>
    <x v="1"/>
    <s v="TWS"/>
    <x v="0"/>
    <s v="Terret"/>
    <x v="1"/>
    <s v="Lot 3"/>
    <n v="310"/>
    <m/>
    <s v="oui"/>
    <m/>
    <n v="3"/>
    <n v="0.75"/>
    <n v="2.25"/>
  </r>
  <r>
    <d v="2016-10-19T00:00:00"/>
    <x v="2"/>
    <s v="-"/>
    <x v="0"/>
    <s v="Viognier"/>
    <x v="1"/>
    <s v="supérieur"/>
    <n v="196"/>
    <m/>
    <s v="oui"/>
    <m/>
    <n v="2"/>
    <n v="0.75"/>
    <n v="1.5"/>
  </r>
  <r>
    <d v="2016-10-20T00:00:00"/>
    <x v="1"/>
    <s v="TWS"/>
    <x v="0"/>
    <s v="Sauvignon"/>
    <x v="0"/>
    <s v="Classique"/>
    <s v="-"/>
    <m/>
    <s v="oui"/>
    <m/>
    <n v="3"/>
    <n v="0.75"/>
    <n v="2.25"/>
  </r>
  <r>
    <d v="2016-10-20T00:00:00"/>
    <x v="1"/>
    <s v="TWS"/>
    <x v="0"/>
    <s v="Sauvignon"/>
    <x v="0"/>
    <s v="supérieur"/>
    <s v="-"/>
    <m/>
    <s v="oui"/>
    <m/>
    <n v="1"/>
    <n v="0.75"/>
    <n v="0.75"/>
  </r>
  <r>
    <d v="2016-10-20T00:00:00"/>
    <x v="1"/>
    <s v="TWS"/>
    <x v="0"/>
    <s v="Chardonnay"/>
    <x v="0"/>
    <s v="flatteur"/>
    <s v="-"/>
    <m/>
    <s v="oui"/>
    <m/>
    <n v="3"/>
    <n v="0.75"/>
    <n v="2.25"/>
  </r>
  <r>
    <d v="2016-10-20T00:00:00"/>
    <x v="1"/>
    <s v="TWS"/>
    <x v="0"/>
    <s v="Chardonnay"/>
    <x v="0"/>
    <s v="riche"/>
    <s v="-"/>
    <m/>
    <s v="oui"/>
    <m/>
    <n v="3"/>
    <n v="0.75"/>
    <n v="2.25"/>
  </r>
  <r>
    <d v="2016-10-20T00:00:00"/>
    <x v="1"/>
    <s v="TWS"/>
    <x v="0"/>
    <s v="Chardonnay"/>
    <x v="0"/>
    <s v="supérieur"/>
    <s v="-"/>
    <m/>
    <s v="oui"/>
    <m/>
    <n v="3"/>
    <n v="0.75"/>
    <n v="2.25"/>
  </r>
  <r>
    <d v="2016-10-20T00:00:00"/>
    <x v="1"/>
    <s v="TWS"/>
    <x v="0"/>
    <s v="Muscat"/>
    <x v="0"/>
    <s v="-"/>
    <n v="184"/>
    <m/>
    <s v="oui"/>
    <m/>
    <n v="3"/>
    <n v="0.75"/>
    <n v="2.25"/>
  </r>
  <r>
    <d v="2016-10-20T00:00:00"/>
    <x v="1"/>
    <s v="TWS"/>
    <x v="0"/>
    <s v="Muscat"/>
    <x v="0"/>
    <s v="-"/>
    <n v="30"/>
    <m/>
    <s v="oui"/>
    <m/>
    <n v="3"/>
    <n v="0.75"/>
    <n v="2.25"/>
  </r>
  <r>
    <d v="2016-10-20T00:00:00"/>
    <x v="1"/>
    <s v="TWS"/>
    <x v="0"/>
    <s v="Viognier"/>
    <x v="0"/>
    <s v="-"/>
    <n v="424"/>
    <m/>
    <s v="oui"/>
    <m/>
    <n v="3"/>
    <n v="0.75"/>
    <n v="2.25"/>
  </r>
  <r>
    <d v="2016-10-20T00:00:00"/>
    <x v="1"/>
    <s v="Gilles Lambert"/>
    <x v="0"/>
    <s v="Viognier"/>
    <x v="0"/>
    <s v="-"/>
    <n v="424"/>
    <m/>
    <s v="oui"/>
    <m/>
    <n v="2"/>
    <n v="0.75"/>
    <n v="1.5"/>
  </r>
  <r>
    <d v="2016-10-20T00:00:00"/>
    <x v="1"/>
    <s v="Gilles Lambert"/>
    <x v="2"/>
    <s v="Pinot Noir"/>
    <x v="1"/>
    <s v="-"/>
    <n v="69"/>
    <m/>
    <s v="oui"/>
    <m/>
    <n v="3"/>
    <n v="0.75"/>
    <n v="2.25"/>
  </r>
  <r>
    <d v="2016-10-20T00:00:00"/>
    <x v="1"/>
    <s v="Gilles Lambert"/>
    <x v="0"/>
    <s v="Sauvignon"/>
    <x v="0"/>
    <s v="Classique"/>
    <s v="-"/>
    <m/>
    <s v="oui"/>
    <m/>
    <n v="2"/>
    <n v="0.75"/>
    <n v="1.5"/>
  </r>
  <r>
    <d v="2016-10-20T00:00:00"/>
    <x v="1"/>
    <s v="Gilles Lambert"/>
    <x v="0"/>
    <s v="Sauvignon"/>
    <x v="0"/>
    <s v="Variétal"/>
    <s v="-"/>
    <m/>
    <s v="oui"/>
    <m/>
    <n v="2"/>
    <n v="0.75"/>
    <n v="1.5"/>
  </r>
  <r>
    <d v="2016-10-20T00:00:00"/>
    <x v="1"/>
    <s v="Gilles Lambert"/>
    <x v="0"/>
    <s v="Sauvignon"/>
    <x v="0"/>
    <s v="supérieur"/>
    <s v="-"/>
    <m/>
    <s v="oui"/>
    <m/>
    <n v="2"/>
    <n v="0.75"/>
    <n v="1.5"/>
  </r>
  <r>
    <d v="2016-10-20T00:00:00"/>
    <x v="1"/>
    <s v="Gilles Lambert"/>
    <x v="0"/>
    <s v="Chardonnay"/>
    <x v="0"/>
    <s v="flatteur"/>
    <s v="-"/>
    <m/>
    <s v="oui"/>
    <m/>
    <n v="2"/>
    <n v="0.75"/>
    <n v="1.5"/>
  </r>
  <r>
    <d v="2016-10-20T00:00:00"/>
    <x v="1"/>
    <s v="Gilles Lambert"/>
    <x v="0"/>
    <s v="Chardonnay"/>
    <x v="0"/>
    <s v="riche"/>
    <s v="-"/>
    <m/>
    <s v="oui"/>
    <m/>
    <n v="2"/>
    <n v="0.75"/>
    <n v="1.5"/>
  </r>
  <r>
    <d v="2016-10-20T00:00:00"/>
    <x v="1"/>
    <s v="Gilles Lambert"/>
    <x v="0"/>
    <s v="Chardonnay"/>
    <x v="0"/>
    <s v="supérieur"/>
    <s v="-"/>
    <m/>
    <s v="oui"/>
    <m/>
    <n v="2"/>
    <n v="0.75"/>
    <n v="1.5"/>
  </r>
  <r>
    <d v="2016-10-21T00:00:00"/>
    <x v="2"/>
    <s v="-"/>
    <x v="0"/>
    <s v="Sauvignon"/>
    <x v="0"/>
    <s v="Classique"/>
    <s v="-"/>
    <m/>
    <s v="oui"/>
    <m/>
    <n v="3"/>
    <n v="0.75"/>
    <n v="2.25"/>
  </r>
  <r>
    <d v="2016-10-21T00:00:00"/>
    <x v="2"/>
    <s v="-"/>
    <x v="0"/>
    <s v="Sauvignon"/>
    <x v="0"/>
    <s v="Variétal"/>
    <s v="-"/>
    <m/>
    <s v="oui"/>
    <m/>
    <n v="3"/>
    <n v="0.75"/>
    <n v="2.25"/>
  </r>
  <r>
    <d v="2016-10-21T00:00:00"/>
    <x v="2"/>
    <s v="-"/>
    <x v="0"/>
    <s v="Sauvignon"/>
    <x v="0"/>
    <s v="supérieur"/>
    <s v="-"/>
    <m/>
    <s v="oui"/>
    <m/>
    <n v="3"/>
    <n v="0.75"/>
    <n v="2.25"/>
  </r>
  <r>
    <d v="2016-10-21T00:00:00"/>
    <x v="2"/>
    <s v="-"/>
    <x v="0"/>
    <s v="Chardonnay"/>
    <x v="0"/>
    <s v="flatteur"/>
    <s v="-"/>
    <m/>
    <s v="oui"/>
    <m/>
    <n v="3"/>
    <n v="0.75"/>
    <n v="2.25"/>
  </r>
  <r>
    <d v="2016-10-21T00:00:00"/>
    <x v="2"/>
    <s v="-"/>
    <x v="0"/>
    <s v="Chardonnay"/>
    <x v="0"/>
    <s v="riche"/>
    <s v="-"/>
    <m/>
    <s v="oui"/>
    <m/>
    <n v="3"/>
    <n v="0.75"/>
    <n v="2.25"/>
  </r>
  <r>
    <d v="2016-10-21T00:00:00"/>
    <x v="2"/>
    <s v="-"/>
    <x v="0"/>
    <s v="Chardonnay"/>
    <x v="0"/>
    <s v="supérieur"/>
    <s v="-"/>
    <m/>
    <s v="oui"/>
    <m/>
    <n v="3"/>
    <n v="0.75"/>
    <n v="2.25"/>
  </r>
  <r>
    <d v="2016-10-24T00:00:00"/>
    <x v="2"/>
    <s v="-"/>
    <x v="0"/>
    <s v="Sauvignon"/>
    <x v="0"/>
    <s v="Classique"/>
    <s v="-"/>
    <m/>
    <s v="oui"/>
    <m/>
    <n v="3"/>
    <n v="0.75"/>
    <n v="2.25"/>
  </r>
  <r>
    <d v="2016-10-24T00:00:00"/>
    <x v="2"/>
    <s v="-"/>
    <x v="0"/>
    <s v="Sauvignon"/>
    <x v="0"/>
    <s v="Variétal"/>
    <s v="-"/>
    <m/>
    <s v="oui"/>
    <m/>
    <n v="3"/>
    <n v="0.75"/>
    <n v="2.25"/>
  </r>
  <r>
    <d v="2016-10-24T00:00:00"/>
    <x v="2"/>
    <s v="-"/>
    <x v="0"/>
    <s v="Sauvignon"/>
    <x v="0"/>
    <s v="supérieur"/>
    <s v="-"/>
    <m/>
    <s v="oui"/>
    <m/>
    <n v="3"/>
    <n v="0.75"/>
    <n v="2.25"/>
  </r>
  <r>
    <d v="2016-10-24T00:00:00"/>
    <x v="2"/>
    <s v="-"/>
    <x v="0"/>
    <s v="Chardonnay"/>
    <x v="0"/>
    <s v="flatteur"/>
    <s v="-"/>
    <m/>
    <s v="oui"/>
    <m/>
    <n v="3"/>
    <n v="0.75"/>
    <n v="2.25"/>
  </r>
  <r>
    <d v="2016-10-24T00:00:00"/>
    <x v="2"/>
    <s v="-"/>
    <x v="0"/>
    <s v="Chardonnay"/>
    <x v="0"/>
    <s v="riche"/>
    <s v="-"/>
    <m/>
    <s v="oui"/>
    <m/>
    <n v="3"/>
    <n v="0.75"/>
    <n v="2.25"/>
  </r>
  <r>
    <d v="2016-10-24T00:00:00"/>
    <x v="2"/>
    <s v="-"/>
    <x v="0"/>
    <s v="Chardonnay"/>
    <x v="0"/>
    <s v="supérieur"/>
    <s v="-"/>
    <m/>
    <s v="oui"/>
    <m/>
    <n v="3"/>
    <n v="0.75"/>
    <n v="2.25"/>
  </r>
  <r>
    <d v="2016-10-24T00:00:00"/>
    <x v="2"/>
    <s v="-"/>
    <x v="0"/>
    <s v="Muscat"/>
    <x v="0"/>
    <s v="--"/>
    <n v="36"/>
    <m/>
    <s v="oui"/>
    <m/>
    <n v="3"/>
    <n v="0.75"/>
    <n v="2.25"/>
  </r>
  <r>
    <d v="2016-10-24T00:00:00"/>
    <x v="2"/>
    <s v="-"/>
    <x v="0"/>
    <s v="Muscat"/>
    <x v="0"/>
    <s v="Petit degré"/>
    <n v="30"/>
    <m/>
    <s v="oui"/>
    <m/>
    <n v="3"/>
    <n v="0.75"/>
    <n v="2.25"/>
  </r>
  <r>
    <d v="2016-10-24T00:00:00"/>
    <x v="2"/>
    <s v="-"/>
    <x v="0"/>
    <s v="Viognier"/>
    <x v="0"/>
    <s v="-"/>
    <n v="424"/>
    <m/>
    <s v="oui"/>
    <m/>
    <n v="3"/>
    <n v="0.75"/>
    <n v="2.25"/>
  </r>
  <r>
    <d v="2016-10-24T00:00:00"/>
    <x v="7"/>
    <s v="-"/>
    <x v="0"/>
    <s v="Sauvignon"/>
    <x v="0"/>
    <s v="Variétal"/>
    <n v="423"/>
    <m/>
    <s v="oui"/>
    <m/>
    <n v="1"/>
    <n v="0.75"/>
    <n v="0.75"/>
  </r>
  <r>
    <d v="2016-10-24T00:00:00"/>
    <x v="7"/>
    <s v="-"/>
    <x v="0"/>
    <s v="Sauvignon"/>
    <x v="0"/>
    <s v="supérieur"/>
    <s v="-"/>
    <m/>
    <s v="oui"/>
    <m/>
    <n v="2"/>
    <n v="0.75"/>
    <n v="1.5"/>
  </r>
  <r>
    <d v="2016-10-24T00:00:00"/>
    <x v="7"/>
    <s v="-"/>
    <x v="0"/>
    <s v="Sauvignon"/>
    <x v="0"/>
    <s v="Classique"/>
    <s v="-"/>
    <m/>
    <s v="oui"/>
    <m/>
    <n v="1"/>
    <n v="0.75"/>
    <n v="0.75"/>
  </r>
  <r>
    <d v="2016-10-25T00:00:00"/>
    <x v="1"/>
    <s v="Olivier Castillo"/>
    <x v="0"/>
    <s v="Sauvignon"/>
    <x v="0"/>
    <s v="supérieur"/>
    <s v="-"/>
    <m/>
    <s v="oui"/>
    <m/>
    <n v="1"/>
    <n v="0.75"/>
    <n v="0.75"/>
  </r>
  <r>
    <d v="2016-10-25T00:00:00"/>
    <x v="1"/>
    <s v="Romain Duvernay"/>
    <x v="0"/>
    <s v="Sauvignon"/>
    <x v="0"/>
    <s v="Classique"/>
    <s v="-"/>
    <m/>
    <s v="oui"/>
    <m/>
    <n v="3"/>
    <n v="0.75"/>
    <n v="2.25"/>
  </r>
  <r>
    <d v="2016-10-25T00:00:00"/>
    <x v="1"/>
    <s v="Romain Duvernay"/>
    <x v="0"/>
    <s v="Sauvignon"/>
    <x v="0"/>
    <s v="Variétal"/>
    <n v="423"/>
    <m/>
    <s v="oui"/>
    <m/>
    <n v="3"/>
    <n v="0.75"/>
    <n v="2.25"/>
  </r>
  <r>
    <d v="2016-10-25T00:00:00"/>
    <x v="1"/>
    <s v="Romain Duvernay"/>
    <x v="0"/>
    <s v="Sauvignon"/>
    <x v="0"/>
    <s v="supérieur"/>
    <s v="-"/>
    <m/>
    <s v="oui"/>
    <m/>
    <n v="3"/>
    <n v="0.75"/>
    <n v="2.25"/>
  </r>
  <r>
    <d v="2016-10-25T00:00:00"/>
    <x v="1"/>
    <s v="Romain Duvernay"/>
    <x v="0"/>
    <s v="Chardonnay"/>
    <x v="0"/>
    <s v="flatteur"/>
    <s v="-"/>
    <m/>
    <s v="oui"/>
    <m/>
    <n v="3"/>
    <n v="0.75"/>
    <n v="2.25"/>
  </r>
  <r>
    <d v="2016-10-25T00:00:00"/>
    <x v="1"/>
    <s v="Romain Duvernay"/>
    <x v="0"/>
    <s v="Chardonnay"/>
    <x v="0"/>
    <s v="riche"/>
    <s v="-"/>
    <m/>
    <s v="oui"/>
    <m/>
    <n v="3"/>
    <n v="0.75"/>
    <n v="2.25"/>
  </r>
  <r>
    <d v="2016-10-25T00:00:00"/>
    <x v="1"/>
    <s v="Romain Duvernay"/>
    <x v="0"/>
    <s v="Chardonnay"/>
    <x v="0"/>
    <s v="supérieur"/>
    <s v="-"/>
    <m/>
    <s v="oui"/>
    <m/>
    <n v="3"/>
    <n v="0.75"/>
    <n v="2.25"/>
  </r>
  <r>
    <d v="2016-10-25T00:00:00"/>
    <x v="1"/>
    <s v="Romain Duvernay"/>
    <x v="0"/>
    <s v="Viognier"/>
    <x v="0"/>
    <s v="-"/>
    <n v="424"/>
    <m/>
    <s v="oui"/>
    <m/>
    <n v="3"/>
    <n v="0.75"/>
    <n v="2.25"/>
  </r>
  <r>
    <d v="2016-10-26T00:00:00"/>
    <x v="2"/>
    <s v="-"/>
    <x v="1"/>
    <s v="Merlot"/>
    <x v="0"/>
    <s v="profil expé"/>
    <n v="209"/>
    <m/>
    <s v="oui"/>
    <m/>
    <n v="3"/>
    <n v="0.75"/>
    <n v="2.25"/>
  </r>
  <r>
    <d v="2016-10-26T00:00:00"/>
    <x v="1"/>
    <s v="SP Wines"/>
    <x v="1"/>
    <s v="Cinsault"/>
    <x v="0"/>
    <s v="Assemblage Agde"/>
    <s v="-"/>
    <m/>
    <s v="oui"/>
    <m/>
    <n v="2"/>
    <n v="0.75"/>
    <n v="1.5"/>
  </r>
  <r>
    <d v="2016-10-26T00:00:00"/>
    <x v="1"/>
    <s v="SP Wines"/>
    <x v="0"/>
    <s v="Sauvignon"/>
    <x v="0"/>
    <s v="supérieur"/>
    <s v="-"/>
    <m/>
    <s v="oui"/>
    <m/>
    <n v="2"/>
    <n v="0.75"/>
    <n v="1.5"/>
  </r>
  <r>
    <d v="2016-10-26T00:00:00"/>
    <x v="1"/>
    <s v="SP Wines"/>
    <x v="0"/>
    <s v="Sauvignon"/>
    <x v="0"/>
    <s v="Variétal"/>
    <n v="423"/>
    <m/>
    <s v="oui"/>
    <m/>
    <n v="2"/>
    <n v="0.75"/>
    <n v="1.5"/>
  </r>
  <r>
    <d v="2016-10-26T00:00:00"/>
    <x v="1"/>
    <s v="SP Wines"/>
    <x v="0"/>
    <s v="Sauvignon"/>
    <x v="0"/>
    <s v="supérieur"/>
    <s v="-"/>
    <m/>
    <s v="oui"/>
    <m/>
    <n v="2"/>
    <n v="0.75"/>
    <n v="1.5"/>
  </r>
  <r>
    <d v="2016-10-27T00:00:00"/>
    <x v="4"/>
    <s v="-"/>
    <x v="0"/>
    <s v="Marsanne"/>
    <x v="0"/>
    <s v="-"/>
    <n v="87"/>
    <m/>
    <s v="oui"/>
    <m/>
    <n v="2"/>
    <n v="0.75"/>
    <n v="1.5"/>
  </r>
  <r>
    <d v="2016-10-27T00:00:00"/>
    <x v="4"/>
    <s v="-"/>
    <x v="0"/>
    <s v="Sauvignon"/>
    <x v="0"/>
    <s v="Variétal"/>
    <n v="423"/>
    <m/>
    <s v="oui"/>
    <m/>
    <n v="3"/>
    <n v="0.75"/>
    <n v="2.25"/>
  </r>
  <r>
    <d v="2016-10-27T00:00:00"/>
    <x v="8"/>
    <s v="Murphy winecompany"/>
    <x v="0"/>
    <s v="Chardonnay"/>
    <x v="0"/>
    <s v="Garnier"/>
    <s v="-"/>
    <m/>
    <s v="oui"/>
    <s v="Assemblage Caves Garnier"/>
    <n v="3"/>
    <n v="0.75"/>
    <n v="2.25"/>
  </r>
  <r>
    <d v="2016-10-27T00:00:00"/>
    <x v="8"/>
    <s v="Murphy winecompany"/>
    <x v="0"/>
    <s v="Chardonnay"/>
    <x v="0"/>
    <s v="-"/>
    <n v="313"/>
    <m/>
    <s v="oui"/>
    <s v="Base assemblage Chardonnay Garnier"/>
    <n v="1"/>
    <n v="0.75"/>
    <n v="0.75"/>
  </r>
  <r>
    <d v="2016-10-28T00:00:00"/>
    <x v="2"/>
    <s v="-"/>
    <x v="1"/>
    <s v="Cinsault"/>
    <x v="1"/>
    <s v="-"/>
    <n v="328"/>
    <m/>
    <s v="oui"/>
    <s v="Base Oc Rosé 2015"/>
    <n v="3"/>
    <n v="0.75"/>
    <n v="2.25"/>
  </r>
  <r>
    <d v="2016-11-02T00:00:00"/>
    <x v="9"/>
    <s v="Jacques Woloviek"/>
    <x v="1"/>
    <s v="Rosé générique"/>
    <x v="0"/>
    <s v="Oc Rosé"/>
    <s v="-"/>
    <m/>
    <s v="oui"/>
    <s v="Base Oc Rosé 2016"/>
    <n v="2"/>
    <n v="0.75"/>
    <n v="1.5"/>
  </r>
  <r>
    <d v="2016-11-02T00:00:00"/>
    <x v="9"/>
    <s v="Jacques Woloviek"/>
    <x v="1"/>
    <s v="Rosé générique"/>
    <x v="0"/>
    <s v="Oc Rosé"/>
    <s v="-"/>
    <m/>
    <s v="oui"/>
    <s v="Base Oc Rosé 2016"/>
    <n v="1"/>
    <n v="5"/>
    <n v="5"/>
  </r>
  <r>
    <d v="2016-11-02T00:00:00"/>
    <x v="9"/>
    <s v="Jacques Woloviek"/>
    <x v="1"/>
    <s v="Rosé générique"/>
    <x v="0"/>
    <s v="Hérault Rosé"/>
    <s v="-"/>
    <m/>
    <s v="oui"/>
    <s v="Base Hérault Rosé 2016"/>
    <n v="1"/>
    <n v="5"/>
    <n v="5"/>
  </r>
  <r>
    <d v="2016-11-02T00:00:00"/>
    <x v="9"/>
    <s v="Jacques Woloviek"/>
    <x v="1"/>
    <s v="Rosé générique"/>
    <x v="0"/>
    <s v="Hérault Rosé"/>
    <s v="-"/>
    <m/>
    <s v="oui"/>
    <s v="Base Hérault Rosé 2016"/>
    <n v="2"/>
    <n v="0.75"/>
    <n v="1.5"/>
  </r>
  <r>
    <d v="2016-11-02T00:00:00"/>
    <x v="9"/>
    <s v="Jacques Woloviek"/>
    <x v="0"/>
    <s v="Muscat"/>
    <x v="0"/>
    <s v="1 - 1000 hL"/>
    <s v="-"/>
    <m/>
    <s v="oui"/>
    <s v="1000 hL"/>
    <n v="2"/>
    <n v="0.75"/>
    <n v="1.5"/>
  </r>
  <r>
    <d v="2016-11-02T00:00:00"/>
    <x v="9"/>
    <s v="Jacques Woloviek"/>
    <x v="0"/>
    <s v="Muscat"/>
    <x v="0"/>
    <s v="2 - 1300 hL"/>
    <s v="-"/>
    <m/>
    <s v="oui"/>
    <s v="1300 hL"/>
    <n v="2"/>
    <n v="0.75"/>
    <n v="1.5"/>
  </r>
  <r>
    <d v="2016-11-02T00:00:00"/>
    <x v="9"/>
    <s v="Jacques Woloviek"/>
    <x v="0"/>
    <s v="Muscat"/>
    <x v="0"/>
    <s v="3 - 1900 hL"/>
    <s v="-"/>
    <m/>
    <s v="oui"/>
    <s v="1900 hL"/>
    <n v="2"/>
    <n v="0.75"/>
    <n v="1.5"/>
  </r>
  <r>
    <d v="2016-11-02T00:00:00"/>
    <x v="10"/>
    <s v="René Jeanjean"/>
    <x v="0"/>
    <s v="Sauvignon"/>
    <x v="0"/>
    <s v="Classique"/>
    <n v="198"/>
    <m/>
    <s v="oui"/>
    <m/>
    <n v="3"/>
    <n v="0.75"/>
    <n v="2.25"/>
  </r>
  <r>
    <d v="2016-11-02T00:00:00"/>
    <x v="10"/>
    <s v="René Jeanjean"/>
    <x v="0"/>
    <s v="Sauvignon"/>
    <x v="0"/>
    <s v="Variétal"/>
    <n v="423"/>
    <m/>
    <s v="oui"/>
    <m/>
    <n v="3"/>
    <n v="0.75"/>
    <n v="2.25"/>
  </r>
  <r>
    <d v="2016-11-02T00:00:00"/>
    <x v="10"/>
    <s v="René Jeanjean"/>
    <x v="0"/>
    <s v="Sauvignon"/>
    <x v="0"/>
    <s v="supérieur"/>
    <s v="-"/>
    <m/>
    <s v="oui"/>
    <m/>
    <n v="3"/>
    <n v="0.75"/>
    <n v="2.25"/>
  </r>
  <r>
    <d v="2016-11-02T00:00:00"/>
    <x v="10"/>
    <s v="René Jeanjean"/>
    <x v="0"/>
    <s v="Chardonnay"/>
    <x v="0"/>
    <s v="flatteur"/>
    <s v="-"/>
    <m/>
    <s v="oui"/>
    <m/>
    <n v="3"/>
    <n v="0.75"/>
    <n v="2.25"/>
  </r>
  <r>
    <d v="2016-11-02T00:00:00"/>
    <x v="10"/>
    <s v="René Jeanjean"/>
    <x v="0"/>
    <s v="Chardonnay"/>
    <x v="0"/>
    <s v="riche"/>
    <n v="204"/>
    <m/>
    <s v="oui"/>
    <m/>
    <n v="3"/>
    <n v="0.75"/>
    <n v="2.25"/>
  </r>
  <r>
    <d v="2016-11-02T00:00:00"/>
    <x v="10"/>
    <s v="René Jeanjean"/>
    <x v="0"/>
    <s v="Chardonnay"/>
    <x v="0"/>
    <s v="supérieur"/>
    <s v="-"/>
    <m/>
    <s v="oui"/>
    <m/>
    <n v="3"/>
    <n v="0.75"/>
    <n v="2.25"/>
  </r>
  <r>
    <d v="2016-11-02T00:00:00"/>
    <x v="10"/>
    <s v="René Jeanjean"/>
    <x v="1"/>
    <s v="Rosé générique"/>
    <x v="0"/>
    <s v="Oc Rosé"/>
    <s v="-"/>
    <m/>
    <s v="oui"/>
    <s v="Base Oc Rosé 2016"/>
    <n v="3"/>
    <n v="0.75"/>
    <n v="2.25"/>
  </r>
  <r>
    <d v="2016-11-02T00:00:00"/>
    <x v="10"/>
    <s v="René Jeanjean"/>
    <x v="1"/>
    <s v="Rosé générique"/>
    <x v="0"/>
    <s v="Hérault Rosé"/>
    <s v="-"/>
    <m/>
    <s v="oui"/>
    <s v="Base Hérault Rosé 2016"/>
    <n v="3"/>
    <n v="0.75"/>
    <n v="2.25"/>
  </r>
  <r>
    <d v="2016-11-02T00:00:00"/>
    <x v="1"/>
    <s v="TWS"/>
    <x v="0"/>
    <s v="Chardonnay"/>
    <x v="0"/>
    <s v="flatteur"/>
    <s v="-"/>
    <m/>
    <s v="oui"/>
    <m/>
    <n v="4"/>
    <n v="0.75"/>
    <n v="3"/>
  </r>
  <r>
    <d v="2016-11-02T00:00:00"/>
    <x v="1"/>
    <s v="TWS"/>
    <x v="0"/>
    <s v="Sauvignon"/>
    <x v="0"/>
    <s v="Classique"/>
    <n v="198"/>
    <m/>
    <s v="oui"/>
    <m/>
    <n v="4"/>
    <n v="0.75"/>
    <n v="3"/>
  </r>
  <r>
    <d v="2016-11-02T00:00:00"/>
    <x v="2"/>
    <s v="-"/>
    <x v="0"/>
    <s v="Sauvignon"/>
    <x v="0"/>
    <s v="Classique"/>
    <n v="198"/>
    <m/>
    <s v="oui"/>
    <m/>
    <n v="3"/>
    <n v="0.75"/>
    <n v="2.25"/>
  </r>
  <r>
    <d v="2016-11-02T00:00:00"/>
    <x v="2"/>
    <s v="-"/>
    <x v="0"/>
    <s v="Sauvignon"/>
    <x v="0"/>
    <s v="Variétal"/>
    <n v="423"/>
    <m/>
    <s v="oui"/>
    <m/>
    <n v="3"/>
    <n v="0.75"/>
    <n v="2.25"/>
  </r>
  <r>
    <d v="2016-11-02T00:00:00"/>
    <x v="2"/>
    <s v="-"/>
    <x v="0"/>
    <s v="Sauvignon"/>
    <x v="0"/>
    <s v="supérieur"/>
    <s v="-"/>
    <m/>
    <s v="oui"/>
    <m/>
    <n v="3"/>
    <n v="0.75"/>
    <n v="2.25"/>
  </r>
  <r>
    <d v="2016-11-02T00:00:00"/>
    <x v="2"/>
    <s v="-"/>
    <x v="0"/>
    <s v="Chardonnay"/>
    <x v="0"/>
    <s v="flatteur"/>
    <s v="-"/>
    <m/>
    <s v="oui"/>
    <m/>
    <n v="3"/>
    <n v="0.75"/>
    <n v="2.25"/>
  </r>
  <r>
    <d v="2016-11-02T00:00:00"/>
    <x v="2"/>
    <s v="-"/>
    <x v="0"/>
    <s v="Chardonnay"/>
    <x v="0"/>
    <s v="riche"/>
    <n v="204"/>
    <m/>
    <s v="oui"/>
    <m/>
    <n v="3"/>
    <n v="0.75"/>
    <n v="2.25"/>
  </r>
  <r>
    <d v="2016-11-02T00:00:00"/>
    <x v="2"/>
    <s v="-"/>
    <x v="0"/>
    <s v="Chardonnay"/>
    <x v="0"/>
    <s v="supérieur"/>
    <s v="-"/>
    <m/>
    <s v="oui"/>
    <m/>
    <n v="3"/>
    <n v="0.75"/>
    <n v="2.25"/>
  </r>
  <r>
    <d v="2016-11-02T00:00:00"/>
    <x v="2"/>
    <s v="-"/>
    <x v="0"/>
    <s v="Viognier"/>
    <x v="1"/>
    <s v="supérieur"/>
    <n v="48"/>
    <m/>
    <s v="oui"/>
    <m/>
    <n v="2"/>
    <n v="0.75"/>
    <n v="1.5"/>
  </r>
  <r>
    <d v="2016-11-03T00:00:00"/>
    <x v="11"/>
    <s v="-"/>
    <x v="0"/>
    <s v="Sauvignon"/>
    <x v="0"/>
    <s v="Classique"/>
    <n v="401"/>
    <m/>
    <s v="oui"/>
    <m/>
    <n v="2"/>
    <n v="0.75"/>
    <n v="1.5"/>
  </r>
  <r>
    <d v="2016-11-03T00:00:00"/>
    <x v="11"/>
    <s v="-"/>
    <x v="0"/>
    <s v="Sauvignon"/>
    <x v="0"/>
    <s v="Variétal"/>
    <n v="423"/>
    <m/>
    <s v="oui"/>
    <m/>
    <n v="2"/>
    <n v="0.75"/>
    <n v="1.5"/>
  </r>
  <r>
    <d v="2016-11-03T00:00:00"/>
    <x v="11"/>
    <s v="-"/>
    <x v="0"/>
    <s v="Sauvignon"/>
    <x v="0"/>
    <s v="supérieur"/>
    <s v="-"/>
    <m/>
    <s v="oui"/>
    <m/>
    <n v="2"/>
    <n v="0.75"/>
    <n v="1.5"/>
  </r>
  <r>
    <d v="2016-11-03T00:00:00"/>
    <x v="11"/>
    <s v="-"/>
    <x v="0"/>
    <s v="Chardonnay"/>
    <x v="0"/>
    <s v="flatteur"/>
    <s v="-"/>
    <m/>
    <s v="oui"/>
    <m/>
    <n v="2"/>
    <n v="0.75"/>
    <n v="1.5"/>
  </r>
  <r>
    <d v="2016-11-03T00:00:00"/>
    <x v="11"/>
    <s v="-"/>
    <x v="0"/>
    <s v="Chardonnay"/>
    <x v="0"/>
    <s v="riche"/>
    <n v="204"/>
    <m/>
    <s v="oui"/>
    <m/>
    <n v="2"/>
    <n v="0.75"/>
    <n v="1.5"/>
  </r>
  <r>
    <d v="2016-11-03T00:00:00"/>
    <x v="11"/>
    <s v="-"/>
    <x v="0"/>
    <s v="Chardonnay"/>
    <x v="0"/>
    <s v="supérieur"/>
    <s v="-"/>
    <m/>
    <s v="oui"/>
    <m/>
    <n v="2"/>
    <n v="0.75"/>
    <n v="1.5"/>
  </r>
  <r>
    <d v="2016-11-03T00:00:00"/>
    <x v="11"/>
    <s v="-"/>
    <x v="2"/>
    <s v="Pinot Noir"/>
    <x v="0"/>
    <s v="-"/>
    <n v="41"/>
    <m/>
    <s v="oui"/>
    <m/>
    <n v="2"/>
    <n v="0.75"/>
    <n v="1.5"/>
  </r>
  <r>
    <d v="2016-11-03T00:00:00"/>
    <x v="11"/>
    <s v="-"/>
    <x v="1"/>
    <s v="Merlot"/>
    <x v="0"/>
    <s v="profil expé"/>
    <s v="209+206"/>
    <m/>
    <s v="oui"/>
    <m/>
    <n v="2"/>
    <n v="0.75"/>
    <n v="1.5"/>
  </r>
  <r>
    <d v="2016-11-03T00:00:00"/>
    <x v="1"/>
    <s v="SP Wines"/>
    <x v="0"/>
    <s v="Viognier"/>
    <x v="0"/>
    <s v="-"/>
    <n v="424"/>
    <m/>
    <s v="oui"/>
    <m/>
    <n v="2"/>
    <n v="0.75"/>
    <n v="1.5"/>
  </r>
  <r>
    <d v="2016-11-04T00:00:00"/>
    <x v="12"/>
    <s v="René Jeanjean"/>
    <x v="0"/>
    <s v="Muscat"/>
    <x v="0"/>
    <s v="Standart"/>
    <s v="-"/>
    <m/>
    <s v="oui"/>
    <s v="Lot 100 hL solde Muscat"/>
    <n v="2"/>
    <n v="0.75"/>
    <n v="1.5"/>
  </r>
  <r>
    <d v="2016-11-04T00:00:00"/>
    <x v="12"/>
    <s v="René Jeanjean"/>
    <x v="0"/>
    <s v="Muscat"/>
    <x v="0"/>
    <s v="Petit degré"/>
    <s v="-"/>
    <m/>
    <s v="oui"/>
    <s v="Blend cuves Petit degré"/>
    <n v="2"/>
    <n v="0.75"/>
    <n v="1.5"/>
  </r>
  <r>
    <d v="2016-11-07T00:00:00"/>
    <x v="2"/>
    <s v="-"/>
    <x v="0"/>
    <s v="Sauvignon"/>
    <x v="0"/>
    <s v="supérieur"/>
    <n v="205"/>
    <m/>
    <s v="oui"/>
    <m/>
    <n v="3"/>
    <n v="0.75"/>
    <n v="2.25"/>
  </r>
  <r>
    <d v="2016-11-07T00:00:00"/>
    <x v="2"/>
    <s v="-"/>
    <x v="0"/>
    <s v="Sauvignon"/>
    <x v="0"/>
    <s v="Classique"/>
    <n v="198"/>
    <m/>
    <s v="oui"/>
    <m/>
    <n v="3"/>
    <n v="0.75"/>
    <n v="2.25"/>
  </r>
  <r>
    <d v="2016-11-07T00:00:00"/>
    <x v="2"/>
    <s v="-"/>
    <x v="0"/>
    <s v="Chardonnay"/>
    <x v="0"/>
    <s v="riche"/>
    <n v="204"/>
    <m/>
    <s v="oui"/>
    <m/>
    <n v="3"/>
    <n v="0.75"/>
    <n v="2.25"/>
  </r>
  <r>
    <d v="2016-11-07T00:00:00"/>
    <x v="2"/>
    <s v="-"/>
    <x v="0"/>
    <s v="Viognier"/>
    <x v="0"/>
    <s v="-"/>
    <n v="424"/>
    <m/>
    <s v="oui"/>
    <m/>
    <n v="3"/>
    <n v="0.75"/>
    <n v="2.25"/>
  </r>
  <r>
    <d v="2016-11-07T00:00:00"/>
    <x v="2"/>
    <s v="-"/>
    <x v="0"/>
    <s v="Sauvignon"/>
    <x v="0"/>
    <s v="Variétal"/>
    <n v="423"/>
    <m/>
    <s v="oui"/>
    <m/>
    <n v="3"/>
    <n v="0.75"/>
    <n v="2.25"/>
  </r>
  <r>
    <d v="2016-11-07T00:00:00"/>
    <x v="13"/>
    <s v="-"/>
    <x v="0"/>
    <s v="Viognier"/>
    <x v="0"/>
    <s v="supérieur"/>
    <s v="-"/>
    <m/>
    <s v="oui"/>
    <m/>
    <n v="2"/>
    <n v="0.75"/>
    <n v="1.5"/>
  </r>
  <r>
    <d v="2016-11-07T00:00:00"/>
    <x v="1"/>
    <s v="Friedmann"/>
    <x v="0"/>
    <s v="Chardonnay"/>
    <x v="0"/>
    <s v="flatteur"/>
    <s v="-"/>
    <m/>
    <s v="oui"/>
    <m/>
    <n v="3"/>
    <n v="0.75"/>
    <n v="2.25"/>
  </r>
  <r>
    <d v="2016-11-07T00:00:00"/>
    <x v="1"/>
    <s v="Friedmann"/>
    <x v="0"/>
    <s v="Sauvignon"/>
    <x v="0"/>
    <s v="Classique"/>
    <n v="198"/>
    <m/>
    <s v="oui"/>
    <m/>
    <n v="4"/>
    <n v="0.75"/>
    <n v="3"/>
  </r>
  <r>
    <d v="2016-11-07T00:00:00"/>
    <x v="5"/>
    <s v="-"/>
    <x v="0"/>
    <s v="Chardonnay"/>
    <x v="0"/>
    <s v="flatteur"/>
    <s v="-"/>
    <m/>
    <s v="oui"/>
    <m/>
    <n v="4"/>
    <n v="0.75"/>
    <n v="3"/>
  </r>
  <r>
    <d v="2016-11-07T00:00:00"/>
    <x v="5"/>
    <s v="-"/>
    <x v="0"/>
    <s v="Chardonnay"/>
    <x v="0"/>
    <s v="supérieur"/>
    <s v="-"/>
    <m/>
    <s v="oui"/>
    <m/>
    <n v="3"/>
    <n v="0.75"/>
    <n v="2.25"/>
  </r>
  <r>
    <d v="2016-11-07T00:00:00"/>
    <x v="14"/>
    <s v="-"/>
    <x v="0"/>
    <s v="Chardonnay"/>
    <x v="0"/>
    <s v="flatteur"/>
    <s v="-"/>
    <m/>
    <s v="oui"/>
    <m/>
    <n v="3"/>
    <n v="0.75"/>
    <n v="2.25"/>
  </r>
  <r>
    <d v="2016-11-07T00:00:00"/>
    <x v="14"/>
    <s v="-"/>
    <x v="0"/>
    <s v="Chardonnay"/>
    <x v="0"/>
    <s v="riche"/>
    <s v="-"/>
    <m/>
    <s v="oui"/>
    <m/>
    <n v="3"/>
    <n v="0.75"/>
    <n v="2.25"/>
  </r>
  <r>
    <d v="2016-11-07T00:00:00"/>
    <x v="14"/>
    <s v="-"/>
    <x v="0"/>
    <s v="Chardonnay"/>
    <x v="0"/>
    <s v="supérieur"/>
    <s v="-"/>
    <m/>
    <s v="oui"/>
    <m/>
    <n v="2"/>
    <n v="0.75"/>
    <n v="1.5"/>
  </r>
  <r>
    <d v="2016-11-07T00:00:00"/>
    <x v="14"/>
    <s v="-"/>
    <x v="0"/>
    <s v="Chardonnay"/>
    <x v="0"/>
    <s v="flatteur"/>
    <s v="-"/>
    <m/>
    <s v="oui"/>
    <m/>
    <n v="2"/>
    <n v="0.75"/>
    <n v="1.5"/>
  </r>
  <r>
    <d v="2016-11-07T00:00:00"/>
    <x v="14"/>
    <s v="-"/>
    <x v="0"/>
    <s v="Chardonnay"/>
    <x v="0"/>
    <s v="riche"/>
    <n v="201"/>
    <m/>
    <s v="oui"/>
    <m/>
    <n v="2"/>
    <n v="0.75"/>
    <n v="1.5"/>
  </r>
  <r>
    <d v="2016-11-07T00:00:00"/>
    <x v="14"/>
    <s v="-"/>
    <x v="0"/>
    <s v="Sauvignon"/>
    <x v="0"/>
    <s v="Classique"/>
    <n v="198"/>
    <m/>
    <s v="oui"/>
    <m/>
    <n v="2"/>
    <n v="0.75"/>
    <n v="1.5"/>
  </r>
  <r>
    <d v="2016-11-07T00:00:00"/>
    <x v="14"/>
    <s v="-"/>
    <x v="0"/>
    <s v="Sauvignon"/>
    <x v="0"/>
    <s v="Variétal"/>
    <n v="423"/>
    <m/>
    <s v="oui"/>
    <m/>
    <n v="2"/>
    <n v="0.75"/>
    <n v="1.5"/>
  </r>
  <r>
    <d v="2016-11-07T00:00:00"/>
    <x v="14"/>
    <s v="-"/>
    <x v="0"/>
    <s v="Viognier"/>
    <x v="0"/>
    <s v="-"/>
    <n v="424"/>
    <m/>
    <s v="oui"/>
    <m/>
    <n v="3"/>
    <n v="0.75"/>
    <n v="2.25"/>
  </r>
  <r>
    <d v="2016-11-07T00:00:00"/>
    <x v="14"/>
    <s v="-"/>
    <x v="0"/>
    <s v="Marsanne"/>
    <x v="0"/>
    <s v="-"/>
    <n v="87"/>
    <m/>
    <s v="oui"/>
    <m/>
    <n v="2"/>
    <n v="0.75"/>
    <n v="1.5"/>
  </r>
  <r>
    <d v="2016-11-07T00:00:00"/>
    <x v="14"/>
    <s v="-"/>
    <x v="0"/>
    <s v="Roussanne"/>
    <x v="0"/>
    <s v="-"/>
    <n v="12"/>
    <m/>
    <s v="oui"/>
    <m/>
    <n v="2"/>
    <n v="0.75"/>
    <n v="1.5"/>
  </r>
  <r>
    <d v="2016-11-07T00:00:00"/>
    <x v="14"/>
    <s v="-"/>
    <x v="1"/>
    <s v="Rosé générique"/>
    <x v="0"/>
    <s v="Oc Rosé"/>
    <s v="-"/>
    <m/>
    <s v="oui"/>
    <m/>
    <n v="2"/>
    <n v="0.75"/>
    <n v="1.5"/>
  </r>
  <r>
    <d v="2016-11-07T00:00:00"/>
    <x v="14"/>
    <s v="-"/>
    <x v="1"/>
    <s v="Rosé générique"/>
    <x v="0"/>
    <s v="Hérault Rosé"/>
    <s v="-"/>
    <m/>
    <s v="oui"/>
    <m/>
    <n v="2"/>
    <n v="0.75"/>
    <n v="1.5"/>
  </r>
  <r>
    <d v="2016-11-08T00:00:00"/>
    <x v="1"/>
    <s v="Olivier Castillo"/>
    <x v="0"/>
    <s v="Chardonnay"/>
    <x v="0"/>
    <s v="riche"/>
    <n v="201"/>
    <m/>
    <s v="oui"/>
    <m/>
    <n v="5"/>
    <n v="0.75"/>
    <n v="3.75"/>
  </r>
  <r>
    <d v="2016-11-08T00:00:00"/>
    <x v="9"/>
    <s v="Jacques Woloviek"/>
    <x v="0"/>
    <s v="Sauvignon"/>
    <x v="0"/>
    <s v="Variétal"/>
    <n v="423"/>
    <m/>
    <s v="oui"/>
    <m/>
    <n v="5"/>
    <n v="0.75"/>
    <n v="3.75"/>
  </r>
  <r>
    <d v="2016-11-08T00:00:00"/>
    <x v="9"/>
    <s v="Jacques Woloviek"/>
    <x v="0"/>
    <s v="Sauvignon"/>
    <x v="0"/>
    <s v="Classique"/>
    <n v="401"/>
    <m/>
    <s v="oui"/>
    <m/>
    <n v="5"/>
    <n v="0.75"/>
    <n v="3.75"/>
  </r>
  <r>
    <d v="2016-11-08T00:00:00"/>
    <x v="7"/>
    <s v="-"/>
    <x v="1"/>
    <s v="Rosé générique"/>
    <x v="0"/>
    <s v="Oc Rosé"/>
    <s v="-"/>
    <m/>
    <s v="oui"/>
    <m/>
    <n v="2"/>
    <n v="0.75"/>
    <n v="1.5"/>
  </r>
  <r>
    <d v="2016-11-08T00:00:00"/>
    <x v="7"/>
    <s v="-"/>
    <x v="1"/>
    <s v="Rosé générique"/>
    <x v="0"/>
    <s v="Hérault Rosé"/>
    <s v="-"/>
    <m/>
    <s v="oui"/>
    <m/>
    <n v="2"/>
    <n v="0.75"/>
    <n v="1.5"/>
  </r>
  <r>
    <d v="2016-11-08T00:00:00"/>
    <x v="3"/>
    <s v="-"/>
    <x v="0"/>
    <s v="Sauvignon"/>
    <x v="0"/>
    <s v="supérieur"/>
    <n v="205"/>
    <m/>
    <s v="oui"/>
    <m/>
    <n v="1"/>
    <n v="30"/>
    <n v="30"/>
  </r>
  <r>
    <d v="2016-11-09T00:00:00"/>
    <x v="1"/>
    <s v="TWS"/>
    <x v="2"/>
    <s v="Héraut Rouge"/>
    <x v="0"/>
    <s v="profil expé"/>
    <s v="-"/>
    <m/>
    <s v="oui"/>
    <s v="voir assemblage sur fichier solde 2015"/>
    <n v="3"/>
    <n v="0.75"/>
    <n v="2.25"/>
  </r>
  <r>
    <d v="2016-11-09T00:00:00"/>
    <x v="2"/>
    <s v="-"/>
    <x v="2"/>
    <s v="Merlot"/>
    <x v="1"/>
    <s v="Retravaillé novembre"/>
    <s v="-"/>
    <m/>
    <s v="oui"/>
    <s v="voir assemblage sur fichier solde 2015"/>
    <n v="2"/>
    <n v="0.75"/>
    <n v="1.5"/>
  </r>
  <r>
    <d v="2016-11-09T00:00:00"/>
    <x v="2"/>
    <s v="-"/>
    <x v="2"/>
    <s v="Cabernet"/>
    <x v="1"/>
    <s v="Retravaillé novembre"/>
    <s v="-"/>
    <m/>
    <s v="oui"/>
    <s v="voir assemblage sur fichier solde 2015"/>
    <n v="2"/>
    <n v="0.75"/>
    <n v="1.5"/>
  </r>
  <r>
    <d v="2016-11-09T00:00:00"/>
    <x v="1"/>
    <s v="TWS"/>
    <x v="1"/>
    <s v="Rosé générique"/>
    <x v="0"/>
    <s v="Hérault Rosé"/>
    <s v="-"/>
    <m/>
    <s v="oui"/>
    <m/>
    <n v="3"/>
    <n v="0.75"/>
    <n v="2.25"/>
  </r>
  <r>
    <d v="2016-11-09T00:00:00"/>
    <x v="6"/>
    <s v="-"/>
    <x v="1"/>
    <s v="Cabernet"/>
    <x v="0"/>
    <s v="-"/>
    <n v="302"/>
    <m/>
    <s v="oui"/>
    <m/>
    <n v="2"/>
    <n v="0.75"/>
    <n v="1.5"/>
  </r>
  <r>
    <d v="2016-11-09T00:00:00"/>
    <x v="1"/>
    <s v="JC Simon"/>
    <x v="0"/>
    <s v="Sauvignon"/>
    <x v="0"/>
    <s v="Classique"/>
    <n v="401"/>
    <m/>
    <s v="oui"/>
    <m/>
    <n v="2"/>
    <n v="0.75"/>
    <n v="1.5"/>
  </r>
  <r>
    <d v="2016-11-09T00:00:00"/>
    <x v="1"/>
    <s v="JC Simon"/>
    <x v="1"/>
    <s v="Rosé générique"/>
    <x v="0"/>
    <s v="Oc Rosé"/>
    <s v="-"/>
    <m/>
    <s v="oui"/>
    <m/>
    <n v="2"/>
    <n v="0.75"/>
    <n v="1.5"/>
  </r>
  <r>
    <d v="2016-11-09T00:00:00"/>
    <x v="1"/>
    <s v="JC Simon"/>
    <x v="1"/>
    <s v="Rosé générique"/>
    <x v="0"/>
    <s v="Hérault Rosé"/>
    <s v="-"/>
    <m/>
    <s v="oui"/>
    <m/>
    <n v="2"/>
    <n v="0.75"/>
    <n v="1.5"/>
  </r>
  <r>
    <d v="2016-11-10T00:00:00"/>
    <x v="9"/>
    <s v="Jacques Woloviek"/>
    <x v="0"/>
    <s v="Muscat"/>
    <x v="0"/>
    <s v="2 - 1300 hL"/>
    <s v="-"/>
    <m/>
    <s v="oui"/>
    <s v="1300 hL"/>
    <n v="5"/>
    <n v="0.75"/>
    <n v="3.75"/>
  </r>
  <r>
    <d v="2016-11-10T00:00:00"/>
    <x v="1"/>
    <s v="Gilles Lambert"/>
    <x v="0"/>
    <s v="Viognier"/>
    <x v="0"/>
    <s v="supérieur"/>
    <s v="-"/>
    <m/>
    <s v="oui"/>
    <m/>
    <n v="2"/>
    <n v="0.75"/>
    <n v="1.5"/>
  </r>
  <r>
    <d v="2016-11-10T00:00:00"/>
    <x v="1"/>
    <s v="Gilles Lambert"/>
    <x v="2"/>
    <s v="Merlot"/>
    <x v="1"/>
    <s v="-"/>
    <n v="332"/>
    <m/>
    <s v="oui"/>
    <m/>
    <n v="2"/>
    <n v="0.75"/>
    <n v="1.5"/>
  </r>
  <r>
    <d v="2016-11-14T00:00:00"/>
    <x v="2"/>
    <s v="-"/>
    <x v="0"/>
    <s v="Chardonnay"/>
    <x v="0"/>
    <s v="flatteur"/>
    <n v="14"/>
    <m/>
    <s v="oui"/>
    <m/>
    <n v="3"/>
    <n v="0.75"/>
    <n v="2.25"/>
  </r>
  <r>
    <d v="2016-11-14T00:00:00"/>
    <x v="2"/>
    <s v="-"/>
    <x v="0"/>
    <s v="Chardonnay"/>
    <x v="0"/>
    <s v="riche"/>
    <n v="201"/>
    <m/>
    <s v="oui"/>
    <m/>
    <n v="3"/>
    <n v="0.75"/>
    <n v="2.25"/>
  </r>
  <r>
    <d v="2016-11-14T00:00:00"/>
    <x v="2"/>
    <s v="-"/>
    <x v="0"/>
    <s v="Chardonnay"/>
    <x v="0"/>
    <s v="supérieur"/>
    <s v="-"/>
    <m/>
    <s v="oui"/>
    <m/>
    <n v="3"/>
    <n v="0.75"/>
    <n v="2.25"/>
  </r>
  <r>
    <d v="2016-11-14T00:00:00"/>
    <x v="2"/>
    <s v="-"/>
    <x v="0"/>
    <s v="Viognier"/>
    <x v="0"/>
    <s v="Standart"/>
    <s v="-"/>
    <m/>
    <s v="oui"/>
    <m/>
    <n v="3"/>
    <n v="0.75"/>
    <n v="2.25"/>
  </r>
  <r>
    <d v="2016-11-14T00:00:00"/>
    <x v="12"/>
    <s v="René Jeanjean"/>
    <x v="0"/>
    <s v="Muscat"/>
    <x v="0"/>
    <s v="Retravaillé prix"/>
    <s v="-"/>
    <m/>
    <s v="oui"/>
    <s v="60 % Terret 40% Muscat"/>
    <n v="2"/>
    <n v="0.75"/>
    <n v="1.5"/>
  </r>
  <r>
    <d v="2016-11-14T00:00:00"/>
    <x v="1"/>
    <s v="Olivier Castillo"/>
    <x v="0"/>
    <s v="Muscat"/>
    <x v="0"/>
    <s v="2 - 1300 hL"/>
    <s v="-"/>
    <m/>
    <s v="oui"/>
    <m/>
    <n v="3"/>
    <n v="0.75"/>
    <n v="2.25"/>
  </r>
  <r>
    <d v="2016-11-14T00:00:00"/>
    <x v="3"/>
    <s v="-"/>
    <x v="0"/>
    <s v="Sauvignon"/>
    <x v="0"/>
    <s v="supérieur"/>
    <n v="75"/>
    <m/>
    <s v="oui"/>
    <m/>
    <n v="1"/>
    <n v="50"/>
    <n v="50"/>
  </r>
  <r>
    <d v="2016-11-14T00:00:00"/>
    <x v="3"/>
    <s v="-"/>
    <x v="0"/>
    <s v="Sauvignon"/>
    <x v="0"/>
    <s v="Variétal"/>
    <n v="423"/>
    <m/>
    <s v="oui"/>
    <m/>
    <n v="1"/>
    <n v="50"/>
    <n v="50"/>
  </r>
  <r>
    <d v="2016-11-15T00:00:00"/>
    <x v="2"/>
    <s v="-"/>
    <x v="0"/>
    <s v="Chardonnay"/>
    <x v="0"/>
    <s v="flatteur"/>
    <n v="14"/>
    <m/>
    <s v="oui"/>
    <m/>
    <n v="3"/>
    <n v="0.75"/>
    <n v="2.25"/>
  </r>
  <r>
    <d v="2016-11-15T00:00:00"/>
    <x v="2"/>
    <s v="-"/>
    <x v="0"/>
    <s v="Chardonnay"/>
    <x v="0"/>
    <s v="riche"/>
    <n v="201"/>
    <m/>
    <s v="oui"/>
    <m/>
    <n v="3"/>
    <n v="0.75"/>
    <n v="2.25"/>
  </r>
  <r>
    <d v="2016-11-15T00:00:00"/>
    <x v="2"/>
    <s v="-"/>
    <x v="0"/>
    <s v="Chardonnay"/>
    <x v="0"/>
    <s v="supérieur"/>
    <s v="-"/>
    <m/>
    <s v="oui"/>
    <m/>
    <n v="3"/>
    <n v="0.75"/>
    <n v="2.25"/>
  </r>
  <r>
    <d v="2016-11-15T00:00:00"/>
    <x v="1"/>
    <s v="TWS"/>
    <x v="0"/>
    <s v="Muscat"/>
    <x v="0"/>
    <s v="Standart"/>
    <s v="-"/>
    <m/>
    <s v="oui"/>
    <m/>
    <n v="3"/>
    <n v="0.75"/>
    <n v="2.25"/>
  </r>
  <r>
    <d v="2016-11-16T00:00:00"/>
    <x v="15"/>
    <s v="René Jeanjean"/>
    <x v="0"/>
    <s v="Sauvignon"/>
    <x v="0"/>
    <s v="Classique"/>
    <n v="401"/>
    <m/>
    <s v="oui"/>
    <m/>
    <n v="3"/>
    <n v="0.75"/>
    <n v="2.25"/>
  </r>
  <r>
    <d v="2016-11-16T00:00:00"/>
    <x v="15"/>
    <s v="René Jeanjean"/>
    <x v="0"/>
    <s v="Sauvignon"/>
    <x v="0"/>
    <s v="Variétal"/>
    <n v="423"/>
    <m/>
    <s v="oui"/>
    <m/>
    <n v="3"/>
    <n v="0.75"/>
    <n v="2.25"/>
  </r>
  <r>
    <d v="2016-11-16T00:00:00"/>
    <x v="15"/>
    <s v="René Jeanjean"/>
    <x v="0"/>
    <s v="Sauvignon"/>
    <x v="0"/>
    <s v="supérieur"/>
    <n v="75"/>
    <m/>
    <s v="oui"/>
    <m/>
    <n v="3"/>
    <n v="0.75"/>
    <n v="2.25"/>
  </r>
  <r>
    <d v="2016-11-16T00:00:00"/>
    <x v="16"/>
    <s v="-"/>
    <x v="1"/>
    <s v="Grenache Syrah"/>
    <x v="0"/>
    <n v="1"/>
    <s v="-"/>
    <m/>
    <s v="oui"/>
    <s v="80% - 20 %"/>
    <n v="2"/>
    <n v="0.75"/>
    <n v="1.5"/>
  </r>
  <r>
    <d v="2016-11-16T00:00:00"/>
    <x v="16"/>
    <s v="-"/>
    <x v="1"/>
    <s v="Grenache Syrah"/>
    <x v="0"/>
    <n v="2"/>
    <s v="-"/>
    <m/>
    <s v="oui"/>
    <s v="80% - 20%"/>
    <n v="2"/>
    <n v="0.75"/>
    <n v="1.5"/>
  </r>
  <r>
    <d v="2016-11-16T00:00:00"/>
    <x v="16"/>
    <s v="-"/>
    <x v="2"/>
    <s v="Alicante"/>
    <x v="0"/>
    <s v="-"/>
    <n v="139"/>
    <m/>
    <s v="oui"/>
    <m/>
    <n v="2"/>
    <n v="0.75"/>
    <n v="1.5"/>
  </r>
  <r>
    <d v="2016-11-16T00:00:00"/>
    <x v="1"/>
    <s v="San Nicolas"/>
    <x v="0"/>
    <s v="Sauvignon"/>
    <x v="0"/>
    <s v="Classique"/>
    <n v="401"/>
    <m/>
    <s v="oui"/>
    <m/>
    <n v="3"/>
    <n v="0.75"/>
    <n v="2.25"/>
  </r>
  <r>
    <d v="2016-11-16T00:00:00"/>
    <x v="1"/>
    <s v="San Nicolas"/>
    <x v="0"/>
    <s v="Chardonnay"/>
    <x v="0"/>
    <s v="flatteur"/>
    <n v="14"/>
    <m/>
    <s v="oui"/>
    <m/>
    <n v="3"/>
    <n v="0.75"/>
    <n v="2.25"/>
  </r>
  <r>
    <d v="2016-11-16T00:00:00"/>
    <x v="1"/>
    <s v="San Nicolas"/>
    <x v="0"/>
    <s v="Chardonnay"/>
    <x v="0"/>
    <s v="riche"/>
    <n v="201"/>
    <m/>
    <s v="oui"/>
    <m/>
    <n v="3"/>
    <n v="0.75"/>
    <n v="2.25"/>
  </r>
  <r>
    <d v="2016-11-16T00:00:00"/>
    <x v="1"/>
    <s v="San Nicolas"/>
    <x v="1"/>
    <s v="Rosé générique"/>
    <x v="0"/>
    <s v="Oc Rosé"/>
    <s v="-"/>
    <m/>
    <s v="oui"/>
    <m/>
    <n v="3"/>
    <n v="0.75"/>
    <n v="2.25"/>
  </r>
  <r>
    <d v="2016-11-16T00:00:00"/>
    <x v="1"/>
    <s v="San Nicolas"/>
    <x v="1"/>
    <s v="Rosé générique"/>
    <x v="0"/>
    <s v="Hérault Rosé"/>
    <s v="-"/>
    <m/>
    <s v="oui"/>
    <m/>
    <n v="3"/>
    <n v="0.75"/>
    <n v="2.25"/>
  </r>
  <r>
    <d v="2016-11-16T00:00:00"/>
    <x v="1"/>
    <s v="San Nicolas"/>
    <x v="1"/>
    <s v="Cinsault"/>
    <x v="0"/>
    <s v="profil expé"/>
    <s v="Ag152"/>
    <m/>
    <s v="?"/>
    <m/>
    <n v="3"/>
    <n v="0.75"/>
    <n v="2.25"/>
  </r>
  <r>
    <d v="2016-11-17T00:00:00"/>
    <x v="6"/>
    <s v="-"/>
    <x v="0"/>
    <s v="Muscat"/>
    <x v="0"/>
    <s v="Petit degré"/>
    <s v="-"/>
    <m/>
    <s v="oui"/>
    <s v="Lot c.180 + c.195"/>
    <n v="2"/>
    <n v="0.75"/>
    <n v="1.5"/>
  </r>
  <r>
    <d v="2016-11-17T00:00:00"/>
    <x v="6"/>
    <s v="-"/>
    <x v="0"/>
    <s v="Muscat"/>
    <x v="0"/>
    <s v="Petit degré"/>
    <n v="195"/>
    <m/>
    <s v="oui"/>
    <s v="Présentation 195 seul"/>
    <n v="2"/>
    <n v="0.75"/>
    <n v="1.5"/>
  </r>
  <r>
    <d v="2016-11-17T00:00:00"/>
    <x v="6"/>
    <s v="-"/>
    <x v="0"/>
    <s v="Muscat"/>
    <x v="0"/>
    <s v="2 - 1300 hL"/>
    <s v="-"/>
    <m/>
    <s v="oui"/>
    <m/>
    <n v="2"/>
    <n v="0.75"/>
    <n v="1.5"/>
  </r>
  <r>
    <d v="2016-11-18T00:00:00"/>
    <x v="2"/>
    <s v="-"/>
    <x v="0"/>
    <s v="Viognier"/>
    <x v="1"/>
    <s v="rafraichi"/>
    <s v="-"/>
    <m/>
    <s v="oui"/>
    <s v="15% 424 - 85 % Vio sup 2016"/>
    <n v="2"/>
    <n v="0.75"/>
    <n v="1.5"/>
  </r>
  <r>
    <d v="2016-11-18T00:00:00"/>
    <x v="9"/>
    <s v="Jacques Woloviek"/>
    <x v="0"/>
    <s v="Muscat"/>
    <x v="0"/>
    <s v="3 - 1600 hL"/>
    <s v="-"/>
    <m/>
    <s v="oui"/>
    <m/>
    <n v="5"/>
    <n v="0.75"/>
    <n v="3.75"/>
  </r>
  <r>
    <d v="2016-11-18T00:00:00"/>
    <x v="9"/>
    <s v="Jacques Woloviek"/>
    <x v="0"/>
    <s v="Muscat"/>
    <x v="0"/>
    <s v="2 - 1300 hL"/>
    <s v="-"/>
    <m/>
    <s v="oui"/>
    <m/>
    <n v="5"/>
    <n v="0.75"/>
    <n v="3.75"/>
  </r>
  <r>
    <d v="2016-11-18T00:00:00"/>
    <x v="9"/>
    <s v="Jacques Woloviek"/>
    <x v="0"/>
    <s v="Chardonnay"/>
    <x v="1"/>
    <s v="Lot ADVINI"/>
    <n v="26"/>
    <m/>
    <s v="oui"/>
    <m/>
    <n v="3"/>
    <n v="0.75"/>
    <n v="2.25"/>
  </r>
  <r>
    <d v="2016-11-18T00:00:00"/>
    <x v="7"/>
    <s v="-"/>
    <x v="0"/>
    <s v="Oc blanc"/>
    <x v="0"/>
    <s v="Oc Blanc"/>
    <s v="-"/>
    <m/>
    <s v="oui"/>
    <m/>
    <n v="2"/>
    <n v="0.75"/>
    <n v="1.5"/>
  </r>
  <r>
    <d v="2016-11-21T00:00:00"/>
    <x v="2"/>
    <s v="-"/>
    <x v="0"/>
    <s v="Sauvignon"/>
    <x v="0"/>
    <s v="supérieur"/>
    <n v="75"/>
    <m/>
    <s v="oui"/>
    <m/>
    <n v="2"/>
    <n v="0.75"/>
    <n v="1.5"/>
  </r>
  <r>
    <d v="2016-11-21T00:00:00"/>
    <x v="2"/>
    <s v="-"/>
    <x v="0"/>
    <s v="Sauvignon"/>
    <x v="0"/>
    <s v="Variétal"/>
    <n v="423"/>
    <m/>
    <s v="oui"/>
    <m/>
    <n v="2"/>
    <n v="0.75"/>
    <n v="1.5"/>
  </r>
  <r>
    <d v="2016-11-21T00:00:00"/>
    <x v="2"/>
    <s v="-"/>
    <x v="0"/>
    <s v="Chardonnay"/>
    <x v="0"/>
    <s v="flatteur"/>
    <n v="14"/>
    <m/>
    <s v="oui"/>
    <m/>
    <n v="2"/>
    <n v="0.75"/>
    <n v="1.5"/>
  </r>
  <r>
    <d v="2016-11-21T00:00:00"/>
    <x v="2"/>
    <s v="-"/>
    <x v="0"/>
    <s v="Chardonnay"/>
    <x v="0"/>
    <s v="riche"/>
    <n v="201"/>
    <m/>
    <s v="oui"/>
    <m/>
    <n v="2"/>
    <n v="0.75"/>
    <n v="1.5"/>
  </r>
  <r>
    <d v="2016-11-21T00:00:00"/>
    <x v="2"/>
    <s v="-"/>
    <x v="0"/>
    <s v="Chardonnay"/>
    <x v="0"/>
    <s v="supérieur"/>
    <n v="309"/>
    <m/>
    <s v="oui"/>
    <m/>
    <n v="2"/>
    <n v="0.75"/>
    <n v="1.5"/>
  </r>
  <r>
    <d v="2016-11-21T00:00:00"/>
    <x v="2"/>
    <s v="-"/>
    <x v="1"/>
    <s v="Merlot"/>
    <x v="0"/>
    <s v="-"/>
    <n v="206"/>
    <m/>
    <s v="oui"/>
    <m/>
    <n v="2"/>
    <n v="0.75"/>
    <n v="1.5"/>
  </r>
  <r>
    <d v="2016-11-21T00:00:00"/>
    <x v="2"/>
    <s v="-"/>
    <x v="1"/>
    <s v="Cabernet"/>
    <x v="0"/>
    <s v="-"/>
    <n v="302"/>
    <m/>
    <s v="oui"/>
    <m/>
    <n v="2"/>
    <n v="0.75"/>
    <n v="1.5"/>
  </r>
  <r>
    <d v="2016-11-21T00:00:00"/>
    <x v="2"/>
    <s v="-"/>
    <x v="0"/>
    <s v="Viognier"/>
    <x v="0"/>
    <s v="-"/>
    <n v="424"/>
    <m/>
    <s v="oui"/>
    <m/>
    <n v="2"/>
    <n v="0.75"/>
    <n v="1.5"/>
  </r>
  <r>
    <d v="2016-11-21T00:00:00"/>
    <x v="1"/>
    <s v="San Nicolas"/>
    <x v="0"/>
    <s v="Muscat"/>
    <x v="0"/>
    <s v="2 - 1300 hL"/>
    <s v="-"/>
    <m/>
    <s v="oui"/>
    <m/>
    <n v="2"/>
    <n v="0.75"/>
    <n v="1.5"/>
  </r>
  <r>
    <d v="2016-11-21T00:00:00"/>
    <x v="5"/>
    <s v="-"/>
    <x v="0"/>
    <s v="Thau blanc"/>
    <x v="0"/>
    <s v="Lot GCF"/>
    <s v="-"/>
    <m/>
    <s v="oui"/>
    <m/>
    <n v="1"/>
    <n v="0.75"/>
    <n v="0.75"/>
  </r>
  <r>
    <d v="2016-11-21T00:00:00"/>
    <x v="5"/>
    <s v="-"/>
    <x v="0"/>
    <s v="Piquepoul"/>
    <x v="0"/>
    <s v="Base Piquepoul"/>
    <n v="47"/>
    <m/>
    <s v="oui"/>
    <m/>
    <n v="1"/>
    <n v="0.75"/>
    <n v="0.75"/>
  </r>
  <r>
    <d v="2016-11-21T00:00:00"/>
    <x v="5"/>
    <s v="-"/>
    <x v="0"/>
    <s v="Sauvignon"/>
    <x v="0"/>
    <s v="Base Sauvignon"/>
    <n v="75"/>
    <m/>
    <s v="oui"/>
    <m/>
    <n v="1"/>
    <n v="0.75"/>
    <n v="0.75"/>
  </r>
  <r>
    <d v="2016-11-21T00:00:00"/>
    <x v="5"/>
    <s v="-"/>
    <x v="1"/>
    <s v="Grenache"/>
    <x v="0"/>
    <s v="Lot GCF"/>
    <s v="-"/>
    <m/>
    <s v="oui"/>
    <m/>
    <n v="1"/>
    <n v="0.75"/>
    <n v="0.75"/>
  </r>
  <r>
    <d v="2016-11-21T00:00:00"/>
    <x v="5"/>
    <s v="-"/>
    <x v="1"/>
    <s v="Merlot"/>
    <x v="0"/>
    <s v="Lot GCF"/>
    <s v="-"/>
    <m/>
    <s v="oui"/>
    <m/>
    <n v="2"/>
    <n v="0.75"/>
    <n v="1.5"/>
  </r>
  <r>
    <d v="2016-11-22T00:00:00"/>
    <x v="5"/>
    <s v="-"/>
    <x v="1"/>
    <s v="Cinsault"/>
    <x v="0"/>
    <s v="Lot Agde"/>
    <s v="-"/>
    <m/>
    <s v="oui"/>
    <m/>
    <n v="2"/>
    <n v="0.75"/>
    <n v="1.5"/>
  </r>
  <r>
    <d v="2016-11-22T00:00:00"/>
    <x v="5"/>
    <s v="-"/>
    <x v="0"/>
    <s v="Chardonnay"/>
    <x v="0"/>
    <s v="flatteur"/>
    <n v="14"/>
    <m/>
    <s v="oui"/>
    <m/>
    <n v="1"/>
    <n v="0.75"/>
    <n v="0.75"/>
  </r>
  <r>
    <d v="2016-11-22T00:00:00"/>
    <x v="5"/>
    <s v="-"/>
    <x v="0"/>
    <s v="Chardonnay"/>
    <x v="0"/>
    <s v="riche"/>
    <n v="201"/>
    <m/>
    <s v="oui"/>
    <m/>
    <n v="1"/>
    <n v="0.75"/>
    <n v="0.75"/>
  </r>
  <r>
    <d v="2016-11-22T00:00:00"/>
    <x v="5"/>
    <s v="-"/>
    <x v="0"/>
    <s v="Chardonnay"/>
    <x v="0"/>
    <s v="Supérieur"/>
    <n v="309"/>
    <m/>
    <s v="oui"/>
    <m/>
    <n v="1"/>
    <n v="0.75"/>
    <n v="0.75"/>
  </r>
  <r>
    <d v="2016-11-22T00:00:00"/>
    <x v="5"/>
    <s v="-"/>
    <x v="0"/>
    <s v="Sauvignon"/>
    <x v="0"/>
    <s v="Classique"/>
    <n v="401"/>
    <m/>
    <s v="oui"/>
    <m/>
    <n v="1"/>
    <n v="0.75"/>
    <n v="0.75"/>
  </r>
  <r>
    <d v="2016-11-22T00:00:00"/>
    <x v="5"/>
    <s v="-"/>
    <x v="2"/>
    <s v="Syrah"/>
    <x v="0"/>
    <s v="Solde bouteilles"/>
    <s v="-"/>
    <m/>
    <s v="oui"/>
    <m/>
    <n v="1"/>
    <n v="0.75"/>
    <n v="0.75"/>
  </r>
  <r>
    <d v="2016-11-22T00:00:00"/>
    <x v="1"/>
    <s v="Gilles Lambert"/>
    <x v="0"/>
    <s v="Chardonnay"/>
    <x v="0"/>
    <s v="flatteur"/>
    <n v="14"/>
    <m/>
    <s v="oui"/>
    <m/>
    <n v="1"/>
    <n v="0.75"/>
    <n v="0.75"/>
  </r>
  <r>
    <d v="2016-11-22T00:00:00"/>
    <x v="1"/>
    <s v="Gilles Lambert"/>
    <x v="0"/>
    <s v="Chardonnay"/>
    <x v="0"/>
    <s v="riche"/>
    <n v="201"/>
    <m/>
    <s v="oui"/>
    <m/>
    <n v="1"/>
    <n v="0.75"/>
    <n v="0.75"/>
  </r>
  <r>
    <d v="2016-11-22T00:00:00"/>
    <x v="1"/>
    <s v="Gilles Lambert"/>
    <x v="0"/>
    <s v="Chardonnay"/>
    <x v="0"/>
    <s v="Supérieur"/>
    <n v="309"/>
    <m/>
    <s v="oui"/>
    <m/>
    <n v="1"/>
    <n v="0.75"/>
    <n v="0.75"/>
  </r>
  <r>
    <d v="2016-11-22T00:00:00"/>
    <x v="17"/>
    <s v="-"/>
    <x v="0"/>
    <s v="Oc blanc"/>
    <x v="0"/>
    <s v="Oc Blanc"/>
    <s v="-"/>
    <m/>
    <s v="oui"/>
    <m/>
    <n v="1"/>
    <n v="0.75"/>
    <n v="0.75"/>
  </r>
  <r>
    <d v="2016-11-22T00:00:00"/>
    <x v="17"/>
    <s v="-"/>
    <x v="1"/>
    <s v="Rosé générique"/>
    <x v="0"/>
    <s v="Hérault Rosé"/>
    <s v="-"/>
    <m/>
    <s v="oui"/>
    <m/>
    <n v="1"/>
    <n v="0.75"/>
    <n v="0.75"/>
  </r>
  <r>
    <d v="2016-11-22T00:00:00"/>
    <x v="17"/>
    <s v="-"/>
    <x v="1"/>
    <s v="Rosé générique"/>
    <x v="0"/>
    <s v="Oc Rosé"/>
    <s v="-"/>
    <m/>
    <s v="oui"/>
    <m/>
    <n v="1"/>
    <n v="0.75"/>
    <n v="0.75"/>
  </r>
  <r>
    <d v="2016-11-22T00:00:00"/>
    <x v="17"/>
    <s v="-"/>
    <x v="2"/>
    <s v="Merlot"/>
    <x v="1"/>
    <s v="Lot tardif"/>
    <n v="413"/>
    <m/>
    <s v="oui"/>
    <m/>
    <n v="1"/>
    <n v="0.75"/>
    <n v="0.75"/>
  </r>
  <r>
    <d v="2016-11-22T00:00:00"/>
    <x v="10"/>
    <s v="René Jeanjean"/>
    <x v="0"/>
    <s v="Chardonnay"/>
    <x v="0"/>
    <s v="flatteur"/>
    <n v="14"/>
    <m/>
    <s v="oui"/>
    <m/>
    <n v="1"/>
    <n v="0.75"/>
    <n v="0.75"/>
  </r>
  <r>
    <d v="2016-11-22T00:00:00"/>
    <x v="10"/>
    <s v="René Jeanjean"/>
    <x v="0"/>
    <s v="Chardonnay"/>
    <x v="0"/>
    <s v="riche"/>
    <n v="201"/>
    <m/>
    <s v="oui"/>
    <m/>
    <n v="1"/>
    <n v="0.75"/>
    <n v="0.75"/>
  </r>
  <r>
    <d v="2016-11-22T00:00:00"/>
    <x v="10"/>
    <s v="René Jeanjean"/>
    <x v="0"/>
    <s v="Chardonnay"/>
    <x v="0"/>
    <s v="Supérieur"/>
    <n v="309"/>
    <m/>
    <s v="oui"/>
    <m/>
    <n v="1"/>
    <n v="0.75"/>
    <n v="0.75"/>
  </r>
  <r>
    <d v="2016-11-22T00:00:00"/>
    <x v="10"/>
    <s v="René Jeanjean"/>
    <x v="0"/>
    <s v="Sauvignon"/>
    <x v="0"/>
    <s v="Classique"/>
    <n v="401"/>
    <m/>
    <s v="oui"/>
    <m/>
    <n v="1"/>
    <n v="0.75"/>
    <n v="0.75"/>
  </r>
  <r>
    <d v="2016-11-22T00:00:00"/>
    <x v="10"/>
    <s v="René Jeanjean"/>
    <x v="0"/>
    <s v="Roussanne"/>
    <x v="0"/>
    <s v="-"/>
    <n v="12"/>
    <m/>
    <s v="oui"/>
    <m/>
    <n v="1"/>
    <n v="0.75"/>
    <n v="0.75"/>
  </r>
  <r>
    <d v="2016-11-22T00:00:00"/>
    <x v="10"/>
    <s v="René Jeanjean"/>
    <x v="0"/>
    <s v="Marsanne"/>
    <x v="0"/>
    <s v="-"/>
    <n v="87"/>
    <m/>
    <s v="oui"/>
    <m/>
    <n v="1"/>
    <n v="0.75"/>
    <n v="0.75"/>
  </r>
  <r>
    <d v="2016-11-22T00:00:00"/>
    <x v="10"/>
    <s v="René Jeanjean"/>
    <x v="0"/>
    <s v="Oc blanc"/>
    <x v="0"/>
    <s v="Oc Blanc"/>
    <s v="-"/>
    <m/>
    <s v="oui"/>
    <m/>
    <n v="1"/>
    <n v="0.75"/>
    <n v="0.75"/>
  </r>
  <r>
    <d v="2016-11-22T00:00:00"/>
    <x v="10"/>
    <s v="René Jeanjean"/>
    <x v="1"/>
    <s v="Rosé générique"/>
    <x v="0"/>
    <s v="Hérault Rosé"/>
    <s v="-"/>
    <m/>
    <s v="oui"/>
    <m/>
    <n v="1"/>
    <n v="0.75"/>
    <n v="0.75"/>
  </r>
  <r>
    <d v="2016-11-22T00:00:00"/>
    <x v="10"/>
    <s v="René Jeanjean"/>
    <x v="1"/>
    <s v="Rosé générique"/>
    <x v="0"/>
    <s v="Oc Rosé"/>
    <s v="-"/>
    <m/>
    <s v="oui"/>
    <m/>
    <n v="1"/>
    <n v="0.75"/>
    <n v="0.75"/>
  </r>
  <r>
    <d v="2016-11-22T00:00:00"/>
    <x v="10"/>
    <s v="René Jeanjean"/>
    <x v="2"/>
    <s v="Merlot"/>
    <x v="1"/>
    <s v="Lot tardif"/>
    <n v="413"/>
    <m/>
    <s v="oui"/>
    <m/>
    <n v="1"/>
    <n v="0.75"/>
    <n v="0.75"/>
  </r>
  <r>
    <d v="2016-11-22T00:00:00"/>
    <x v="10"/>
    <s v="René Jeanjean"/>
    <x v="2"/>
    <s v="Cabernet"/>
    <x v="1"/>
    <s v="Solde bouteilles"/>
    <n v="81"/>
    <m/>
    <s v="oui"/>
    <m/>
    <n v="1"/>
    <n v="0.75"/>
    <n v="0.75"/>
  </r>
  <r>
    <d v="2016-11-22T00:00:00"/>
    <x v="10"/>
    <s v="René Jeanjean"/>
    <x v="2"/>
    <s v="Pinot Noir"/>
    <x v="0"/>
    <s v="Lot PN"/>
    <s v="-"/>
    <m/>
    <s v="oui"/>
    <m/>
    <n v="1"/>
    <n v="0.75"/>
    <n v="0.75"/>
  </r>
  <r>
    <d v="2016-11-23T00:00:00"/>
    <x v="17"/>
    <s v="-"/>
    <x v="0"/>
    <s v="Colombard"/>
    <x v="0"/>
    <s v="-"/>
    <n v="53"/>
    <m/>
    <s v="oui"/>
    <m/>
    <n v="1"/>
    <n v="0.75"/>
    <n v="0.75"/>
  </r>
  <r>
    <d v="2016-11-23T00:00:00"/>
    <x v="17"/>
    <s v="-"/>
    <x v="0"/>
    <s v="Vermentino"/>
    <x v="0"/>
    <s v="-"/>
    <n v="31"/>
    <m/>
    <s v="oui"/>
    <m/>
    <n v="1"/>
    <n v="0.75"/>
    <n v="0.75"/>
  </r>
  <r>
    <d v="2016-11-23T00:00:00"/>
    <x v="17"/>
    <s v="-"/>
    <x v="2"/>
    <s v="Générique"/>
    <x v="0"/>
    <s v="-"/>
    <n v="139"/>
    <m/>
    <s v="oui"/>
    <m/>
    <n v="1"/>
    <n v="0.75"/>
    <n v="0.75"/>
  </r>
  <r>
    <d v="2016-11-23T00:00:00"/>
    <x v="5"/>
    <s v="-"/>
    <x v="0"/>
    <s v="Chardonnay"/>
    <x v="0"/>
    <s v="flatteur"/>
    <n v="14"/>
    <m/>
    <s v="oui"/>
    <m/>
    <n v="1"/>
    <n v="0.75"/>
    <n v="0.75"/>
  </r>
  <r>
    <d v="2016-11-23T00:00:00"/>
    <x v="5"/>
    <s v="-"/>
    <x v="0"/>
    <s v="Chardonnay"/>
    <x v="0"/>
    <s v="supérieur"/>
    <n v="308"/>
    <m/>
    <s v="oui"/>
    <m/>
    <n v="1"/>
    <n v="0.75"/>
    <n v="0.75"/>
  </r>
  <r>
    <d v="2016-11-24T00:00:00"/>
    <x v="5"/>
    <s v="-"/>
    <x v="0"/>
    <s v="Chardonnay"/>
    <x v="0"/>
    <s v="flatteur"/>
    <n v="14"/>
    <m/>
    <s v="oui"/>
    <m/>
    <n v="3"/>
    <n v="0.75"/>
    <n v="2.25"/>
  </r>
  <r>
    <d v="2016-11-24T00:00:00"/>
    <x v="5"/>
    <s v="-"/>
    <x v="0"/>
    <s v="Chardonnay"/>
    <x v="0"/>
    <s v="supérieur"/>
    <n v="308"/>
    <m/>
    <s v="oui"/>
    <m/>
    <n v="3"/>
    <n v="0.75"/>
    <n v="2.25"/>
  </r>
  <r>
    <d v="2016-11-24T00:00:00"/>
    <x v="4"/>
    <s v="-"/>
    <x v="0"/>
    <s v="Chardonnay"/>
    <x v="0"/>
    <s v="riche"/>
    <n v="411"/>
    <m/>
    <s v="oui"/>
    <m/>
    <n v="3"/>
    <n v="0.75"/>
    <n v="2.25"/>
  </r>
  <r>
    <d v="2016-11-24T00:00:00"/>
    <x v="4"/>
    <s v="-"/>
    <x v="0"/>
    <s v="Chardonnay"/>
    <x v="0"/>
    <s v="supérieur"/>
    <n v="308"/>
    <m/>
    <s v="oui"/>
    <m/>
    <n v="3"/>
    <n v="0.75"/>
    <n v="2.25"/>
  </r>
  <r>
    <d v="2016-11-24T00:00:00"/>
    <x v="4"/>
    <s v="-"/>
    <x v="0"/>
    <s v="Viognier"/>
    <x v="0"/>
    <s v="-"/>
    <n v="424"/>
    <m/>
    <s v="oui"/>
    <m/>
    <n v="3"/>
    <n v="0.75"/>
    <n v="2.25"/>
  </r>
  <r>
    <d v="2016-11-24T00:00:00"/>
    <x v="4"/>
    <s v="-"/>
    <x v="0"/>
    <s v="Oc blanc"/>
    <x v="0"/>
    <s v="Oc Blanc"/>
    <s v="-"/>
    <m/>
    <s v="oui"/>
    <m/>
    <n v="3"/>
    <n v="0.75"/>
    <n v="2.25"/>
  </r>
  <r>
    <d v="2016-11-24T00:00:00"/>
    <x v="4"/>
    <s v="-"/>
    <x v="1"/>
    <s v="Rosé générique"/>
    <x v="0"/>
    <s v="Oc Rosé"/>
    <s v="-"/>
    <m/>
    <s v="oui"/>
    <m/>
    <n v="3"/>
    <n v="0.75"/>
    <n v="2.25"/>
  </r>
  <r>
    <d v="2016-11-24T00:00:00"/>
    <x v="6"/>
    <s v="Vailhere Pascal"/>
    <x v="1"/>
    <s v="Cabernet"/>
    <x v="0"/>
    <s v="-"/>
    <n v="302"/>
    <m/>
    <s v="oui"/>
    <m/>
    <n v="3"/>
    <n v="0.75"/>
    <n v="2.25"/>
  </r>
  <r>
    <d v="2016-11-24T00:00:00"/>
    <x v="6"/>
    <s v="Vailhere Pascal"/>
    <x v="2"/>
    <s v="Cabernet"/>
    <x v="0"/>
    <s v="Lot Cabernet"/>
    <s v="-"/>
    <m/>
    <s v="oui"/>
    <m/>
    <n v="2"/>
    <n v="0.75"/>
    <n v="1.5"/>
  </r>
  <r>
    <d v="2016-11-24T00:00:00"/>
    <x v="6"/>
    <s v="Vailhere Pascal"/>
    <x v="2"/>
    <s v="Merlot"/>
    <x v="0"/>
    <s v="Lot Merlot"/>
    <s v="-"/>
    <m/>
    <s v="oui"/>
    <m/>
    <n v="2"/>
    <n v="0.75"/>
    <n v="1.5"/>
  </r>
  <r>
    <d v="2016-11-24T00:00:00"/>
    <x v="6"/>
    <s v="Vailhere Pascal"/>
    <x v="0"/>
    <s v="Sauvignon"/>
    <x v="0"/>
    <s v="classique"/>
    <n v="401"/>
    <m/>
    <s v="oui"/>
    <m/>
    <n v="2"/>
    <n v="0.75"/>
    <n v="1.5"/>
  </r>
  <r>
    <d v="2016-11-28T00:00:00"/>
    <x v="13"/>
    <s v="-"/>
    <x v="0"/>
    <s v="Marsanne"/>
    <x v="0"/>
    <s v="-"/>
    <n v="87"/>
    <m/>
    <s v="oui"/>
    <m/>
    <n v="1"/>
    <n v="0.75"/>
    <n v="0.75"/>
  </r>
  <r>
    <d v="2016-11-28T00:00:00"/>
    <x v="13"/>
    <s v="-"/>
    <x v="0"/>
    <s v="Roussanne"/>
    <x v="0"/>
    <s v="-"/>
    <n v="12"/>
    <m/>
    <s v="oui"/>
    <m/>
    <n v="1"/>
    <n v="0.75"/>
    <n v="0.75"/>
  </r>
  <r>
    <d v="2016-11-28T00:00:00"/>
    <x v="2"/>
    <s v="-"/>
    <x v="0"/>
    <s v="Chardonnay"/>
    <x v="0"/>
    <s v="flatteur"/>
    <n v="14"/>
    <m/>
    <s v="oui"/>
    <m/>
    <n v="3"/>
    <n v="0.75"/>
    <n v="2.25"/>
  </r>
  <r>
    <d v="2016-11-28T00:00:00"/>
    <x v="2"/>
    <s v="-"/>
    <x v="0"/>
    <s v="Chardonnay"/>
    <x v="0"/>
    <s v="riche"/>
    <n v="411"/>
    <m/>
    <s v="oui"/>
    <m/>
    <n v="3"/>
    <n v="0.75"/>
    <n v="2.25"/>
  </r>
  <r>
    <d v="2016-11-28T00:00:00"/>
    <x v="2"/>
    <s v="-"/>
    <x v="0"/>
    <s v="Chardonnay"/>
    <x v="0"/>
    <s v="Supérieur"/>
    <n v="307"/>
    <m/>
    <s v="oui"/>
    <m/>
    <n v="3"/>
    <n v="0.75"/>
    <n v="2.25"/>
  </r>
  <r>
    <d v="2016-11-28T00:00:00"/>
    <x v="1"/>
    <s v="SP Wines"/>
    <x v="0"/>
    <s v="Viognier"/>
    <x v="0"/>
    <s v="-"/>
    <n v="424"/>
    <m/>
    <s v="oui"/>
    <m/>
    <n v="3"/>
    <n v="0.75"/>
    <n v="2.25"/>
  </r>
  <r>
    <d v="2016-11-28T00:00:00"/>
    <x v="11"/>
    <s v="-"/>
    <x v="2"/>
    <s v="Pinot Noir"/>
    <x v="1"/>
    <s v="-"/>
    <n v="39"/>
    <m/>
    <s v="oui"/>
    <m/>
    <n v="1"/>
    <n v="0.75"/>
    <n v="0.75"/>
  </r>
  <r>
    <d v="2016-11-28T00:00:00"/>
    <x v="1"/>
    <s v="SP Wines"/>
    <x v="2"/>
    <s v="Pinot Noir"/>
    <x v="0"/>
    <s v="PN"/>
    <s v="-"/>
    <m/>
    <s v="oui"/>
    <m/>
    <n v="1"/>
    <n v="0.75"/>
    <n v="0.75"/>
  </r>
  <r>
    <d v="2016-11-28T00:00:00"/>
    <x v="11"/>
    <s v="-"/>
    <x v="2"/>
    <s v="Pinot Noir"/>
    <x v="0"/>
    <s v="PN"/>
    <s v="-"/>
    <m/>
    <s v="oui"/>
    <m/>
    <n v="2"/>
    <n v="0.75"/>
    <n v="1.5"/>
  </r>
  <r>
    <d v="2016-11-28T00:00:00"/>
    <x v="11"/>
    <s v="-"/>
    <x v="0"/>
    <s v="Viognier"/>
    <x v="0"/>
    <s v="-"/>
    <n v="424"/>
    <m/>
    <s v="oui"/>
    <m/>
    <n v="2"/>
    <n v="0.75"/>
    <n v="1.5"/>
  </r>
  <r>
    <d v="2016-11-28T00:00:00"/>
    <x v="11"/>
    <s v="-"/>
    <x v="0"/>
    <s v="Oc blanc"/>
    <x v="0"/>
    <s v="Oc Blanc"/>
    <n v="200"/>
    <m/>
    <s v="oui"/>
    <m/>
    <n v="1"/>
    <n v="0.75"/>
    <n v="0.75"/>
  </r>
  <r>
    <d v="2016-11-28T00:00:00"/>
    <x v="11"/>
    <s v="-"/>
    <x v="0"/>
    <s v="Terret"/>
    <x v="1"/>
    <s v="Lot Terret 2"/>
    <s v="NP75"/>
    <m/>
    <s v="oui"/>
    <m/>
    <n v="1"/>
    <n v="0.75"/>
    <n v="0.75"/>
  </r>
  <r>
    <d v="2016-11-28T00:00:00"/>
    <x v="11"/>
    <s v="-"/>
    <x v="1"/>
    <s v="Merlot"/>
    <x v="0"/>
    <s v="-"/>
    <n v="209"/>
    <m/>
    <s v="oui"/>
    <m/>
    <n v="1"/>
    <n v="0.75"/>
    <n v="0.75"/>
  </r>
  <r>
    <d v="2016-11-28T00:00:00"/>
    <x v="1"/>
    <s v="San Nicolas"/>
    <x v="0"/>
    <s v="Sauvignon"/>
    <x v="0"/>
    <s v="Classique"/>
    <n v="401"/>
    <m/>
    <s v="oui"/>
    <m/>
    <n v="2"/>
    <n v="0.75"/>
    <n v="1.5"/>
  </r>
  <r>
    <d v="2016-11-28T00:00:00"/>
    <x v="1"/>
    <s v="San Nicolas"/>
    <x v="0"/>
    <s v="Chardonnay"/>
    <x v="0"/>
    <s v="flatteur"/>
    <n v="14"/>
    <m/>
    <s v="oui"/>
    <m/>
    <n v="2"/>
    <n v="0.75"/>
    <n v="1.5"/>
  </r>
  <r>
    <d v="2016-11-28T00:00:00"/>
    <x v="1"/>
    <s v="San Nicolas"/>
    <x v="0"/>
    <s v="Chardonnay"/>
    <x v="0"/>
    <s v="riche"/>
    <n v="411"/>
    <m/>
    <s v="oui"/>
    <m/>
    <n v="2"/>
    <n v="0.75"/>
    <n v="1.5"/>
  </r>
  <r>
    <d v="2016-11-28T00:00:00"/>
    <x v="1"/>
    <s v="San Nicolas"/>
    <x v="0"/>
    <s v="Oc blanc"/>
    <x v="0"/>
    <s v="Oc Blanc"/>
    <n v="200"/>
    <m/>
    <s v="oui"/>
    <m/>
    <n v="2"/>
    <n v="0.75"/>
    <n v="1.5"/>
  </r>
  <r>
    <d v="2016-11-28T00:00:00"/>
    <x v="1"/>
    <s v="San Nicolas"/>
    <x v="1"/>
    <s v="Rosé générique"/>
    <x v="0"/>
    <s v="Oc Rosé 2"/>
    <s v="-"/>
    <m/>
    <s v="oui"/>
    <s v="Oc Rosé 2 = Hérault Rosé"/>
    <n v="2"/>
    <n v="0.75"/>
    <n v="1.5"/>
  </r>
  <r>
    <d v="2016-11-28T00:00:00"/>
    <x v="1"/>
    <s v="Gilles Lambert"/>
    <x v="2"/>
    <s v="Merlot"/>
    <x v="0"/>
    <s v="Lot Merlot"/>
    <s v="-"/>
    <m/>
    <s v="oui"/>
    <m/>
    <n v="3"/>
    <n v="0.75"/>
    <n v="2.25"/>
  </r>
  <r>
    <d v="2016-11-28T00:00:00"/>
    <x v="1"/>
    <s v="Gilles Lambert"/>
    <x v="2"/>
    <s v="Cabernet"/>
    <x v="0"/>
    <s v="Lot Cabernet"/>
    <s v="-"/>
    <m/>
    <s v="oui"/>
    <m/>
    <n v="3"/>
    <n v="0.75"/>
    <n v="2.25"/>
  </r>
  <r>
    <d v="2016-11-28T00:00:00"/>
    <x v="2"/>
    <s v="-"/>
    <x v="2"/>
    <s v="Cabernet"/>
    <x v="0"/>
    <s v="Lot Cabernet"/>
    <s v="-"/>
    <m/>
    <s v="oui"/>
    <m/>
    <n v="2"/>
    <n v="0.75"/>
    <n v="1.5"/>
  </r>
  <r>
    <d v="2016-11-28T00:00:00"/>
    <x v="2"/>
    <s v="-"/>
    <x v="2"/>
    <s v="Merlot"/>
    <x v="0"/>
    <s v="Lot Merlot"/>
    <s v="-"/>
    <m/>
    <s v="oui"/>
    <m/>
    <n v="2"/>
    <n v="0.75"/>
    <n v="1.5"/>
  </r>
  <r>
    <d v="2016-11-29T00:00:00"/>
    <x v="7"/>
    <s v="-"/>
    <x v="0"/>
    <s v="Chardonnay"/>
    <x v="0"/>
    <s v="riche"/>
    <n v="411"/>
    <m/>
    <s v="oui"/>
    <m/>
    <n v="2"/>
    <n v="0.75"/>
    <n v="1.5"/>
  </r>
  <r>
    <d v="2016-11-29T00:00:00"/>
    <x v="7"/>
    <s v="-"/>
    <x v="1"/>
    <s v="Syrah"/>
    <x v="0"/>
    <s v="-"/>
    <n v="190"/>
    <m/>
    <s v="oui"/>
    <m/>
    <n v="2"/>
    <n v="0.75"/>
    <n v="1.5"/>
  </r>
  <r>
    <d v="2016-11-29T00:00:00"/>
    <x v="7"/>
    <s v="-"/>
    <x v="2"/>
    <s v="Syrah"/>
    <x v="0"/>
    <s v="Lot expérimental"/>
    <s v="-"/>
    <m/>
    <s v="oui"/>
    <m/>
    <n v="2"/>
    <n v="0.75"/>
    <n v="1.5"/>
  </r>
  <r>
    <d v="2016-11-29T00:00:00"/>
    <x v="7"/>
    <s v="-"/>
    <x v="2"/>
    <s v="Syrah"/>
    <x v="0"/>
    <s v="Lot expérimental"/>
    <s v="-"/>
    <m/>
    <s v="oui"/>
    <m/>
    <n v="2"/>
    <n v="0.75"/>
    <n v="1.5"/>
  </r>
  <r>
    <d v="2016-11-29T00:00:00"/>
    <x v="5"/>
    <s v="-"/>
    <x v="0"/>
    <s v="Chardonnay"/>
    <x v="0"/>
    <s v="Lot GCF"/>
    <s v="-"/>
    <m/>
    <s v="oui"/>
    <m/>
    <n v="3"/>
    <n v="0.75"/>
    <n v="2.25"/>
  </r>
  <r>
    <d v="2016-11-29T00:00:00"/>
    <x v="5"/>
    <s v="-"/>
    <x v="1"/>
    <s v="Merlot"/>
    <x v="0"/>
    <s v="-"/>
    <n v="201"/>
    <m/>
    <s v="oui"/>
    <m/>
    <n v="3"/>
    <n v="0.75"/>
    <n v="2.25"/>
  </r>
  <r>
    <d v="2016-11-29T00:00:00"/>
    <x v="18"/>
    <s v="-"/>
    <x v="0"/>
    <s v="Sauvignon"/>
    <x v="0"/>
    <s v="Classique"/>
    <n v="401"/>
    <m/>
    <s v="oui"/>
    <m/>
    <n v="3"/>
    <n v="0.75"/>
    <n v="2.25"/>
  </r>
  <r>
    <d v="2016-11-29T00:00:00"/>
    <x v="10"/>
    <s v="René Jeanjean"/>
    <x v="1"/>
    <s v="Rosé générique"/>
    <x v="0"/>
    <s v="Oc Rosé"/>
    <s v="-"/>
    <m/>
    <s v="oui"/>
    <m/>
    <n v="1"/>
    <n v="0.75"/>
    <n v="0.75"/>
  </r>
  <r>
    <d v="2016-11-30T00:00:00"/>
    <x v="2"/>
    <s v="-"/>
    <x v="0"/>
    <s v="Sauvignon"/>
    <x v="0"/>
    <s v="variétal"/>
    <n v="423"/>
    <m/>
    <s v="oui"/>
    <m/>
    <n v="1"/>
    <n v="0.75"/>
    <n v="0.75"/>
  </r>
  <r>
    <d v="2016-11-30T00:00:00"/>
    <x v="2"/>
    <s v="-"/>
    <x v="0"/>
    <s v="Sauvignon"/>
    <x v="0"/>
    <s v="supérieur"/>
    <n v="75"/>
    <m/>
    <s v="oui"/>
    <m/>
    <n v="1"/>
    <n v="0.75"/>
    <n v="0.75"/>
  </r>
  <r>
    <d v="2016-11-30T00:00:00"/>
    <x v="19"/>
    <s v="Pasquetto"/>
    <x v="0"/>
    <s v="Chardonnay"/>
    <x v="0"/>
    <s v="Lot Solis 1"/>
    <s v="-"/>
    <m/>
    <s v="oui"/>
    <m/>
    <n v="1"/>
    <n v="0.75"/>
    <n v="0.75"/>
  </r>
  <r>
    <d v="2016-11-30T00:00:00"/>
    <x v="19"/>
    <s v="Pasquetto"/>
    <x v="0"/>
    <s v="Chardonnay"/>
    <x v="0"/>
    <s v="Lot Solis 2"/>
    <s v="-"/>
    <m/>
    <s v="oui"/>
    <m/>
    <n v="1"/>
    <n v="0.75"/>
    <n v="0.75"/>
  </r>
  <r>
    <d v="2016-11-30T00:00:00"/>
    <x v="19"/>
    <s v="Pasquetto"/>
    <x v="0"/>
    <s v="Chardonnay"/>
    <x v="0"/>
    <s v="Lot Solis 3"/>
    <s v="-"/>
    <m/>
    <s v="oui"/>
    <m/>
    <n v="1"/>
    <n v="0.75"/>
    <n v="0.75"/>
  </r>
  <r>
    <d v="2016-11-30T00:00:00"/>
    <x v="14"/>
    <s v="-"/>
    <x v="0"/>
    <s v="Sauvignon"/>
    <x v="0"/>
    <s v="classique"/>
    <n v="401"/>
    <m/>
    <s v="oui"/>
    <m/>
    <n v="3"/>
    <n v="0.75"/>
    <n v="2.25"/>
  </r>
  <r>
    <d v="2016-11-30T00:00:00"/>
    <x v="14"/>
    <s v="-"/>
    <x v="0"/>
    <s v="Oc blanc"/>
    <x v="0"/>
    <s v="Oc Blanc"/>
    <n v="200"/>
    <m/>
    <s v="oui"/>
    <m/>
    <n v="3"/>
    <n v="0.75"/>
    <n v="2.25"/>
  </r>
  <r>
    <d v="2016-11-30T00:00:00"/>
    <x v="9"/>
    <s v="Jacques Woloviek"/>
    <x v="1"/>
    <s v="Merlot"/>
    <x v="0"/>
    <s v="Lot Merlot"/>
    <n v="201"/>
    <m/>
    <s v="oui"/>
    <m/>
    <n v="4"/>
    <n v="0.75"/>
    <n v="3"/>
  </r>
  <r>
    <d v="2016-12-01T00:00:00"/>
    <x v="2"/>
    <s v="-"/>
    <x v="0"/>
    <s v="Sauvignon"/>
    <x v="0"/>
    <s v="variétal"/>
    <n v="423"/>
    <m/>
    <s v="oui"/>
    <m/>
    <n v="1"/>
    <n v="0.75"/>
    <n v="0.75"/>
  </r>
  <r>
    <d v="2016-12-01T00:00:00"/>
    <x v="2"/>
    <s v="-"/>
    <x v="0"/>
    <s v="Sauvignon"/>
    <x v="0"/>
    <s v="supérieur"/>
    <n v="75"/>
    <m/>
    <s v="oui"/>
    <m/>
    <n v="1"/>
    <n v="0.75"/>
    <n v="0.75"/>
  </r>
  <r>
    <d v="2016-12-01T00:00:00"/>
    <x v="1"/>
    <s v="Gilles Lambert"/>
    <x v="0"/>
    <s v="Sauvignon"/>
    <x v="0"/>
    <s v="classique"/>
    <n v="401"/>
    <m/>
    <s v="oui"/>
    <m/>
    <n v="2"/>
    <n v="0.75"/>
    <n v="1.5"/>
  </r>
  <r>
    <d v="2016-12-01T00:00:00"/>
    <x v="1"/>
    <s v="Gilles Lambert"/>
    <x v="0"/>
    <s v="Chardonnay"/>
    <x v="0"/>
    <s v="flatteur"/>
    <n v="14"/>
    <m/>
    <s v="oui"/>
    <m/>
    <n v="2"/>
    <n v="0.75"/>
    <n v="1.5"/>
  </r>
  <r>
    <d v="2016-12-02T00:00:00"/>
    <x v="8"/>
    <s v="Murphy winecompany"/>
    <x v="1"/>
    <s v="Générique"/>
    <x v="0"/>
    <s v="Hérault Rosé"/>
    <s v="-"/>
    <m/>
    <s v="oui"/>
    <s v="Hérault Rosé + 50 g/hL acide tartrique"/>
    <n v="2"/>
    <n v="0.75"/>
    <n v="1.5"/>
  </r>
  <r>
    <d v="2016-12-05T00:00:00"/>
    <x v="2"/>
    <s v="-"/>
    <x v="0"/>
    <s v="Chardonnay"/>
    <x v="0"/>
    <s v="riche"/>
    <n v="411"/>
    <m/>
    <s v="oui"/>
    <m/>
    <n v="2"/>
    <n v="0.75"/>
    <n v="1.5"/>
  </r>
  <r>
    <d v="2016-12-05T00:00:00"/>
    <x v="2"/>
    <s v="-"/>
    <x v="0"/>
    <s v="Chardonnay"/>
    <x v="0"/>
    <s v="flatteur"/>
    <n v="14"/>
    <m/>
    <s v="oui"/>
    <m/>
    <n v="2"/>
    <n v="0.75"/>
    <n v="1.5"/>
  </r>
  <r>
    <d v="2016-12-05T00:00:00"/>
    <x v="2"/>
    <s v="-"/>
    <x v="0"/>
    <s v="Chardonnay"/>
    <x v="0"/>
    <s v="supérieur"/>
    <n v="307"/>
    <m/>
    <s v="oui"/>
    <m/>
    <n v="2"/>
    <n v="0.75"/>
    <n v="1.5"/>
  </r>
  <r>
    <d v="2016-12-05T00:00:00"/>
    <x v="2"/>
    <s v="-"/>
    <x v="0"/>
    <s v="Viognier"/>
    <x v="0"/>
    <s v="-"/>
    <n v="424"/>
    <m/>
    <s v="oui"/>
    <m/>
    <n v="2"/>
    <n v="0.75"/>
    <n v="1.5"/>
  </r>
  <r>
    <d v="2016-12-05T00:00:00"/>
    <x v="2"/>
    <s v="-"/>
    <x v="2"/>
    <s v="Merlot"/>
    <x v="0"/>
    <s v="MR"/>
    <s v="-"/>
    <m/>
    <s v="oui"/>
    <m/>
    <n v="3"/>
    <n v="0.75"/>
    <n v="2.25"/>
  </r>
  <r>
    <d v="2016-12-05T00:00:00"/>
    <x v="11"/>
    <s v="-"/>
    <x v="2"/>
    <s v="Cabernet"/>
    <x v="0"/>
    <s v="CSR"/>
    <s v="-"/>
    <m/>
    <s v="oui"/>
    <m/>
    <n v="3"/>
    <n v="0.75"/>
    <n v="2.25"/>
  </r>
  <r>
    <d v="2016-12-05T00:00:00"/>
    <x v="11"/>
    <s v="-"/>
    <x v="0"/>
    <s v="Terret"/>
    <x v="0"/>
    <s v="Oc Blanc"/>
    <n v="200"/>
    <m/>
    <s v="oui"/>
    <m/>
    <n v="1"/>
    <n v="0.75"/>
    <n v="0.75"/>
  </r>
  <r>
    <d v="2016-12-05T00:00:00"/>
    <x v="11"/>
    <s v="-"/>
    <x v="0"/>
    <s v="Sauvignon"/>
    <x v="0"/>
    <s v="classique"/>
    <n v="401"/>
    <m/>
    <s v="oui"/>
    <m/>
    <n v="1"/>
    <n v="0.75"/>
    <n v="0.75"/>
  </r>
  <r>
    <d v="2016-12-05T00:00:00"/>
    <x v="11"/>
    <s v="-"/>
    <x v="0"/>
    <s v="Chardonnay"/>
    <x v="0"/>
    <s v="riche"/>
    <n v="411"/>
    <m/>
    <s v="oui"/>
    <m/>
    <n v="1"/>
    <n v="0.75"/>
    <n v="0.75"/>
  </r>
  <r>
    <d v="2016-12-05T00:00:00"/>
    <x v="11"/>
    <s v="-"/>
    <x v="1"/>
    <s v="Rosé générique"/>
    <x v="0"/>
    <s v="Hérault Rosé"/>
    <s v="-"/>
    <m/>
    <s v="oui"/>
    <m/>
    <n v="1"/>
    <n v="0.75"/>
    <n v="0.75"/>
  </r>
  <r>
    <d v="2016-12-05T00:00:00"/>
    <x v="11"/>
    <s v="-"/>
    <x v="1"/>
    <s v="Pinot Noir"/>
    <x v="0"/>
    <s v="-"/>
    <n v="129"/>
    <m/>
    <s v="oui"/>
    <s v="  + 4% Syrah Rosé"/>
    <n v="1"/>
    <n v="0.75"/>
    <n v="0.75"/>
  </r>
  <r>
    <d v="2016-12-05T00:00:00"/>
    <x v="11"/>
    <s v="-"/>
    <x v="2"/>
    <s v="Pinot Noir"/>
    <x v="0"/>
    <s v="Lot PN"/>
    <s v="-"/>
    <m/>
    <s v="oui"/>
    <m/>
    <n v="1"/>
    <n v="0.75"/>
    <n v="0.75"/>
  </r>
  <r>
    <d v="2016-12-06T00:00:00"/>
    <x v="1"/>
    <s v="Olivier Castillo"/>
    <x v="0"/>
    <s v="Viognier"/>
    <x v="0"/>
    <s v="-"/>
    <n v="424"/>
    <m/>
    <s v="oui"/>
    <m/>
    <n v="2"/>
    <n v="0.75"/>
    <n v="1.5"/>
  </r>
  <r>
    <d v="2016-12-06T00:00:00"/>
    <x v="1"/>
    <s v="Olivier Castillo"/>
    <x v="0"/>
    <s v="Chardonnay"/>
    <x v="0"/>
    <s v="Frais"/>
    <s v="-"/>
    <m/>
    <s v="oui"/>
    <s v="85 % 313 + 15% 189"/>
    <n v="2"/>
    <n v="0.75"/>
    <n v="1.5"/>
  </r>
  <r>
    <d v="2016-12-06T00:00:00"/>
    <x v="1"/>
    <s v="San Nicolas"/>
    <x v="0"/>
    <s v="Viognier"/>
    <x v="0"/>
    <s v="-"/>
    <n v="424"/>
    <m/>
    <s v="oui"/>
    <m/>
    <n v="2"/>
    <n v="0.75"/>
    <n v="1.5"/>
  </r>
  <r>
    <d v="2016-12-06T00:00:00"/>
    <x v="1"/>
    <s v="San Nicolas"/>
    <x v="0"/>
    <s v="Chardonnay"/>
    <x v="0"/>
    <s v="flatteur"/>
    <n v="14"/>
    <m/>
    <s v="oui"/>
    <m/>
    <n v="2"/>
    <n v="0.75"/>
    <n v="1.5"/>
  </r>
  <r>
    <d v="2016-12-06T00:00:00"/>
    <x v="1"/>
    <s v="Olivier Castillo"/>
    <x v="0"/>
    <s v="Chardonnay"/>
    <x v="0"/>
    <s v="riche"/>
    <n v="411"/>
    <m/>
    <s v="oui"/>
    <m/>
    <n v="2"/>
    <n v="0.75"/>
    <n v="1.5"/>
  </r>
  <r>
    <d v="2016-12-06T00:00:00"/>
    <x v="1"/>
    <s v="Olivier Castillo"/>
    <x v="0"/>
    <s v="Oc blanc"/>
    <x v="0"/>
    <s v="Oc Blanc"/>
    <n v="200"/>
    <m/>
    <s v="oui"/>
    <m/>
    <n v="2"/>
    <n v="0.75"/>
    <n v="1.5"/>
  </r>
  <r>
    <d v="2016-12-06T00:00:00"/>
    <x v="1"/>
    <s v="Olivier Castillo"/>
    <x v="0"/>
    <s v="Chardonnay"/>
    <x v="0"/>
    <s v="flatteur"/>
    <n v="14"/>
    <m/>
    <s v="oui"/>
    <m/>
    <n v="2"/>
    <n v="0.75"/>
    <n v="1.5"/>
  </r>
  <r>
    <d v="2016-12-06T00:00:00"/>
    <x v="1"/>
    <s v="Olivier Castillo"/>
    <x v="0"/>
    <s v="Chardonnay"/>
    <x v="0"/>
    <s v="supérieur"/>
    <n v="328"/>
    <m/>
    <s v="oui"/>
    <m/>
    <n v="2"/>
    <n v="0.75"/>
    <n v="1.5"/>
  </r>
  <r>
    <d v="2016-12-06T00:00:00"/>
    <x v="1"/>
    <s v="SP Wines"/>
    <x v="0"/>
    <s v="Viognier"/>
    <x v="0"/>
    <s v="-"/>
    <n v="424"/>
    <m/>
    <s v="oui"/>
    <m/>
    <n v="2"/>
    <n v="0.75"/>
    <n v="1.5"/>
  </r>
  <r>
    <d v="2016-12-06T00:00:00"/>
    <x v="1"/>
    <s v="SP Wines"/>
    <x v="0"/>
    <s v="Vermentino"/>
    <x v="0"/>
    <s v="-"/>
    <n v="31"/>
    <m/>
    <s v="oui"/>
    <m/>
    <n v="2"/>
    <n v="0.75"/>
    <n v="1.5"/>
  </r>
  <r>
    <d v="2016-12-06T00:00:00"/>
    <x v="1"/>
    <s v="SP Wines"/>
    <x v="0"/>
    <s v="Sauvignon"/>
    <x v="0"/>
    <s v="classique"/>
    <n v="401"/>
    <m/>
    <s v="oui"/>
    <m/>
    <n v="3"/>
    <n v="0.75"/>
    <n v="2.25"/>
  </r>
  <r>
    <d v="2016-12-06T00:00:00"/>
    <x v="1"/>
    <s v="SP Wines"/>
    <x v="0"/>
    <s v="Chardonnay"/>
    <x v="0"/>
    <s v="riche"/>
    <n v="411"/>
    <m/>
    <s v="oui"/>
    <m/>
    <n v="2"/>
    <n v="0.75"/>
    <n v="1.5"/>
  </r>
  <r>
    <d v="2016-12-06T00:00:00"/>
    <x v="1"/>
    <s v="SP Wines"/>
    <x v="2"/>
    <s v="Pinot Noir"/>
    <x v="0"/>
    <s v="PN"/>
    <s v="-"/>
    <m/>
    <s v="oui"/>
    <m/>
    <n v="1"/>
    <n v="0.75"/>
    <n v="0.75"/>
  </r>
  <r>
    <d v="2016-12-06T00:00:00"/>
    <x v="1"/>
    <s v="SP Wines"/>
    <x v="2"/>
    <s v="Merlot"/>
    <x v="0"/>
    <s v="MR"/>
    <s v="-"/>
    <m/>
    <s v="oui"/>
    <m/>
    <n v="2"/>
    <n v="0.75"/>
    <n v="1.5"/>
  </r>
  <r>
    <d v="2016-12-06T00:00:00"/>
    <x v="1"/>
    <s v="SP Wines"/>
    <x v="2"/>
    <s v="Cabernet"/>
    <x v="0"/>
    <s v="CSR"/>
    <s v="-"/>
    <m/>
    <s v="oui"/>
    <m/>
    <n v="3"/>
    <n v="0.75"/>
    <n v="2.25"/>
  </r>
  <r>
    <d v="2016-12-06T00:00:00"/>
    <x v="1"/>
    <s v="SP Wines"/>
    <x v="0"/>
    <s v="Sauvignon"/>
    <x v="0"/>
    <s v="classique"/>
    <n v="401"/>
    <m/>
    <s v="oui"/>
    <m/>
    <n v="2"/>
    <n v="0.75"/>
    <n v="1.5"/>
  </r>
  <r>
    <d v="2016-12-06T00:00:00"/>
    <x v="15"/>
    <s v="René Jeanjean"/>
    <x v="0"/>
    <s v="Sauvignon"/>
    <x v="0"/>
    <s v="variétal"/>
    <n v="423"/>
    <m/>
    <s v="oui"/>
    <m/>
    <n v="2"/>
    <n v="0.75"/>
    <n v="1.5"/>
  </r>
  <r>
    <d v="2016-12-06T00:00:00"/>
    <x v="15"/>
    <s v="René Jeanjean"/>
    <x v="0"/>
    <s v="Sauvignon"/>
    <x v="0"/>
    <s v="supérieur"/>
    <n v="75"/>
    <m/>
    <s v="oui"/>
    <m/>
    <n v="2"/>
    <n v="0.75"/>
    <n v="1.5"/>
  </r>
  <r>
    <d v="2016-12-06T00:00:00"/>
    <x v="15"/>
    <s v="René Jeanjean"/>
    <x v="0"/>
    <s v="Viognier"/>
    <x v="0"/>
    <s v="-"/>
    <n v="424"/>
    <m/>
    <s v="oui"/>
    <m/>
    <n v="2"/>
    <n v="0.75"/>
    <n v="1.5"/>
  </r>
  <r>
    <d v="2016-12-06T00:00:00"/>
    <x v="15"/>
    <s v="René Jeanjean"/>
    <x v="1"/>
    <s v="Cabernet"/>
    <x v="0"/>
    <s v="-"/>
    <n v="302"/>
    <m/>
    <s v="oui"/>
    <m/>
    <n v="1"/>
    <n v="0.75"/>
    <n v="0.75"/>
  </r>
  <r>
    <d v="2016-12-06T00:00:00"/>
    <x v="15"/>
    <s v="René Jeanjean"/>
    <x v="1"/>
    <s v="Merlot"/>
    <x v="0"/>
    <s v="-"/>
    <n v="37"/>
    <m/>
    <s v="oui"/>
    <m/>
    <n v="1"/>
    <n v="0.75"/>
    <n v="0.75"/>
  </r>
  <r>
    <d v="2016-12-06T00:00:00"/>
    <x v="15"/>
    <s v="René Jeanjean"/>
    <x v="0"/>
    <s v="Chardonnay"/>
    <x v="0"/>
    <s v="flatteur"/>
    <n v="14"/>
    <m/>
    <s v="oui"/>
    <m/>
    <n v="2"/>
    <n v="1"/>
    <n v="2"/>
  </r>
  <r>
    <d v="2016-12-06T00:00:00"/>
    <x v="15"/>
    <s v="René Jeanjean"/>
    <x v="0"/>
    <s v="Chardonnay"/>
    <x v="0"/>
    <s v="riche"/>
    <n v="411"/>
    <m/>
    <s v="oui"/>
    <m/>
    <n v="2"/>
    <n v="1"/>
    <n v="2"/>
  </r>
  <r>
    <d v="2016-12-06T00:00:00"/>
    <x v="15"/>
    <s v="René Jeanjean"/>
    <x v="1"/>
    <s v="Cinsault"/>
    <x v="0"/>
    <s v="Lot Cinsault"/>
    <s v="-"/>
    <m/>
    <s v="oui"/>
    <m/>
    <n v="1"/>
    <n v="0.75"/>
    <n v="0.75"/>
  </r>
  <r>
    <d v="2016-12-06T00:00:00"/>
    <x v="15"/>
    <s v="René Jeanjean"/>
    <x v="1"/>
    <s v="Rosé générique"/>
    <x v="0"/>
    <s v="Oc Rosé 2"/>
    <s v="-"/>
    <m/>
    <s v="oui"/>
    <s v="Hérault Rosé + 50 g/hL acide tartrique"/>
    <n v="1"/>
    <n v="0.75"/>
    <n v="0.75"/>
  </r>
  <r>
    <d v="2016-12-07T00:00:00"/>
    <x v="20"/>
    <s v="-"/>
    <x v="0"/>
    <s v="Sauvignon"/>
    <x v="0"/>
    <s v="bouteille"/>
    <n v="24"/>
    <m/>
    <s v="oui"/>
    <m/>
    <n v="1"/>
    <n v="0.75"/>
    <n v="0.75"/>
  </r>
  <r>
    <d v="2016-12-07T00:00:00"/>
    <x v="20"/>
    <s v="-"/>
    <x v="0"/>
    <s v="Oc blanc"/>
    <x v="0"/>
    <s v="Oc blanc"/>
    <n v="200"/>
    <m/>
    <s v="oui"/>
    <m/>
    <n v="1"/>
    <n v="0.75"/>
    <n v="0.75"/>
  </r>
  <r>
    <d v="2016-12-07T00:00:00"/>
    <x v="20"/>
    <s v="-"/>
    <x v="0"/>
    <s v="Colombard"/>
    <x v="0"/>
    <s v="-"/>
    <n v="10"/>
    <m/>
    <s v="oui"/>
    <m/>
    <n v="1"/>
    <n v="0.75"/>
    <n v="0.75"/>
  </r>
  <r>
    <d v="2016-12-07T00:00:00"/>
    <x v="20"/>
    <s v="-"/>
    <x v="1"/>
    <s v="Cinsault"/>
    <x v="0"/>
    <s v="Lot Cinsault"/>
    <s v="Ag301"/>
    <m/>
    <s v="oui"/>
    <m/>
    <n v="1"/>
    <n v="0.75"/>
    <n v="0.75"/>
  </r>
  <r>
    <d v="2016-12-07T00:00:00"/>
    <x v="20"/>
    <s v="-"/>
    <x v="1"/>
    <s v="Cinsault/Grenache"/>
    <x v="0"/>
    <s v="bouteille"/>
    <s v="CF3"/>
    <m/>
    <s v="oui"/>
    <m/>
    <n v="1"/>
    <n v="0.75"/>
    <n v="0.75"/>
  </r>
  <r>
    <d v="2016-12-07T00:00:00"/>
    <x v="20"/>
    <s v="-"/>
    <x v="1"/>
    <s v="Grenache"/>
    <x v="0"/>
    <s v="-"/>
    <n v="63"/>
    <m/>
    <s v="oui"/>
    <m/>
    <n v="1"/>
    <n v="0.75"/>
    <n v="0.75"/>
  </r>
  <r>
    <d v="2016-12-07T00:00:00"/>
    <x v="20"/>
    <s v="-"/>
    <x v="2"/>
    <s v="Pinot Noir"/>
    <x v="1"/>
    <s v="-"/>
    <n v="39"/>
    <m/>
    <s v="oui"/>
    <m/>
    <n v="1"/>
    <n v="0.75"/>
    <n v="0.75"/>
  </r>
  <r>
    <d v="2016-12-07T00:00:00"/>
    <x v="5"/>
    <s v="-"/>
    <x v="1"/>
    <s v="Cinsault"/>
    <x v="0"/>
    <s v="Lot Cinsault"/>
    <s v="Ag301"/>
    <m/>
    <s v="oui"/>
    <m/>
    <n v="1"/>
    <n v="0.75"/>
    <n v="0.75"/>
  </r>
  <r>
    <d v="2016-12-08T00:00:00"/>
    <x v="5"/>
    <s v="-"/>
    <x v="1"/>
    <s v="Grenache"/>
    <x v="0"/>
    <s v="Lot GCF"/>
    <s v="-"/>
    <m/>
    <s v="oui"/>
    <m/>
    <n v="1"/>
    <n v="0.75"/>
    <n v="0.75"/>
  </r>
  <r>
    <d v="2016-12-08T00:00:00"/>
    <x v="5"/>
    <s v="-"/>
    <x v="0"/>
    <s v="Piquepoul/Sauvignon"/>
    <x v="0"/>
    <s v="Lot GCF"/>
    <s v="-"/>
    <m/>
    <s v="oui"/>
    <m/>
    <n v="1"/>
    <n v="0.75"/>
    <n v="0.75"/>
  </r>
  <r>
    <d v="2016-12-08T00:00:00"/>
    <x v="5"/>
    <s v="-"/>
    <x v="0"/>
    <s v="Chardonnay"/>
    <x v="0"/>
    <s v="Lot GCF"/>
    <n v="308"/>
    <m/>
    <s v="oui"/>
    <m/>
    <n v="1"/>
    <n v="0.75"/>
    <n v="0.75"/>
  </r>
  <r>
    <d v="2016-12-08T00:00:00"/>
    <x v="5"/>
    <s v="-"/>
    <x v="0"/>
    <s v="Merlot"/>
    <x v="0"/>
    <s v="Lot Merlot"/>
    <n v="201"/>
    <m/>
    <s v="oui"/>
    <m/>
    <n v="1"/>
    <n v="0.75"/>
    <n v="0.75"/>
  </r>
  <r>
    <d v="2016-12-08T00:00:00"/>
    <x v="16"/>
    <s v="-"/>
    <x v="0"/>
    <s v="Viognier"/>
    <x v="0"/>
    <s v="RT1"/>
    <s v="-"/>
    <m/>
    <s v="oui"/>
    <s v="80% 35 (Vio bt) + 20% 424"/>
    <n v="1"/>
    <n v="0.75"/>
    <n v="0.75"/>
  </r>
  <r>
    <d v="2016-12-08T00:00:00"/>
    <x v="16"/>
    <s v="-"/>
    <x v="0"/>
    <s v="Viognier"/>
    <x v="0"/>
    <s v="RT2"/>
    <s v="-"/>
    <m/>
    <s v="oui"/>
    <s v="50% 424 + 50%315"/>
    <n v="1"/>
    <n v="0.75"/>
    <n v="0.75"/>
  </r>
  <r>
    <d v="2016-12-08T00:00:00"/>
    <x v="16"/>
    <s v="-"/>
    <x v="1"/>
    <s v="Grenache Syrah"/>
    <x v="0"/>
    <s v="Maraval"/>
    <s v="-"/>
    <m/>
    <s v="oui"/>
    <s v="Lot Maraval Rosé"/>
    <n v="1"/>
    <n v="0.75"/>
    <n v="0.75"/>
  </r>
  <r>
    <d v="2016-12-08T00:00:00"/>
    <x v="16"/>
    <s v="-"/>
    <x v="1"/>
    <s v="Grenache Syrah"/>
    <x v="0"/>
    <s v="RF2"/>
    <s v="-"/>
    <m/>
    <s v="oui"/>
    <s v="70% 45 + 30% 84"/>
    <n v="1"/>
    <n v="0.75"/>
    <n v="0.75"/>
  </r>
  <r>
    <d v="2016-12-08T00:00:00"/>
    <x v="16"/>
    <s v="-"/>
    <x v="1"/>
    <s v="Grenache Syrah"/>
    <x v="0"/>
    <s v="RF3"/>
    <s v="-"/>
    <m/>
    <s v="oui"/>
    <s v="50% 63 + 50% 84"/>
    <n v="1"/>
    <n v="0.75"/>
    <n v="0.75"/>
  </r>
  <r>
    <d v="2016-12-08T00:00:00"/>
    <x v="7"/>
    <s v="-"/>
    <x v="0"/>
    <s v="Sauvignon"/>
    <x v="0"/>
    <s v="supérieur"/>
    <n v="75"/>
    <m/>
    <s v="oui"/>
    <m/>
    <n v="1"/>
    <n v="0.75"/>
    <n v="0.75"/>
  </r>
  <r>
    <d v="2016-12-08T00:00:00"/>
    <x v="21"/>
    <s v="-"/>
    <x v="0"/>
    <s v="Sauvignon"/>
    <x v="0"/>
    <s v="classique"/>
    <n v="401"/>
    <m/>
    <s v="oui"/>
    <m/>
    <n v="1"/>
    <n v="0.75"/>
    <n v="0.75"/>
  </r>
  <r>
    <d v="2016-12-08T00:00:00"/>
    <x v="21"/>
    <s v="-"/>
    <x v="0"/>
    <s v="Chardonnay"/>
    <x v="0"/>
    <s v="flatteur"/>
    <n v="14"/>
    <m/>
    <s v="oui"/>
    <m/>
    <n v="1"/>
    <n v="0.75"/>
    <n v="0.75"/>
  </r>
  <r>
    <d v="2016-12-08T00:00:00"/>
    <x v="21"/>
    <s v="-"/>
    <x v="0"/>
    <s v="Chardonnay"/>
    <x v="0"/>
    <s v="riche"/>
    <n v="411"/>
    <m/>
    <s v="oui"/>
    <m/>
    <n v="1"/>
    <n v="0.75"/>
    <n v="0.75"/>
  </r>
  <r>
    <d v="2016-12-08T00:00:00"/>
    <x v="21"/>
    <s v="-"/>
    <x v="0"/>
    <s v="Chardonnay"/>
    <x v="0"/>
    <s v="supérieur"/>
    <n v="36"/>
    <m/>
    <s v="oui"/>
    <m/>
    <n v="1"/>
    <n v="0.75"/>
    <n v="0.75"/>
  </r>
  <r>
    <d v="2016-12-08T00:00:00"/>
    <x v="21"/>
    <s v="-"/>
    <x v="0"/>
    <s v="Maraval"/>
    <x v="0"/>
    <s v="Maraval"/>
    <s v="-"/>
    <m/>
    <s v="oui"/>
    <m/>
    <n v="1"/>
    <n v="0.75"/>
    <n v="0.75"/>
  </r>
  <r>
    <d v="2016-12-08T00:00:00"/>
    <x v="21"/>
    <s v="-"/>
    <x v="1"/>
    <s v="Maraval"/>
    <x v="0"/>
    <s v="Maraval"/>
    <s v="-"/>
    <m/>
    <s v="oui"/>
    <m/>
    <n v="1"/>
    <n v="0.75"/>
    <n v="0.75"/>
  </r>
  <r>
    <d v="2016-12-08T00:00:00"/>
    <x v="21"/>
    <s v="-"/>
    <x v="2"/>
    <s v="Maraval"/>
    <x v="0"/>
    <s v="Maraval"/>
    <s v="-"/>
    <m/>
    <s v="oui"/>
    <m/>
    <n v="1"/>
    <n v="0.75"/>
    <n v="0.75"/>
  </r>
  <r>
    <d v="2016-12-08T00:00:00"/>
    <x v="21"/>
    <s v="-"/>
    <x v="2"/>
    <s v="Merlot"/>
    <x v="0"/>
    <s v="bouteille"/>
    <s v="-"/>
    <m/>
    <s v="oui"/>
    <m/>
    <n v="1"/>
    <n v="0.75"/>
    <n v="0.75"/>
  </r>
  <r>
    <d v="2016-12-08T00:00:00"/>
    <x v="21"/>
    <s v="-"/>
    <x v="2"/>
    <s v="Cabernet"/>
    <x v="0"/>
    <s v="bouteille"/>
    <s v="-"/>
    <m/>
    <s v="oui"/>
    <m/>
    <n v="1"/>
    <n v="0.75"/>
    <n v="0.75"/>
  </r>
  <r>
    <d v="2016-12-12T00:00:00"/>
    <x v="2"/>
    <s v="-"/>
    <x v="0"/>
    <s v="Chardonnay"/>
    <x v="0"/>
    <s v="flatteur"/>
    <n v="14"/>
    <m/>
    <s v="oui"/>
    <m/>
    <n v="2"/>
    <n v="0.75"/>
    <n v="1.5"/>
  </r>
  <r>
    <d v="2016-12-12T00:00:00"/>
    <x v="2"/>
    <s v="-"/>
    <x v="0"/>
    <s v="Chardonnay"/>
    <x v="0"/>
    <s v="riche"/>
    <n v="411"/>
    <m/>
    <s v="oui"/>
    <m/>
    <n v="2"/>
    <n v="0.75"/>
    <n v="1.5"/>
  </r>
  <r>
    <d v="2016-12-12T00:00:00"/>
    <x v="2"/>
    <s v="-"/>
    <x v="0"/>
    <s v="Chardonnay"/>
    <x v="0"/>
    <s v="supérieur"/>
    <n v="89"/>
    <m/>
    <s v="oui"/>
    <m/>
    <n v="2"/>
    <n v="0.75"/>
    <n v="1.5"/>
  </r>
  <r>
    <d v="2016-12-12T00:00:00"/>
    <x v="2"/>
    <s v="-"/>
    <x v="2"/>
    <s v="Cabernet"/>
    <x v="0"/>
    <s v="CSR"/>
    <s v="-"/>
    <m/>
    <s v="oui"/>
    <m/>
    <n v="2"/>
    <n v="0.75"/>
    <n v="1.5"/>
  </r>
  <r>
    <d v="2016-12-12T00:00:00"/>
    <x v="2"/>
    <s v="-"/>
    <x v="2"/>
    <s v="Merlot"/>
    <x v="0"/>
    <s v="MR"/>
    <s v="-"/>
    <m/>
    <s v="oui"/>
    <m/>
    <n v="1"/>
    <n v="0.75"/>
    <n v="0.75"/>
  </r>
  <r>
    <d v="2016-12-12T00:00:00"/>
    <x v="4"/>
    <s v="-"/>
    <x v="0"/>
    <s v="Chardonnay"/>
    <x v="0"/>
    <s v="supérieur"/>
    <n v="36"/>
    <m/>
    <s v="oui"/>
    <m/>
    <n v="5"/>
    <n v="0.75"/>
    <n v="3.75"/>
  </r>
  <r>
    <d v="2016-12-12T00:00:00"/>
    <x v="5"/>
    <s v="-"/>
    <x v="0"/>
    <s v="Thau blanc"/>
    <x v="0"/>
    <s v="Lot GCF"/>
    <s v="-"/>
    <m/>
    <s v="oui"/>
    <m/>
    <n v="1"/>
    <n v="0.75"/>
    <n v="0.75"/>
  </r>
  <r>
    <d v="2016-12-12T00:00:00"/>
    <x v="5"/>
    <s v="-"/>
    <x v="0"/>
    <s v="Sauvignon"/>
    <x v="0"/>
    <s v="classique"/>
    <n v="401"/>
    <m/>
    <s v="oui"/>
    <m/>
    <n v="1"/>
    <n v="0.75"/>
    <n v="0.75"/>
  </r>
  <r>
    <d v="2016-12-13T00:00:00"/>
    <x v="9"/>
    <s v="Jacques Woloviek"/>
    <x v="0"/>
    <s v="Viognier"/>
    <x v="0"/>
    <s v="bouteille"/>
    <n v="35"/>
    <m/>
    <s v="oui"/>
    <m/>
    <n v="4"/>
    <n v="0.75"/>
    <n v="3"/>
  </r>
  <r>
    <d v="2016-12-13T00:00:00"/>
    <x v="9"/>
    <s v="Jacques Woloviek"/>
    <x v="0"/>
    <s v="Sauvignon"/>
    <x v="0"/>
    <s v="supérieur"/>
    <n v="75"/>
    <m/>
    <s v="oui"/>
    <m/>
    <n v="4"/>
    <n v="0.75"/>
    <n v="3"/>
  </r>
  <r>
    <d v="2016-12-13T00:00:00"/>
    <x v="9"/>
    <s v="Jacques Woloviek"/>
    <x v="0"/>
    <s v="Chardonnay"/>
    <x v="0"/>
    <s v="bouteille"/>
    <s v="FK10"/>
    <m/>
    <s v="oui"/>
    <m/>
    <n v="4"/>
    <n v="0.75"/>
    <n v="3"/>
  </r>
  <r>
    <d v="2016-12-13T00:00:00"/>
    <x v="9"/>
    <s v="Jacques Woloviek"/>
    <x v="1"/>
    <s v="Cabernet"/>
    <x v="0"/>
    <s v="-"/>
    <n v="302"/>
    <m/>
    <s v="oui"/>
    <m/>
    <n v="4"/>
    <n v="0.75"/>
    <n v="3"/>
  </r>
  <r>
    <d v="2016-12-13T00:00:00"/>
    <x v="9"/>
    <s v="Jacques Woloviek"/>
    <x v="1"/>
    <s v="Merlot"/>
    <x v="0"/>
    <s v="-"/>
    <n v="201"/>
    <m/>
    <s v="oui"/>
    <m/>
    <n v="4"/>
    <n v="0.75"/>
    <n v="3"/>
  </r>
  <r>
    <d v="2016-12-13T00:00:00"/>
    <x v="3"/>
    <s v="-"/>
    <x v="0"/>
    <s v="Chardonnay"/>
    <x v="0"/>
    <s v="variétal"/>
    <n v="411"/>
    <m/>
    <s v="oui"/>
    <m/>
    <n v="6"/>
    <n v="0.75"/>
    <n v="4.5"/>
  </r>
  <r>
    <d v="2016-12-13T00:00:00"/>
    <x v="3"/>
    <s v="-"/>
    <x v="0"/>
    <s v="Chardonnay"/>
    <x v="0"/>
    <s v="supérieur"/>
    <n v="89"/>
    <m/>
    <s v="oui"/>
    <m/>
    <n v="6"/>
    <n v="0.75"/>
    <n v="4.5"/>
  </r>
  <r>
    <d v="2016-12-14T00:00:00"/>
    <x v="15"/>
    <s v="René Jeanjean"/>
    <x v="0"/>
    <s v="Sauvignon"/>
    <x v="0"/>
    <s v="classique"/>
    <n v="401"/>
    <m/>
    <s v="oui"/>
    <m/>
    <n v="2"/>
    <n v="0.75"/>
    <n v="1.5"/>
  </r>
  <r>
    <d v="2016-12-14T00:00:00"/>
    <x v="15"/>
    <s v="René Jeanjean"/>
    <x v="0"/>
    <s v="Sauvignon"/>
    <x v="0"/>
    <s v="variétal"/>
    <n v="423"/>
    <m/>
    <s v="oui"/>
    <m/>
    <n v="2"/>
    <n v="0.75"/>
    <n v="1.5"/>
  </r>
  <r>
    <d v="2016-12-14T00:00:00"/>
    <x v="15"/>
    <s v="René Jeanjean"/>
    <x v="0"/>
    <s v="Sauvignon"/>
    <x v="0"/>
    <s v="supérieur"/>
    <n v="78"/>
    <m/>
    <s v="oui"/>
    <m/>
    <n v="4"/>
    <n v="0.75"/>
    <n v="3"/>
  </r>
  <r>
    <d v="2016-12-14T00:00:00"/>
    <x v="15"/>
    <s v="René Jeanjean"/>
    <x v="0"/>
    <s v="Viognier"/>
    <x v="0"/>
    <s v="-"/>
    <n v="424"/>
    <m/>
    <s v="oui"/>
    <m/>
    <n v="2"/>
    <n v="0.75"/>
    <n v="1.5"/>
  </r>
  <r>
    <d v="2016-12-14T00:00:00"/>
    <x v="15"/>
    <s v="René Jeanjean"/>
    <x v="0"/>
    <s v="Oc blanc"/>
    <x v="0"/>
    <s v="Oc Blanc"/>
    <n v="200"/>
    <m/>
    <s v="oui"/>
    <m/>
    <n v="2"/>
    <n v="0.75"/>
    <n v="1.5"/>
  </r>
  <r>
    <d v="2016-12-14T00:00:00"/>
    <x v="9"/>
    <s v="Jacques Woloviek"/>
    <x v="0"/>
    <s v="Viognier"/>
    <x v="0"/>
    <s v="-"/>
    <n v="424"/>
    <m/>
    <s v="oui"/>
    <m/>
    <n v="4"/>
    <n v="0.75"/>
    <n v="3"/>
  </r>
  <r>
    <d v="2016-12-14T00:00:00"/>
    <x v="9"/>
    <s v="Jacques Woloviek"/>
    <x v="0"/>
    <s v="Viognier"/>
    <x v="0"/>
    <s v="Lot JJ1"/>
    <s v="-"/>
    <m/>
    <s v="oui"/>
    <s v="Viognier Jeanjean"/>
    <n v="4"/>
    <n v="0.75"/>
    <n v="3"/>
  </r>
  <r>
    <d v="2016-12-15T00:00:00"/>
    <x v="19"/>
    <s v="Pasquetto"/>
    <x v="0"/>
    <s v="Chardonnay"/>
    <x v="0"/>
    <s v="Lot Solis 1"/>
    <s v="-"/>
    <m/>
    <s v="oui"/>
    <m/>
    <n v="1"/>
    <n v="0.75"/>
    <n v="0.75"/>
  </r>
  <r>
    <d v="2016-12-15T00:00:00"/>
    <x v="19"/>
    <s v="Pasquetto"/>
    <x v="0"/>
    <s v="Chardonnay"/>
    <x v="0"/>
    <s v="Lot Solis 2"/>
    <s v="-"/>
    <m/>
    <s v="oui"/>
    <m/>
    <n v="1"/>
    <n v="0.75"/>
    <n v="0.75"/>
  </r>
  <r>
    <d v="2016-12-15T00:00:00"/>
    <x v="19"/>
    <s v="Pasquetto"/>
    <x v="0"/>
    <s v="Chardonnay"/>
    <x v="0"/>
    <s v="Lot Solis 3"/>
    <s v="-"/>
    <m/>
    <s v="oui"/>
    <m/>
    <n v="1"/>
    <n v="0.75"/>
    <n v="0.75"/>
  </r>
  <r>
    <d v="2016-12-20T00:00:00"/>
    <x v="2"/>
    <s v="-"/>
    <x v="0"/>
    <s v="Sauvignon"/>
    <x v="0"/>
    <s v="variétal"/>
    <n v="418"/>
    <m/>
    <s v="oui"/>
    <m/>
    <n v="2"/>
    <n v="0.75"/>
    <n v="1.5"/>
  </r>
  <r>
    <d v="2016-12-20T00:00:00"/>
    <x v="2"/>
    <s v="-"/>
    <x v="0"/>
    <s v="Sauvignon"/>
    <x v="0"/>
    <s v="supérieur"/>
    <n v="321"/>
    <m/>
    <s v="oui"/>
    <m/>
    <n v="2"/>
    <n v="0.75"/>
    <n v="1.5"/>
  </r>
  <r>
    <d v="2017-01-02T00:00:00"/>
    <x v="2"/>
    <s v="-"/>
    <x v="2"/>
    <s v="Cabernet"/>
    <x v="0"/>
    <s v="CSR"/>
    <s v="-"/>
    <m/>
    <s v="oui"/>
    <m/>
    <n v="3"/>
    <n v="0.75"/>
    <n v="2.25"/>
  </r>
  <r>
    <d v="2017-01-02T00:00:00"/>
    <x v="2"/>
    <s v="-"/>
    <x v="2"/>
    <s v="Merlot"/>
    <x v="0"/>
    <s v="MR"/>
    <s v="-"/>
    <m/>
    <s v="oui"/>
    <m/>
    <n v="3"/>
    <n v="0.75"/>
    <n v="2.25"/>
  </r>
  <r>
    <d v="2017-01-03T00:00:00"/>
    <x v="1"/>
    <s v="Olivier Castillo"/>
    <x v="1"/>
    <s v="Rosé Cap d'Agde"/>
    <x v="0"/>
    <s v="Lot 1"/>
    <s v="-"/>
    <m/>
    <s v="oui"/>
    <s v="20 % Grenache + 80% Lot Rosé Oc"/>
    <n v="4"/>
    <n v="0.75"/>
    <n v="3"/>
  </r>
  <r>
    <d v="2017-01-03T00:00:00"/>
    <x v="1"/>
    <s v="Olivier Castillo"/>
    <x v="1"/>
    <s v="Rosé Cap d'Agde"/>
    <x v="0"/>
    <s v="Lot 2"/>
    <s v="-"/>
    <m/>
    <s v="oui"/>
    <s v="20 % Grenache + 5 % Muscat 184 + 80 % Lot Rosé Oc"/>
    <n v="4"/>
    <n v="0.75"/>
    <n v="3"/>
  </r>
  <r>
    <d v="2017-01-04T00:00:00"/>
    <x v="14"/>
    <s v="-"/>
    <x v="0"/>
    <s v="Viognier"/>
    <x v="0"/>
    <s v="Lot Auriol"/>
    <s v="-"/>
    <m/>
    <s v="oui"/>
    <s v="85 % 424 + 15% variétal sauv"/>
    <n v="1"/>
    <n v="10"/>
    <n v="10"/>
  </r>
  <r>
    <d v="2017-01-04T00:00:00"/>
    <x v="14"/>
    <s v="-"/>
    <x v="0"/>
    <s v="Marsanne Roussanne"/>
    <x v="0"/>
    <s v="Lot Auriol"/>
    <s v="-"/>
    <m/>
    <s v="oui"/>
    <s v="Ass des 2 références + 15% "/>
    <n v="1"/>
    <n v="10"/>
    <n v="10"/>
  </r>
  <r>
    <d v="2017-01-04T00:00:00"/>
    <x v="5"/>
    <s v="-"/>
    <x v="0"/>
    <s v="Chardonnay"/>
    <x v="0"/>
    <s v="Lot GCF"/>
    <n v="309"/>
    <m/>
    <s v="oui"/>
    <m/>
    <n v="6"/>
    <n v="0.75"/>
    <n v="4.5"/>
  </r>
  <r>
    <d v="2017-01-04T00:00:00"/>
    <x v="5"/>
    <s v="-"/>
    <x v="1"/>
    <s v="Cinsault"/>
    <x v="0"/>
    <s v="Lot Cinsault"/>
    <s v="Ag301"/>
    <m/>
    <s v="oui"/>
    <m/>
    <n v="2"/>
    <n v="0.75"/>
    <n v="1.5"/>
  </r>
  <r>
    <d v="2017-01-04T00:00:00"/>
    <x v="5"/>
    <s v="-"/>
    <x v="1"/>
    <s v="Grenache"/>
    <x v="0"/>
    <s v="Lot GCF"/>
    <n v="308"/>
    <m/>
    <s v="oui"/>
    <m/>
    <n v="2"/>
    <n v="0.75"/>
    <n v="1.5"/>
  </r>
  <r>
    <d v="2017-01-04T00:00:00"/>
    <x v="5"/>
    <s v="-"/>
    <x v="1"/>
    <s v="Merlot"/>
    <x v="0"/>
    <s v="Lot GCF"/>
    <n v="404"/>
    <m/>
    <s v="oui"/>
    <m/>
    <n v="2"/>
    <n v="0.75"/>
    <n v="1.5"/>
  </r>
  <r>
    <d v="2017-01-04T00:00:00"/>
    <x v="5"/>
    <s v="-"/>
    <x v="1"/>
    <s v="Pinot Noir"/>
    <x v="0"/>
    <s v="-"/>
    <n v="129"/>
    <m/>
    <s v="oui"/>
    <m/>
    <n v="2"/>
    <n v="0.75"/>
    <n v="1.5"/>
  </r>
  <r>
    <d v="2017-01-05T00:00:00"/>
    <x v="4"/>
    <s v="-"/>
    <x v="0"/>
    <s v="Chardonnay"/>
    <x v="0"/>
    <s v="supérieur"/>
    <n v="89"/>
    <m/>
    <s v="oui"/>
    <m/>
    <n v="2"/>
    <n v="0.75"/>
    <n v="1.5"/>
  </r>
  <r>
    <d v="2017-01-05T00:00:00"/>
    <x v="4"/>
    <s v="-"/>
    <x v="0"/>
    <s v="Chardonnay"/>
    <x v="0"/>
    <s v="riche"/>
    <n v="11"/>
    <m/>
    <s v="oui"/>
    <m/>
    <n v="2"/>
    <n v="0.75"/>
    <n v="1.5"/>
  </r>
  <r>
    <d v="2017-01-05T00:00:00"/>
    <x v="4"/>
    <s v="-"/>
    <x v="0"/>
    <s v="Viognier"/>
    <x v="0"/>
    <s v="-"/>
    <n v="424"/>
    <m/>
    <s v="oui"/>
    <m/>
    <n v="2"/>
    <n v="0.75"/>
    <n v="1.5"/>
  </r>
  <r>
    <d v="2017-01-05T00:00:00"/>
    <x v="1"/>
    <s v="Olivier Castillo"/>
    <x v="1"/>
    <s v="Pinot Noir"/>
    <x v="0"/>
    <s v="-"/>
    <s v="-"/>
    <m/>
    <s v="oui"/>
    <s v="200 hL PN + 50 hL 84"/>
    <n v="2"/>
    <n v="0.75"/>
    <n v="1.5"/>
  </r>
  <r>
    <d v="2017-01-05T00:00:00"/>
    <x v="2"/>
    <s v="-"/>
    <x v="0"/>
    <s v="Viognier"/>
    <x v="0"/>
    <s v="-"/>
    <n v="424"/>
    <m/>
    <s v="oui"/>
    <m/>
    <n v="3"/>
    <n v="0.75"/>
    <n v="2.25"/>
  </r>
  <r>
    <d v="2017-01-05T00:00:00"/>
    <x v="2"/>
    <s v="-"/>
    <x v="2"/>
    <s v="Merlot"/>
    <x v="0"/>
    <s v="MR"/>
    <s v="-"/>
    <m/>
    <s v="oui"/>
    <m/>
    <n v="3"/>
    <n v="0.75"/>
    <n v="2.25"/>
  </r>
  <r>
    <d v="2017-01-09T00:00:00"/>
    <x v="20"/>
    <s v="-"/>
    <x v="0"/>
    <s v="Terre et Mer"/>
    <x v="0"/>
    <s v="bouteille"/>
    <n v="100"/>
    <m/>
    <s v="oui"/>
    <m/>
    <n v="1"/>
    <n v="0.75"/>
    <n v="0.75"/>
  </r>
  <r>
    <d v="2017-01-09T00:00:00"/>
    <x v="20"/>
    <s v="-"/>
    <x v="0"/>
    <s v="Sauvignon"/>
    <x v="0"/>
    <s v="bouteille"/>
    <n v="24"/>
    <m/>
    <s v="oui"/>
    <m/>
    <n v="1"/>
    <n v="0.75"/>
    <n v="0.75"/>
  </r>
  <r>
    <d v="2017-01-09T00:00:00"/>
    <x v="20"/>
    <s v="-"/>
    <x v="0"/>
    <s v="Chardonnay"/>
    <x v="0"/>
    <s v="bouteille"/>
    <s v="FK10"/>
    <m/>
    <s v="oui"/>
    <m/>
    <n v="1"/>
    <n v="0.75"/>
    <n v="0.75"/>
  </r>
  <r>
    <d v="2017-01-09T00:00:00"/>
    <x v="20"/>
    <s v="-"/>
    <x v="1"/>
    <s v="Grenache Cinsault"/>
    <x v="0"/>
    <s v="bouteille"/>
    <s v="FK4"/>
    <m/>
    <s v="oui"/>
    <m/>
    <n v="1"/>
    <n v="0.75"/>
    <n v="0.75"/>
  </r>
  <r>
    <d v="2017-01-09T00:00:00"/>
    <x v="20"/>
    <s v="-"/>
    <x v="1"/>
    <s v="HippoCap"/>
    <x v="0"/>
    <s v="bouteille"/>
    <n v="42"/>
    <m/>
    <s v="oui"/>
    <m/>
    <n v="1"/>
    <n v="0.75"/>
    <n v="0.75"/>
  </r>
  <r>
    <d v="2017-01-09T00:00:00"/>
    <x v="20"/>
    <s v="-"/>
    <x v="2"/>
    <s v="Merlot"/>
    <x v="0"/>
    <s v="-"/>
    <n v="152"/>
    <m/>
    <s v="oui"/>
    <m/>
    <n v="1"/>
    <n v="0.75"/>
    <n v="0.75"/>
  </r>
  <r>
    <d v="2017-01-09T00:00:00"/>
    <x v="20"/>
    <s v="-"/>
    <x v="2"/>
    <s v="Cabernet"/>
    <x v="0"/>
    <s v="-"/>
    <n v="150"/>
    <m/>
    <s v="oui"/>
    <m/>
    <n v="1"/>
    <n v="0.75"/>
    <n v="0.75"/>
  </r>
  <r>
    <d v="2017-01-09T00:00:00"/>
    <x v="20"/>
    <s v="-"/>
    <x v="2"/>
    <s v="Pinot Noir"/>
    <x v="1"/>
    <s v="-"/>
    <n v="39"/>
    <m/>
    <s v="oui"/>
    <m/>
    <n v="1"/>
    <n v="0.75"/>
    <n v="0.75"/>
  </r>
  <r>
    <d v="2017-01-09T00:00:00"/>
    <x v="20"/>
    <s v="-"/>
    <x v="2"/>
    <s v="Merlot"/>
    <x v="1"/>
    <s v="Lot Russie"/>
    <s v="-"/>
    <m/>
    <s v="oui"/>
    <s v="60% Merlot std (NP81) + 40% Merlot Castel (114) + 4 g/L MCR"/>
    <n v="2"/>
    <n v="0.75"/>
    <n v="1.5"/>
  </r>
  <r>
    <d v="2017-01-09T00:00:00"/>
    <x v="11"/>
    <s v="-"/>
    <x v="0"/>
    <s v="Sauvignon"/>
    <x v="0"/>
    <s v="classique"/>
    <n v="401"/>
    <m/>
    <s v="oui"/>
    <m/>
    <n v="2"/>
    <n v="0.75"/>
    <n v="1.5"/>
  </r>
  <r>
    <d v="2017-01-09T00:00:00"/>
    <x v="22"/>
    <s v="-"/>
    <x v="0"/>
    <s v="Terret"/>
    <x v="1"/>
    <s v="Lot Terret 2"/>
    <n v="321"/>
    <m/>
    <s v="oui"/>
    <m/>
    <n v="2"/>
    <n v="0.75"/>
    <n v="1.5"/>
  </r>
  <r>
    <d v="2017-01-09T00:00:00"/>
    <x v="5"/>
    <s v="-"/>
    <x v="0"/>
    <s v="Thau blanc"/>
    <x v="0"/>
    <s v="Lot Thau blanc"/>
    <s v="-"/>
    <m/>
    <s v="oui"/>
    <m/>
    <n v="1"/>
    <n v="0.75"/>
    <n v="0.75"/>
  </r>
  <r>
    <d v="2017-01-10T00:00:00"/>
    <x v="1"/>
    <s v="SP Wines"/>
    <x v="0"/>
    <s v="Sauvignon"/>
    <x v="0"/>
    <s v="variétal"/>
    <n v="423"/>
    <m/>
    <s v="oui"/>
    <m/>
    <n v="7"/>
    <n v="0.75"/>
    <n v="5.25"/>
  </r>
  <r>
    <d v="2017-01-10T00:00:00"/>
    <x v="1"/>
    <s v="SP Wines"/>
    <x v="0"/>
    <s v="Chardonnay"/>
    <x v="0"/>
    <s v="riche"/>
    <n v="411"/>
    <m/>
    <s v="oui"/>
    <m/>
    <n v="7"/>
    <n v="0.75"/>
    <n v="5.25"/>
  </r>
  <r>
    <d v="2017-01-10T00:00:00"/>
    <x v="1"/>
    <s v="SP Wines"/>
    <x v="0"/>
    <s v="Chardonnay"/>
    <x v="0"/>
    <s v="supérieur"/>
    <n v="94"/>
    <m/>
    <s v="oui"/>
    <m/>
    <n v="7"/>
    <n v="0.75"/>
    <n v="5.25"/>
  </r>
  <r>
    <d v="2017-01-10T00:00:00"/>
    <x v="6"/>
    <s v="Vailhere Pascal"/>
    <x v="0"/>
    <s v="Muscat"/>
    <x v="0"/>
    <s v="Petit degré"/>
    <n v="194"/>
    <m/>
    <s v="oui"/>
    <m/>
    <n v="2"/>
    <n v="0.75"/>
    <n v="1.5"/>
  </r>
  <r>
    <d v="2017-01-10T00:00:00"/>
    <x v="6"/>
    <s v="Vailhere Pascal"/>
    <x v="0"/>
    <s v="Muscat"/>
    <x v="0"/>
    <s v="Standart"/>
    <n v="30"/>
    <m/>
    <s v="oui"/>
    <m/>
    <n v="1"/>
    <n v="5"/>
    <n v="5"/>
  </r>
  <r>
    <d v="2017-01-10T00:00:00"/>
    <x v="6"/>
    <s v="Vailhere Pascal"/>
    <x v="1"/>
    <s v="Cabernet"/>
    <x v="0"/>
    <s v="-"/>
    <n v="302"/>
    <m/>
    <s v="oui"/>
    <m/>
    <n v="2"/>
    <n v="0.75"/>
    <n v="1.5"/>
  </r>
  <r>
    <d v="2017-01-10T00:00:00"/>
    <x v="6"/>
    <s v="Vailhere Pascal"/>
    <x v="1"/>
    <s v="Cabernet"/>
    <x v="0"/>
    <s v="-"/>
    <n v="312"/>
    <m/>
    <s v="oui"/>
    <m/>
    <n v="2"/>
    <n v="0.75"/>
    <n v="1.5"/>
  </r>
  <r>
    <d v="2017-01-10T00:00:00"/>
    <x v="6"/>
    <s v="Vailhere Pascal"/>
    <x v="0"/>
    <s v="Sauvignon"/>
    <x v="0"/>
    <s v="classique"/>
    <n v="401"/>
    <m/>
    <s v="oui"/>
    <m/>
    <n v="2"/>
    <n v="0.75"/>
    <n v="1.5"/>
  </r>
  <r>
    <d v="2017-01-10T00:00:00"/>
    <x v="1"/>
    <s v="SP Wines"/>
    <x v="2"/>
    <s v="Cabernet"/>
    <x v="0"/>
    <s v="CSR"/>
    <n v="138"/>
    <m/>
    <s v="oui"/>
    <m/>
    <n v="2"/>
    <n v="0.75"/>
    <n v="1.5"/>
  </r>
  <r>
    <d v="2017-01-10T00:00:00"/>
    <x v="1"/>
    <s v="SP Wines"/>
    <x v="0"/>
    <s v="Chardonnay"/>
    <x v="0"/>
    <s v="supérieur"/>
    <n v="94"/>
    <m/>
    <s v="oui"/>
    <m/>
    <n v="2"/>
    <n v="0.75"/>
    <n v="1.5"/>
  </r>
  <r>
    <d v="2017-01-10T00:00:00"/>
    <x v="1"/>
    <s v="SP Wines"/>
    <x v="0"/>
    <s v="Chardonnay"/>
    <x v="0"/>
    <s v="riche"/>
    <n v="411"/>
    <m/>
    <s v="oui"/>
    <m/>
    <n v="2"/>
    <n v="0.75"/>
    <n v="1.5"/>
  </r>
  <r>
    <d v="2017-01-11T00:00:00"/>
    <x v="15"/>
    <s v="René Jeanjean"/>
    <x v="0"/>
    <s v="Sauvignon"/>
    <x v="0"/>
    <s v="supérieur"/>
    <n v="56"/>
    <m/>
    <s v="oui"/>
    <m/>
    <n v="4"/>
    <n v="0.75"/>
    <n v="3"/>
  </r>
  <r>
    <d v="2017-01-11T00:00:00"/>
    <x v="15"/>
    <s v="René Jeanjean"/>
    <x v="0"/>
    <s v="Sauvignon"/>
    <x v="0"/>
    <s v="variétal"/>
    <n v="423"/>
    <m/>
    <s v="oui"/>
    <m/>
    <n v="4"/>
    <n v="0.75"/>
    <n v="3"/>
  </r>
  <r>
    <d v="2017-01-11T00:00:00"/>
    <x v="15"/>
    <s v="René Jeanjean"/>
    <x v="0"/>
    <s v="Viognier"/>
    <x v="0"/>
    <s v="-"/>
    <n v="424"/>
    <m/>
    <s v="oui"/>
    <m/>
    <n v="2"/>
    <n v="0.75"/>
    <n v="1.5"/>
  </r>
  <r>
    <d v="2017-01-11T00:00:00"/>
    <x v="9"/>
    <s v="Jacques Woloviek"/>
    <x v="0"/>
    <s v="Sauvignon"/>
    <x v="0"/>
    <s v="classique"/>
    <n v="401"/>
    <m/>
    <s v="oui"/>
    <m/>
    <n v="2"/>
    <n v="0.75"/>
    <n v="1.5"/>
  </r>
  <r>
    <d v="2017-01-11T00:00:00"/>
    <x v="9"/>
    <s v="Jacques Woloviek"/>
    <x v="0"/>
    <s v="Colombard"/>
    <x v="0"/>
    <s v="189+10"/>
    <s v="-"/>
    <m/>
    <s v="oui"/>
    <m/>
    <n v="2"/>
    <n v="0.75"/>
    <n v="1.5"/>
  </r>
  <r>
    <d v="2017-01-11T00:00:00"/>
    <x v="9"/>
    <s v="Jacques Woloviek"/>
    <x v="0"/>
    <s v="Terret"/>
    <x v="0"/>
    <s v="Oc blanc"/>
    <n v="419"/>
    <m/>
    <s v="oui"/>
    <m/>
    <n v="2"/>
    <n v="0.75"/>
    <n v="1.5"/>
  </r>
  <r>
    <d v="2017-01-11T00:00:00"/>
    <x v="9"/>
    <s v="Jacques Woloviek"/>
    <x v="0"/>
    <s v="Chardonnay"/>
    <x v="0"/>
    <s v="flatteur"/>
    <n v="14"/>
    <m/>
    <s v="oui"/>
    <m/>
    <n v="2"/>
    <n v="0.75"/>
    <n v="1.5"/>
  </r>
  <r>
    <d v="2017-01-11T00:00:00"/>
    <x v="9"/>
    <s v="Jacques Woloviek"/>
    <x v="0"/>
    <s v="Chardonnay"/>
    <x v="0"/>
    <s v="riche"/>
    <n v="411"/>
    <m/>
    <s v="oui"/>
    <m/>
    <n v="2"/>
    <n v="0.75"/>
    <n v="1.5"/>
  </r>
  <r>
    <d v="2017-01-11T00:00:00"/>
    <x v="9"/>
    <s v="Jacques Woloviek"/>
    <x v="0"/>
    <s v="Chardonnay"/>
    <x v="0"/>
    <s v="Petit degré"/>
    <n v="313"/>
    <m/>
    <s v="oui"/>
    <m/>
    <n v="2"/>
    <n v="0.75"/>
    <n v="1.5"/>
  </r>
  <r>
    <d v="2017-01-11T00:00:00"/>
    <x v="9"/>
    <s v="Jacques Woloviek"/>
    <x v="0"/>
    <s v="Viognier"/>
    <x v="0"/>
    <s v="-"/>
    <n v="424"/>
    <m/>
    <s v="oui"/>
    <m/>
    <n v="2"/>
    <n v="0.75"/>
    <n v="1.5"/>
  </r>
  <r>
    <d v="2017-01-11T00:00:00"/>
    <x v="9"/>
    <s v="Jacques Woloviek"/>
    <x v="0"/>
    <s v="Viognier"/>
    <x v="0"/>
    <s v="Lot JJ1"/>
    <s v="-"/>
    <m/>
    <s v="oui"/>
    <m/>
    <n v="2"/>
    <n v="0.75"/>
    <n v="1.5"/>
  </r>
  <r>
    <d v="2017-01-11T00:00:00"/>
    <x v="9"/>
    <s v="Jacques Woloviek"/>
    <x v="0"/>
    <s v="Muscat"/>
    <x v="0"/>
    <s v="-"/>
    <n v="54"/>
    <m/>
    <s v="oui"/>
    <m/>
    <n v="2"/>
    <n v="0.75"/>
    <n v="1.5"/>
  </r>
  <r>
    <d v="2017-01-11T00:00:00"/>
    <x v="9"/>
    <s v="Jacques Woloviek"/>
    <x v="0"/>
    <s v="Muscat"/>
    <x v="0"/>
    <s v="-"/>
    <n v="184"/>
    <m/>
    <s v="oui"/>
    <m/>
    <n v="2"/>
    <n v="0.75"/>
    <n v="1.5"/>
  </r>
  <r>
    <d v="2017-01-11T00:00:00"/>
    <x v="9"/>
    <s v="Jacques Woloviek"/>
    <x v="1"/>
    <s v="Pinot Noir"/>
    <x v="0"/>
    <s v="-"/>
    <n v="129"/>
    <m/>
    <s v="oui"/>
    <m/>
    <n v="2"/>
    <n v="0.75"/>
    <n v="1.5"/>
  </r>
  <r>
    <d v="2017-01-11T00:00:00"/>
    <x v="9"/>
    <s v="Jacques Woloviek"/>
    <x v="1"/>
    <s v="Générique"/>
    <x v="0"/>
    <s v="Lot Oc Rosé"/>
    <n v="413"/>
    <m/>
    <s v="oui"/>
    <m/>
    <n v="2"/>
    <n v="0.75"/>
    <n v="1.5"/>
  </r>
  <r>
    <d v="2017-01-11T00:00:00"/>
    <x v="9"/>
    <s v="Jacques Woloviek"/>
    <x v="1"/>
    <s v="Merlot"/>
    <x v="0"/>
    <s v="Lot GCF"/>
    <n v="26"/>
    <m/>
    <s v="oui"/>
    <m/>
    <n v="2"/>
    <n v="0.75"/>
    <n v="1.5"/>
  </r>
  <r>
    <d v="2017-01-11T00:00:00"/>
    <x v="9"/>
    <s v="Jacques Woloviek"/>
    <x v="1"/>
    <s v="Cabernet"/>
    <x v="0"/>
    <s v="-"/>
    <n v="312"/>
    <m/>
    <s v="oui"/>
    <m/>
    <n v="2"/>
    <n v="0.75"/>
    <n v="1.5"/>
  </r>
  <r>
    <d v="2017-01-11T00:00:00"/>
    <x v="9"/>
    <s v="Jacques Woloviek"/>
    <x v="1"/>
    <s v="Syrah"/>
    <x v="0"/>
    <s v="-"/>
    <n v="84"/>
    <m/>
    <s v="oui"/>
    <m/>
    <n v="2"/>
    <n v="0.75"/>
    <n v="1.5"/>
  </r>
  <r>
    <d v="2017-01-11T00:00:00"/>
    <x v="9"/>
    <s v="Jacques Woloviek"/>
    <x v="2"/>
    <s v="Syrah"/>
    <x v="0"/>
    <s v="Lot Syrah"/>
    <s v="-"/>
    <m/>
    <s v="oui"/>
    <m/>
    <n v="2"/>
    <n v="0.75"/>
    <n v="1.5"/>
  </r>
  <r>
    <d v="2017-01-11T00:00:00"/>
    <x v="9"/>
    <s v="Jacques Woloviek"/>
    <x v="2"/>
    <s v="Merlot"/>
    <x v="0"/>
    <s v="Lot MR"/>
    <s v="-"/>
    <m/>
    <s v="oui"/>
    <m/>
    <n v="2"/>
    <n v="0.75"/>
    <n v="1.5"/>
  </r>
  <r>
    <d v="2017-01-11T00:00:00"/>
    <x v="9"/>
    <s v="Jacques Woloviek"/>
    <x v="2"/>
    <s v="Cabernet"/>
    <x v="0"/>
    <s v="Lot Cabernet"/>
    <n v="138"/>
    <m/>
    <s v="oui"/>
    <m/>
    <n v="2"/>
    <n v="0.75"/>
    <n v="1.5"/>
  </r>
  <r>
    <d v="2017-01-12T00:00:00"/>
    <x v="1"/>
    <s v="Olivier Castillo"/>
    <x v="0"/>
    <s v="Chardonnay"/>
    <x v="0"/>
    <s v="flatteur"/>
    <n v="14"/>
    <m/>
    <s v="oui"/>
    <m/>
    <n v="4"/>
    <n v="0.75"/>
    <n v="3"/>
  </r>
  <r>
    <d v="2017-01-12T00:00:00"/>
    <x v="1"/>
    <s v="Olivier Castillo"/>
    <x v="0"/>
    <s v="Chardonnay"/>
    <x v="0"/>
    <s v="riche"/>
    <n v="411"/>
    <m/>
    <s v="oui"/>
    <m/>
    <n v="4"/>
    <n v="0.75"/>
    <n v="3"/>
  </r>
  <r>
    <d v="2017-01-12T00:00:00"/>
    <x v="2"/>
    <s v="-"/>
    <x v="0"/>
    <s v="Chardonnay"/>
    <x v="0"/>
    <s v="flatteur"/>
    <n v="14"/>
    <m/>
    <s v="oui"/>
    <m/>
    <n v="4"/>
    <n v="0.75"/>
    <n v="3"/>
  </r>
  <r>
    <d v="2017-01-12T00:00:00"/>
    <x v="2"/>
    <s v="-"/>
    <x v="0"/>
    <s v="Viognier"/>
    <x v="0"/>
    <s v="-"/>
    <n v="424"/>
    <m/>
    <s v="oui"/>
    <m/>
    <n v="4"/>
    <n v="0.75"/>
    <n v="3"/>
  </r>
  <r>
    <d v="2017-01-12T00:00:00"/>
    <x v="9"/>
    <s v="Jacques Woloviek"/>
    <x v="0"/>
    <s v="Chardonnay"/>
    <x v="0"/>
    <s v="flatteur"/>
    <n v="14"/>
    <m/>
    <s v="oui"/>
    <m/>
    <n v="2"/>
    <n v="0.75"/>
    <n v="1.5"/>
  </r>
  <r>
    <d v="2017-01-12T00:00:00"/>
    <x v="9"/>
    <s v="Jacques Woloviek"/>
    <x v="0"/>
    <s v="Chardonnay"/>
    <x v="0"/>
    <s v="riche"/>
    <n v="411"/>
    <m/>
    <s v="oui"/>
    <m/>
    <n v="2"/>
    <n v="0.75"/>
    <n v="1.5"/>
  </r>
  <r>
    <d v="2017-01-13T00:00:00"/>
    <x v="23"/>
    <s v="-"/>
    <x v="0"/>
    <s v="Chardonnay"/>
    <x v="0"/>
    <s v="-"/>
    <n v="313"/>
    <m/>
    <s v="oui"/>
    <m/>
    <n v="2"/>
    <n v="0.75"/>
    <n v="1.5"/>
  </r>
  <r>
    <d v="2017-01-13T00:00:00"/>
    <x v="23"/>
    <s v="-"/>
    <x v="0"/>
    <s v="Chardonnay"/>
    <x v="0"/>
    <s v="riche"/>
    <n v="411"/>
    <m/>
    <s v="oui"/>
    <m/>
    <n v="2"/>
    <n v="0.75"/>
    <n v="1.5"/>
  </r>
  <r>
    <d v="2017-01-13T00:00:00"/>
    <x v="23"/>
    <s v="-"/>
    <x v="0"/>
    <s v="Viognier"/>
    <x v="0"/>
    <s v="-"/>
    <n v="424"/>
    <m/>
    <s v="oui"/>
    <m/>
    <n v="2"/>
    <n v="0.75"/>
    <n v="1.5"/>
  </r>
  <r>
    <d v="2017-01-13T00:00:00"/>
    <x v="23"/>
    <s v="-"/>
    <x v="0"/>
    <s v="Viognier"/>
    <x v="0"/>
    <s v="Lot Viognier NR"/>
    <s v="-"/>
    <m/>
    <s v="oui"/>
    <s v="15% 315 + 85% 85"/>
    <n v="2"/>
    <n v="0.75"/>
    <n v="1.5"/>
  </r>
  <r>
    <d v="2017-01-13T00:00:00"/>
    <x v="23"/>
    <s v="-"/>
    <x v="0"/>
    <s v="Muscat"/>
    <x v="0"/>
    <s v="-"/>
    <n v="184"/>
    <m/>
    <s v="oui"/>
    <s v="15% 315 + 85% 54"/>
    <n v="2"/>
    <n v="0.75"/>
    <n v="1.5"/>
  </r>
  <r>
    <d v="2017-01-13T00:00:00"/>
    <x v="23"/>
    <s v="-"/>
    <x v="0"/>
    <s v="Rosé générique"/>
    <x v="0"/>
    <s v="Lot Oc Rosé"/>
    <n v="413"/>
    <m/>
    <s v="oui"/>
    <m/>
    <n v="2"/>
    <n v="0.75"/>
    <n v="1.5"/>
  </r>
  <r>
    <d v="2017-01-13T00:00:00"/>
    <x v="1"/>
    <s v="San Nicolas"/>
    <x v="0"/>
    <s v="Chardonnay"/>
    <x v="0"/>
    <s v="supérieur"/>
    <n v="94"/>
    <m/>
    <s v="oui"/>
    <m/>
    <n v="2"/>
    <n v="0.75"/>
    <n v="1.5"/>
  </r>
  <r>
    <d v="2017-01-13T00:00:00"/>
    <x v="1"/>
    <s v="San Nicolas"/>
    <x v="0"/>
    <s v="Chardonnay"/>
    <x v="0"/>
    <s v="flatteur"/>
    <n v="14"/>
    <m/>
    <s v="oui"/>
    <m/>
    <n v="2"/>
    <n v="0.75"/>
    <n v="1.5"/>
  </r>
  <r>
    <d v="2017-01-13T00:00:00"/>
    <x v="1"/>
    <s v="San Nicolas"/>
    <x v="0"/>
    <s v="Chardonnay"/>
    <x v="0"/>
    <s v="riche"/>
    <n v="411"/>
    <m/>
    <s v="oui"/>
    <m/>
    <n v="2"/>
    <n v="0.75"/>
    <n v="1.5"/>
  </r>
  <r>
    <d v="2017-01-13T00:00:00"/>
    <x v="1"/>
    <s v="San Nicolas"/>
    <x v="0"/>
    <s v="Chardonnay"/>
    <x v="0"/>
    <s v="-"/>
    <n v="313"/>
    <m/>
    <s v="oui"/>
    <m/>
    <n v="2"/>
    <n v="0.75"/>
    <n v="1.5"/>
  </r>
  <r>
    <d v="2017-01-13T00:00:00"/>
    <x v="1"/>
    <s v="San Nicolas"/>
    <x v="0"/>
    <s v="Sauvignon"/>
    <x v="0"/>
    <s v="classique"/>
    <n v="401"/>
    <m/>
    <s v="oui"/>
    <m/>
    <n v="2"/>
    <n v="0.75"/>
    <n v="1.5"/>
  </r>
  <r>
    <d v="2017-01-13T00:00:00"/>
    <x v="23"/>
    <s v="-"/>
    <x v="1"/>
    <s v="Syrah"/>
    <x v="0"/>
    <s v="-"/>
    <n v="84"/>
    <m/>
    <s v="oui"/>
    <m/>
    <n v="2"/>
    <n v="0.75"/>
    <n v="1.5"/>
  </r>
  <r>
    <d v="2017-01-13T00:00:00"/>
    <x v="1"/>
    <s v="San Nicolas"/>
    <x v="1"/>
    <s v="Syrah"/>
    <x v="0"/>
    <s v="-"/>
    <n v="84"/>
    <m/>
    <s v="oui"/>
    <m/>
    <n v="2"/>
    <n v="0.75"/>
    <n v="1.5"/>
  </r>
  <r>
    <d v="2017-01-13T00:00:00"/>
    <x v="1"/>
    <s v="San Nicolas"/>
    <x v="0"/>
    <s v="Générique"/>
    <x v="0"/>
    <s v="Oc Blanc"/>
    <n v="419"/>
    <m/>
    <s v="oui"/>
    <m/>
    <n v="2"/>
    <n v="0.75"/>
    <n v="1.5"/>
  </r>
  <r>
    <d v="2017-01-16T00:00:00"/>
    <x v="2"/>
    <s v="-"/>
    <x v="2"/>
    <s v="Merlot"/>
    <x v="0"/>
    <s v="MRG"/>
    <s v="-"/>
    <m/>
    <s v="oui"/>
    <m/>
    <n v="6"/>
    <n v="0.75"/>
    <n v="4.5"/>
  </r>
  <r>
    <d v="2017-01-16T00:00:00"/>
    <x v="2"/>
    <s v="-"/>
    <x v="0"/>
    <s v="Sauvignon"/>
    <x v="0"/>
    <s v="supérieur"/>
    <n v="56"/>
    <m/>
    <s v="oui"/>
    <m/>
    <n v="2"/>
    <n v="0.75"/>
    <n v="1.5"/>
  </r>
  <r>
    <d v="2017-01-16T00:00:00"/>
    <x v="2"/>
    <s v="-"/>
    <x v="0"/>
    <s v="Sauvignon"/>
    <x v="0"/>
    <s v="variétal"/>
    <n v="423"/>
    <m/>
    <s v="oui"/>
    <m/>
    <n v="2"/>
    <n v="0.75"/>
    <n v="1.5"/>
  </r>
  <r>
    <d v="2017-01-16T00:00:00"/>
    <x v="1"/>
    <s v="JC Simon"/>
    <x v="2"/>
    <s v="Merlot"/>
    <x v="0"/>
    <s v="MRG"/>
    <s v="-"/>
    <m/>
    <s v="oui"/>
    <m/>
    <n v="4"/>
    <n v="0.75"/>
    <n v="3"/>
  </r>
  <r>
    <d v="2017-01-16T00:00:00"/>
    <x v="1"/>
    <s v="JC Simon"/>
    <x v="0"/>
    <s v="Terret"/>
    <x v="0"/>
    <s v="Oc Blanc"/>
    <n v="419"/>
    <m/>
    <s v="oui"/>
    <m/>
    <n v="3"/>
    <n v="0.75"/>
    <n v="2.25"/>
  </r>
  <r>
    <d v="2017-01-16T00:00:00"/>
    <x v="1"/>
    <s v="JC Simon"/>
    <x v="0"/>
    <s v="Chardonnay"/>
    <x v="0"/>
    <s v="supérieur"/>
    <n v="94"/>
    <m/>
    <s v="oui"/>
    <m/>
    <n v="3"/>
    <n v="0.75"/>
    <n v="2.25"/>
  </r>
  <r>
    <d v="2017-01-16T00:00:00"/>
    <x v="1"/>
    <s v="JC Simon"/>
    <x v="1"/>
    <s v="Rosé générique"/>
    <x v="0"/>
    <s v="Lot Oc Rosé"/>
    <n v="413"/>
    <m/>
    <s v="oui"/>
    <m/>
    <n v="3"/>
    <n v="0.75"/>
    <n v="2.25"/>
  </r>
  <r>
    <d v="2017-01-16T00:00:00"/>
    <x v="5"/>
    <s v="-"/>
    <x v="1"/>
    <s v="Merlot"/>
    <x v="0"/>
    <s v="Lot GCF"/>
    <n v="412"/>
    <m/>
    <s v="oui"/>
    <m/>
    <n v="4"/>
    <n v="0.75"/>
    <n v="3"/>
  </r>
  <r>
    <d v="2017-01-16T00:00:00"/>
    <x v="1"/>
    <s v="JC Simon"/>
    <x v="0"/>
    <s v="Sauvignon"/>
    <x v="0"/>
    <s v="classique"/>
    <n v="401"/>
    <m/>
    <s v="oui"/>
    <m/>
    <n v="3"/>
    <n v="0.75"/>
    <n v="2.25"/>
  </r>
  <r>
    <d v="2017-01-16T00:00:00"/>
    <x v="1"/>
    <s v="JC Simon"/>
    <x v="0"/>
    <s v="Viognier"/>
    <x v="0"/>
    <s v="-"/>
    <n v="424"/>
    <m/>
    <s v="oui"/>
    <m/>
    <n v="3"/>
    <n v="0.75"/>
    <n v="2.25"/>
  </r>
  <r>
    <d v="2017-01-16T00:00:00"/>
    <x v="1"/>
    <s v="JC Simon"/>
    <x v="2"/>
    <s v="Cabernet"/>
    <x v="0"/>
    <s v="Lot Cabernet"/>
    <n v="138"/>
    <m/>
    <s v="oui"/>
    <m/>
    <n v="3"/>
    <n v="0.75"/>
    <n v="2.25"/>
  </r>
  <r>
    <d v="2017-01-16T00:00:00"/>
    <x v="1"/>
    <s v="JC Simon"/>
    <x v="0"/>
    <s v="Colombard"/>
    <x v="0"/>
    <s v="-"/>
    <n v="10"/>
    <m/>
    <s v="oui"/>
    <m/>
    <n v="3"/>
    <n v="0.75"/>
    <n v="2.25"/>
  </r>
  <r>
    <d v="2017-01-16T00:00:00"/>
    <x v="5"/>
    <s v="-"/>
    <x v="0"/>
    <s v="Piquepoul/Sauvignon"/>
    <x v="0"/>
    <s v="Lot GCF"/>
    <s v="-"/>
    <m/>
    <s v="oui"/>
    <m/>
    <n v="3"/>
    <n v="0.75"/>
    <n v="2.25"/>
  </r>
  <r>
    <d v="2017-01-16T00:00:00"/>
    <x v="1"/>
    <s v="JC Simon"/>
    <x v="2"/>
    <s v="Syrah"/>
    <x v="0"/>
    <s v="Syrah"/>
    <s v="-"/>
    <m/>
    <s v="oui"/>
    <m/>
    <n v="4"/>
    <n v="0.75"/>
    <n v="3"/>
  </r>
  <r>
    <d v="2017-01-16T00:00:00"/>
    <x v="5"/>
    <s v="-"/>
    <x v="0"/>
    <s v="Thau blanc"/>
    <x v="0"/>
    <s v="Lot GCF"/>
    <s v="-"/>
    <m/>
    <s v="oui"/>
    <m/>
    <n v="3"/>
    <n v="0.75"/>
    <n v="2.25"/>
  </r>
  <r>
    <d v="2017-01-17T00:00:00"/>
    <x v="3"/>
    <s v="-"/>
    <x v="0"/>
    <s v="Chardonnay"/>
    <x v="0"/>
    <s v="supérieur"/>
    <n v="94"/>
    <m/>
    <s v="oui"/>
    <m/>
    <n v="4"/>
    <n v="0.75"/>
    <n v="3"/>
  </r>
  <r>
    <d v="2017-01-17T00:00:00"/>
    <x v="3"/>
    <s v="-"/>
    <x v="0"/>
    <s v="Chardonnay"/>
    <x v="0"/>
    <s v="riche"/>
    <n v="411"/>
    <m/>
    <s v="oui"/>
    <m/>
    <n v="4"/>
    <n v="0.75"/>
    <n v="3"/>
  </r>
  <r>
    <d v="2017-01-17T00:00:00"/>
    <x v="3"/>
    <s v="-"/>
    <x v="0"/>
    <s v="Sauvignon"/>
    <x v="0"/>
    <s v="variétal"/>
    <n v="423"/>
    <m/>
    <s v="oui"/>
    <m/>
    <n v="4"/>
    <n v="0.75"/>
    <n v="3"/>
  </r>
  <r>
    <d v="2017-01-18T00:00:00"/>
    <x v="1"/>
    <s v="Olivier Castillo"/>
    <x v="0"/>
    <s v="Sauvignon"/>
    <x v="0"/>
    <s v="classique"/>
    <n v="401"/>
    <m/>
    <s v="oui"/>
    <m/>
    <n v="2"/>
    <n v="0.75"/>
    <n v="1.5"/>
  </r>
  <r>
    <d v="2017-01-18T00:00:00"/>
    <x v="1"/>
    <s v="Olivier Castillo"/>
    <x v="0"/>
    <s v="Chardonnay"/>
    <x v="0"/>
    <s v="riche"/>
    <n v="411"/>
    <m/>
    <s v="oui"/>
    <m/>
    <n v="2"/>
    <n v="0.75"/>
    <n v="1.5"/>
  </r>
  <r>
    <d v="2017-01-18T00:00:00"/>
    <x v="1"/>
    <s v="Olivier Castillo"/>
    <x v="0"/>
    <s v="Chardonnay"/>
    <x v="0"/>
    <s v="supérieur"/>
    <n v="94"/>
    <m/>
    <s v="oui"/>
    <m/>
    <n v="2"/>
    <n v="0.75"/>
    <n v="1.5"/>
  </r>
  <r>
    <d v="2017-01-18T00:00:00"/>
    <x v="1"/>
    <s v="Didier Saint Vigne"/>
    <x v="0"/>
    <s v="Blanc générique"/>
    <x v="0"/>
    <s v="Oc blanc"/>
    <n v="419"/>
    <m/>
    <s v="oui"/>
    <m/>
    <n v="2"/>
    <n v="0.75"/>
    <n v="1.5"/>
  </r>
  <r>
    <d v="2017-01-18T00:00:00"/>
    <x v="1"/>
    <s v="Didier Saint Vigne"/>
    <x v="0"/>
    <s v="Chardonnay"/>
    <x v="0"/>
    <s v="-"/>
    <n v="313"/>
    <m/>
    <s v="oui"/>
    <m/>
    <n v="2"/>
    <n v="0.75"/>
    <n v="1.5"/>
  </r>
  <r>
    <d v="2017-01-18T00:00:00"/>
    <x v="1"/>
    <s v="Didier Saint Vigne"/>
    <x v="0"/>
    <s v="Chardonnay"/>
    <x v="0"/>
    <s v="flatteur"/>
    <n v="14"/>
    <m/>
    <s v="oui"/>
    <m/>
    <n v="2"/>
    <n v="0.75"/>
    <n v="1.5"/>
  </r>
  <r>
    <d v="2017-01-18T00:00:00"/>
    <x v="1"/>
    <s v="Didier Saint Vigne"/>
    <x v="0"/>
    <s v="Chardonnay"/>
    <x v="0"/>
    <s v="riche"/>
    <n v="411"/>
    <m/>
    <s v="oui"/>
    <m/>
    <n v="2"/>
    <n v="0.75"/>
    <n v="1.5"/>
  </r>
  <r>
    <d v="2017-01-18T00:00:00"/>
    <x v="1"/>
    <s v="Didier Saint Vigne"/>
    <x v="0"/>
    <s v="Chardonnay"/>
    <x v="0"/>
    <s v="supérieur"/>
    <n v="94"/>
    <m/>
    <s v="oui"/>
    <m/>
    <n v="2"/>
    <n v="0.75"/>
    <n v="1.5"/>
  </r>
  <r>
    <d v="2017-01-18T00:00:00"/>
    <x v="1"/>
    <s v="Didier Saint Vigne"/>
    <x v="2"/>
    <s v="Cabernet"/>
    <x v="0"/>
    <s v="CSR"/>
    <n v="138"/>
    <m/>
    <s v="oui"/>
    <m/>
    <n v="2"/>
    <n v="0.75"/>
    <n v="1.5"/>
  </r>
  <r>
    <d v="2017-01-18T00:00:00"/>
    <x v="1"/>
    <s v="Didier Saint Vigne"/>
    <x v="2"/>
    <s v="Syrah"/>
    <x v="0"/>
    <s v="Lot Syrah"/>
    <s v="-"/>
    <m/>
    <s v="oui"/>
    <m/>
    <n v="2"/>
    <n v="0.75"/>
    <n v="1.5"/>
  </r>
  <r>
    <d v="2017-01-19T00:00:00"/>
    <x v="4"/>
    <s v="-"/>
    <x v="0"/>
    <s v="Sauvignon"/>
    <x v="0"/>
    <s v="variétal"/>
    <n v="423"/>
    <m/>
    <s v="oui"/>
    <m/>
    <n v="5"/>
    <n v="0.75"/>
    <n v="3.75"/>
  </r>
  <r>
    <d v="2017-01-20T00:00:00"/>
    <x v="1"/>
    <s v="Gilles Lambert"/>
    <x v="0"/>
    <s v="Chardonnay"/>
    <x v="0"/>
    <s v="riche"/>
    <n v="49"/>
    <m/>
    <s v="oui"/>
    <m/>
    <n v="1"/>
    <n v="0.75"/>
    <n v="0.75"/>
  </r>
  <r>
    <d v="2017-01-20T00:00:00"/>
    <x v="1"/>
    <s v="Gilles Lambert"/>
    <x v="0"/>
    <s v="Chardonnay"/>
    <x v="0"/>
    <s v="Petit degré"/>
    <n v="313"/>
    <m/>
    <s v="oui"/>
    <m/>
    <n v="1"/>
    <n v="0.75"/>
    <n v="0.75"/>
  </r>
  <r>
    <d v="2017-01-23T00:00:00"/>
    <x v="2"/>
    <s v="-"/>
    <x v="0"/>
    <s v="Muscat"/>
    <x v="0"/>
    <s v="Mu"/>
    <s v="-"/>
    <m/>
    <s v="oui"/>
    <s v="60% 184 + 40 % 54"/>
    <n v="2"/>
    <n v="0.75"/>
    <n v="1.5"/>
  </r>
  <r>
    <d v="2017-01-23T00:00:00"/>
    <x v="2"/>
    <s v="-"/>
    <x v="0"/>
    <s v="Terret"/>
    <x v="0"/>
    <s v="Oc blanc"/>
    <n v="419"/>
    <m/>
    <s v="oui"/>
    <m/>
    <n v="2"/>
    <n v="0.75"/>
    <n v="1.5"/>
  </r>
  <r>
    <d v="2017-01-23T00:00:00"/>
    <x v="2"/>
    <s v="-"/>
    <x v="2"/>
    <s v="Merlot"/>
    <x v="0"/>
    <s v="MRG"/>
    <s v="-"/>
    <m/>
    <s v="oui"/>
    <m/>
    <n v="4"/>
    <n v="0.75"/>
    <n v="3"/>
  </r>
  <r>
    <d v="2017-01-23T00:00:00"/>
    <x v="2"/>
    <s v="-"/>
    <x v="2"/>
    <s v="Cabernet"/>
    <x v="0"/>
    <s v="Lot Cabernet"/>
    <n v="142"/>
    <m/>
    <s v="oui"/>
    <m/>
    <n v="4"/>
    <n v="0.75"/>
    <n v="3"/>
  </r>
  <r>
    <d v="2017-01-23T00:00:00"/>
    <x v="1"/>
    <s v="Olivier Castillo"/>
    <x v="1"/>
    <s v="Pinot Noir"/>
    <x v="0"/>
    <s v="-"/>
    <s v="-"/>
    <m/>
    <s v="oui"/>
    <s v="200 hL PN + 50 hL Grenache 16"/>
    <n v="3"/>
    <n v="0.75"/>
    <n v="2.25"/>
  </r>
  <r>
    <d v="2017-01-24T00:00:00"/>
    <x v="13"/>
    <s v="-"/>
    <x v="0"/>
    <s v="Viognier Roussanne Marsanne"/>
    <x v="0"/>
    <s v="Lot Jeantet"/>
    <s v="-"/>
    <m/>
    <s v="oui"/>
    <s v="50 % Vio + 50 % Rouss Mars"/>
    <n v="4"/>
    <n v="0.75"/>
    <n v="3"/>
  </r>
  <r>
    <d v="2017-01-24T00:00:00"/>
    <x v="2"/>
    <s v="-"/>
    <x v="0"/>
    <s v="Muscat"/>
    <x v="0"/>
    <s v="Mu"/>
    <s v="-"/>
    <m/>
    <s v="oui"/>
    <s v="60% 184 + 40 % 54"/>
    <n v="2"/>
    <n v="0.75"/>
    <n v="1.5"/>
  </r>
  <r>
    <d v="2017-01-30T00:00:00"/>
    <x v="11"/>
    <s v="-"/>
    <x v="0"/>
    <s v="Oc blanc"/>
    <x v="0"/>
    <s v="Oc blanc"/>
    <n v="419"/>
    <m/>
    <s v="oui"/>
    <m/>
    <n v="3"/>
    <n v="0.75"/>
    <n v="2.25"/>
  </r>
  <r>
    <d v="2017-01-30T00:00:00"/>
    <x v="2"/>
    <s v="-"/>
    <x v="0"/>
    <s v="Viognier"/>
    <x v="0"/>
    <s v="-"/>
    <n v="21"/>
    <m/>
    <s v="oui"/>
    <m/>
    <n v="2"/>
    <n v="0.75"/>
    <n v="1.5"/>
  </r>
  <r>
    <d v="2017-01-30T00:00:00"/>
    <x v="2"/>
    <s v="-"/>
    <x v="0"/>
    <s v="Chardonnay"/>
    <x v="0"/>
    <s v="flatteur"/>
    <n v="7"/>
    <m/>
    <s v="oui"/>
    <m/>
    <n v="2"/>
    <n v="0.75"/>
    <n v="1.5"/>
  </r>
  <r>
    <d v="2017-01-30T00:00:00"/>
    <x v="2"/>
    <s v="-"/>
    <x v="1"/>
    <s v="Grenache"/>
    <x v="0"/>
    <s v="-"/>
    <n v="16"/>
    <m/>
    <s v="oui"/>
    <m/>
    <n v="2"/>
    <n v="0.75"/>
    <n v="1.5"/>
  </r>
  <r>
    <d v="2017-01-30T00:00:00"/>
    <x v="15"/>
    <s v="René Jeanjean"/>
    <x v="0"/>
    <s v="Sauvignon"/>
    <x v="0"/>
    <s v="variétal"/>
    <n v="423"/>
    <m/>
    <s v="oui"/>
    <m/>
    <n v="4"/>
    <n v="0.75"/>
    <n v="3"/>
  </r>
  <r>
    <d v="2017-01-30T00:00:00"/>
    <x v="15"/>
    <s v="René Jeanjean"/>
    <x v="0"/>
    <s v="Sauvignon"/>
    <x v="0"/>
    <s v="supérieur"/>
    <n v="56"/>
    <m/>
    <s v="oui"/>
    <m/>
    <n v="4"/>
    <n v="0.75"/>
    <n v="3"/>
  </r>
  <r>
    <d v="2017-01-30T00:00:00"/>
    <x v="15"/>
    <s v="René Jeanjean"/>
    <x v="0"/>
    <s v="Viognier"/>
    <x v="0"/>
    <s v="-"/>
    <n v="21"/>
    <m/>
    <s v="oui"/>
    <m/>
    <n v="1"/>
    <n v="0.75"/>
    <n v="0.75"/>
  </r>
  <r>
    <d v="2017-01-30T00:00:00"/>
    <x v="1"/>
    <s v="Gilles Lambert"/>
    <x v="0"/>
    <s v="Chardonnay"/>
    <x v="0"/>
    <s v="flatteur"/>
    <n v="7"/>
    <m/>
    <s v="oui"/>
    <m/>
    <n v="1"/>
    <n v="0.75"/>
    <n v="0.75"/>
  </r>
  <r>
    <d v="2017-01-30T00:00:00"/>
    <x v="1"/>
    <s v="Gilles Lambert"/>
    <x v="0"/>
    <s v="Chardonnay"/>
    <x v="0"/>
    <s v="Petit degré"/>
    <n v="313"/>
    <m/>
    <s v="oui"/>
    <m/>
    <n v="1"/>
    <n v="0.75"/>
    <n v="0.75"/>
  </r>
  <r>
    <d v="2017-01-30T00:00:00"/>
    <x v="1"/>
    <s v="Gilles Lambert"/>
    <x v="1"/>
    <s v="Grenache"/>
    <x v="0"/>
    <s v="-"/>
    <n v="16"/>
    <m/>
    <s v="oui"/>
    <m/>
    <n v="1"/>
    <n v="0.75"/>
    <n v="0.75"/>
  </r>
  <r>
    <d v="2017-01-30T00:00:00"/>
    <x v="1"/>
    <s v="Gilles Lambert"/>
    <x v="2"/>
    <s v="Merlot"/>
    <x v="0"/>
    <s v="Lot Merlot"/>
    <s v="-"/>
    <m/>
    <s v="oui"/>
    <m/>
    <n v="1"/>
    <n v="0.75"/>
    <n v="0.75"/>
  </r>
  <r>
    <d v="2017-01-31T00:00:00"/>
    <x v="10"/>
    <s v="-"/>
    <x v="0"/>
    <s v="Oc blanc"/>
    <x v="0"/>
    <s v="Oc blanc"/>
    <n v="419"/>
    <m/>
    <s v="oui"/>
    <m/>
    <n v="1"/>
    <n v="0.75"/>
    <n v="0.75"/>
  </r>
  <r>
    <d v="2017-02-01T00:00:00"/>
    <x v="9"/>
    <s v="Jacques Woloviek"/>
    <x v="0"/>
    <s v="Muscat"/>
    <x v="0"/>
    <s v="-"/>
    <n v="54"/>
    <m/>
    <s v="oui"/>
    <m/>
    <n v="4"/>
    <n v="0.75"/>
    <n v="3"/>
  </r>
  <r>
    <d v="2017-02-01T00:00:00"/>
    <x v="9"/>
    <s v="Jacques Woloviek"/>
    <x v="0"/>
    <s v="Muscat"/>
    <x v="0"/>
    <s v="-"/>
    <n v="184"/>
    <m/>
    <s v="oui"/>
    <m/>
    <n v="4"/>
    <n v="0.75"/>
    <n v="3"/>
  </r>
  <r>
    <d v="2017-02-01T00:00:00"/>
    <x v="9"/>
    <s v="Jacques Woloviek"/>
    <x v="0"/>
    <s v="Muscat"/>
    <x v="0"/>
    <s v="-"/>
    <n v="194"/>
    <m/>
    <s v="oui"/>
    <m/>
    <n v="4"/>
    <n v="0.75"/>
    <n v="3"/>
  </r>
  <r>
    <d v="2017-02-01T00:00:00"/>
    <x v="9"/>
    <s v="Jacques Woloviek"/>
    <x v="0"/>
    <s v="Chardonnay"/>
    <x v="0"/>
    <s v="flatteur"/>
    <n v="48"/>
    <m/>
    <s v="oui"/>
    <m/>
    <n v="2"/>
    <n v="0.75"/>
    <n v="1.5"/>
  </r>
  <r>
    <d v="2017-02-01T00:00:00"/>
    <x v="9"/>
    <s v="Jacques Woloviek"/>
    <x v="0"/>
    <s v="Chardonnay"/>
    <x v="0"/>
    <s v="riche"/>
    <n v="414"/>
    <m/>
    <s v="oui"/>
    <m/>
    <n v="2"/>
    <n v="0.75"/>
    <n v="1.5"/>
  </r>
  <r>
    <d v="2017-02-01T00:00:00"/>
    <x v="9"/>
    <s v="Jacques Woloviek"/>
    <x v="0"/>
    <s v="Chardonnay"/>
    <x v="0"/>
    <s v="supérieur"/>
    <n v="89"/>
    <m/>
    <s v="oui"/>
    <m/>
    <n v="2"/>
    <n v="0.75"/>
    <n v="1.5"/>
  </r>
  <r>
    <d v="2017-02-01T00:00:00"/>
    <x v="9"/>
    <s v="Jacques Woloviek"/>
    <x v="0"/>
    <s v="Chardonnay"/>
    <x v="0"/>
    <s v="Petit degré"/>
    <n v="313"/>
    <m/>
    <s v="oui"/>
    <m/>
    <n v="2"/>
    <n v="0.75"/>
    <n v="1.5"/>
  </r>
  <r>
    <d v="2017-02-02T00:00:00"/>
    <x v="20"/>
    <s v="-"/>
    <x v="0"/>
    <s v="Chardonnay"/>
    <x v="0"/>
    <s v="bouteille"/>
    <s v="FK10"/>
    <m/>
    <s v="oui"/>
    <m/>
    <n v="12"/>
    <n v="0.75"/>
    <n v="9"/>
  </r>
  <r>
    <d v="2017-02-02T00:00:00"/>
    <x v="20"/>
    <s v="-"/>
    <x v="0"/>
    <s v="Sauvignon"/>
    <x v="0"/>
    <s v="bouteille"/>
    <n v="17"/>
    <m/>
    <s v="oui"/>
    <m/>
    <n v="12"/>
    <n v="0.75"/>
    <n v="9"/>
  </r>
  <r>
    <d v="2017-02-02T00:00:00"/>
    <x v="20"/>
    <s v="-"/>
    <x v="0"/>
    <s v="Viognier"/>
    <x v="0"/>
    <s v="bouteille"/>
    <n v="71"/>
    <m/>
    <s v="oui"/>
    <m/>
    <n v="6"/>
    <n v="0.75"/>
    <n v="4.5"/>
  </r>
  <r>
    <d v="2017-02-02T00:00:00"/>
    <x v="6"/>
    <s v="Vailhere Pascal"/>
    <x v="2"/>
    <s v="Cabernet"/>
    <x v="0"/>
    <s v="Lot Cabernet"/>
    <n v="142"/>
    <m/>
    <s v="oui"/>
    <m/>
    <n v="3"/>
    <n v="0.75"/>
    <n v="2.25"/>
  </r>
  <r>
    <d v="2017-02-02T00:00:00"/>
    <x v="6"/>
    <s v="Vailhere Pascal"/>
    <x v="2"/>
    <s v="Merlot"/>
    <x v="0"/>
    <s v="Lot Merlot"/>
    <s v="-"/>
    <m/>
    <s v="oui"/>
    <m/>
    <n v="4"/>
    <n v="0.75"/>
    <n v="3"/>
  </r>
  <r>
    <d v="2017-02-02T00:00:00"/>
    <x v="21"/>
    <s v="-"/>
    <x v="2"/>
    <s v="Cabernet"/>
    <x v="0"/>
    <s v="bouteille"/>
    <s v="-"/>
    <m/>
    <s v="oui"/>
    <m/>
    <n v="2"/>
    <n v="0.75"/>
    <n v="1.5"/>
  </r>
  <r>
    <d v="2017-02-02T00:00:00"/>
    <x v="21"/>
    <s v="-"/>
    <x v="2"/>
    <s v="Cabernet"/>
    <x v="0"/>
    <s v="bt2"/>
    <s v="-"/>
    <m/>
    <s v="oui"/>
    <m/>
    <n v="2"/>
    <n v="0.75"/>
    <n v="1.5"/>
  </r>
  <r>
    <d v="2017-02-03T00:00:00"/>
    <x v="9"/>
    <s v="Jacques Woloviek"/>
    <x v="0"/>
    <s v="Chardonnay"/>
    <x v="0"/>
    <s v="riche"/>
    <n v="414"/>
    <m/>
    <s v="oui"/>
    <m/>
    <n v="2"/>
    <n v="0.75"/>
    <n v="1.5"/>
  </r>
  <r>
    <d v="2017-02-07T00:00:00"/>
    <x v="6"/>
    <s v="Vailhere Pascal"/>
    <x v="0"/>
    <s v="Muscat"/>
    <x v="0"/>
    <s v="Petit degré"/>
    <n v="194"/>
    <m/>
    <s v="oui"/>
    <m/>
    <n v="1"/>
    <n v="5"/>
    <n v="5"/>
  </r>
  <r>
    <d v="2017-02-07T00:00:00"/>
    <x v="1"/>
    <s v="Olivier Castillo"/>
    <x v="2"/>
    <s v="Merlot"/>
    <x v="1"/>
    <s v="-"/>
    <n v="131"/>
    <m/>
    <s v="oui"/>
    <s v="2 citernes potentiels"/>
    <n v="2"/>
    <n v="0.75"/>
    <n v="1.5"/>
  </r>
  <r>
    <d v="2017-02-08T00:00:00"/>
    <x v="9"/>
    <s v="Jacques Woloviek"/>
    <x v="0"/>
    <s v="Chardonnay"/>
    <x v="0"/>
    <s v="Lot ADVINI"/>
    <s v="-"/>
    <m/>
    <s v="oui"/>
    <m/>
    <n v="1"/>
    <n v="5"/>
    <n v="5"/>
  </r>
  <r>
    <d v="2017-02-08T00:00:00"/>
    <x v="9"/>
    <s v="Jacques Woloviek"/>
    <x v="0"/>
    <s v="Chardonnay"/>
    <x v="0"/>
    <s v="Lot ADVINI"/>
    <s v="-"/>
    <m/>
    <s v="oui"/>
    <s v="Boisé avec 5 g/hL Oenovia Affinage"/>
    <n v="1"/>
    <n v="5"/>
    <n v="5"/>
  </r>
  <r>
    <d v="2017-02-09T00:00:00"/>
    <x v="1"/>
    <s v="Vailhere Pascal"/>
    <x v="2"/>
    <s v="Merlot"/>
    <x v="0"/>
    <s v="MRG"/>
    <s v="-"/>
    <m/>
    <s v="oui"/>
    <m/>
    <n v="3"/>
    <n v="0.75"/>
    <n v="2.25"/>
  </r>
  <r>
    <d v="2017-02-09T00:00:00"/>
    <x v="1"/>
    <s v="Vailhere Pascal"/>
    <x v="2"/>
    <s v="Cabernet"/>
    <x v="0"/>
    <s v="CSR"/>
    <s v="-"/>
    <m/>
    <s v="oui"/>
    <m/>
    <n v="2"/>
    <n v="0.75"/>
    <n v="1.5"/>
  </r>
  <r>
    <d v="2017-02-09T00:00:00"/>
    <x v="1"/>
    <s v="Vailhere Pascal"/>
    <x v="0"/>
    <s v="Viognier"/>
    <x v="0"/>
    <s v="-"/>
    <n v="324"/>
    <m/>
    <s v="oui"/>
    <m/>
    <n v="2"/>
    <n v="0.75"/>
    <n v="1.5"/>
  </r>
  <r>
    <d v="2017-02-09T00:00:00"/>
    <x v="1"/>
    <s v="Vailhere Pascal"/>
    <x v="0"/>
    <s v="Chardonnay"/>
    <x v="0"/>
    <s v="flatteur"/>
    <n v="48"/>
    <m/>
    <s v="oui"/>
    <m/>
    <n v="2"/>
    <n v="0.75"/>
    <n v="1.5"/>
  </r>
  <r>
    <d v="2017-02-09T00:00:00"/>
    <x v="1"/>
    <s v="Vailhere Pascal"/>
    <x v="0"/>
    <s v="Chardonnay"/>
    <x v="0"/>
    <s v="Lot Solis"/>
    <n v="413"/>
    <m/>
    <s v="oui"/>
    <m/>
    <n v="2"/>
    <n v="0.75"/>
    <n v="1.5"/>
  </r>
  <r>
    <d v="2017-02-09T00:00:00"/>
    <x v="24"/>
    <s v="-"/>
    <x v="2"/>
    <s v="Cabernet"/>
    <x v="0"/>
    <s v="-"/>
    <n v="112"/>
    <m/>
    <s v="oui"/>
    <m/>
    <n v="1"/>
    <n v="0.75"/>
    <n v="0.75"/>
  </r>
  <r>
    <d v="2017-02-09T00:00:00"/>
    <x v="24"/>
    <s v="-"/>
    <x v="2"/>
    <s v="Cabernet"/>
    <x v="0"/>
    <s v="-"/>
    <n v="150"/>
    <m/>
    <s v="oui"/>
    <m/>
    <n v="1"/>
    <n v="0.75"/>
    <n v="0.75"/>
  </r>
  <r>
    <d v="2017-02-09T00:00:00"/>
    <x v="1"/>
    <s v="Vailhere Pascal"/>
    <x v="0"/>
    <s v="Sauvignon"/>
    <x v="0"/>
    <s v="bouteille"/>
    <n v="17"/>
    <m/>
    <s v="oui"/>
    <m/>
    <n v="2"/>
    <n v="0.75"/>
    <n v="1.5"/>
  </r>
  <r>
    <d v="2017-02-09T00:00:00"/>
    <x v="1"/>
    <s v="Vailhere Pascal"/>
    <x v="0"/>
    <s v="Chardonnay"/>
    <x v="0"/>
    <s v="bouteille"/>
    <n v="37"/>
    <m/>
    <s v="oui"/>
    <m/>
    <n v="2"/>
    <n v="0.75"/>
    <n v="1.5"/>
  </r>
  <r>
    <d v="2017-02-09T00:00:00"/>
    <x v="1"/>
    <s v="Vailhere Pascal"/>
    <x v="1"/>
    <s v="Grenache/Cinsault"/>
    <x v="0"/>
    <s v="bouteille"/>
    <s v="CF3"/>
    <m/>
    <s v="oui"/>
    <m/>
    <n v="2"/>
    <n v="0.75"/>
    <n v="1.5"/>
  </r>
  <r>
    <d v="2017-02-09T00:00:00"/>
    <x v="1"/>
    <s v="Vailhere Pascal"/>
    <x v="2"/>
    <s v="Merlot"/>
    <x v="0"/>
    <s v="bouteille"/>
    <n v="417"/>
    <m/>
    <s v="oui"/>
    <m/>
    <n v="2"/>
    <n v="0.75"/>
    <n v="1.5"/>
  </r>
  <r>
    <d v="2017-02-10T00:00:00"/>
    <x v="1"/>
    <s v="TWS"/>
    <x v="2"/>
    <s v="Merlot"/>
    <x v="0"/>
    <s v="MRG"/>
    <s v="-"/>
    <m/>
    <s v="oui"/>
    <m/>
    <n v="2"/>
    <n v="0.75"/>
    <n v="1.5"/>
  </r>
  <r>
    <d v="2017-02-10T00:00:00"/>
    <x v="1"/>
    <s v="TWS"/>
    <x v="2"/>
    <s v="Cabernet"/>
    <x v="0"/>
    <s v="CSR"/>
    <s v="-"/>
    <m/>
    <s v="oui"/>
    <m/>
    <n v="2"/>
    <n v="0.75"/>
    <n v="1.5"/>
  </r>
  <r>
    <d v="2017-02-13T00:00:00"/>
    <x v="1"/>
    <s v="Gilles Lambert"/>
    <x v="2"/>
    <s v="Merlot"/>
    <x v="0"/>
    <s v="MRG"/>
    <s v="-"/>
    <m/>
    <s v="oui"/>
    <m/>
    <n v="2"/>
    <n v="0.75"/>
    <n v="1.5"/>
  </r>
  <r>
    <d v="2017-02-13T00:00:00"/>
    <x v="1"/>
    <s v="Gilles Lambert"/>
    <x v="2"/>
    <s v="Cabernet"/>
    <x v="0"/>
    <s v="CSR"/>
    <s v="-"/>
    <m/>
    <s v="oui"/>
    <m/>
    <n v="2"/>
    <n v="0.75"/>
    <n v="1.5"/>
  </r>
  <r>
    <d v="2017-02-13T00:00:00"/>
    <x v="1"/>
    <s v="Gilles Lambert"/>
    <x v="2"/>
    <s v="Merlot"/>
    <x v="1"/>
    <s v="-"/>
    <n v="131"/>
    <m/>
    <s v="oui"/>
    <m/>
    <n v="2"/>
    <n v="0.75"/>
    <n v="1.5"/>
  </r>
  <r>
    <d v="2017-02-14T00:00:00"/>
    <x v="2"/>
    <s v="-"/>
    <x v="0"/>
    <s v="Terret"/>
    <x v="0"/>
    <s v="Oc Blanc"/>
    <n v="419"/>
    <m/>
    <s v="oui"/>
    <m/>
    <n v="3"/>
    <n v="0.75"/>
    <n v="2.25"/>
  </r>
  <r>
    <d v="2017-02-15T00:00:00"/>
    <x v="24"/>
    <s v="-"/>
    <x v="2"/>
    <s v="Syrah"/>
    <x v="0"/>
    <s v="-"/>
    <n v="151"/>
    <m/>
    <s v="oui"/>
    <m/>
    <n v="1"/>
    <n v="0.75"/>
    <n v="0.75"/>
  </r>
  <r>
    <d v="2017-02-15T00:00:00"/>
    <x v="1"/>
    <s v="Vailhere Pascal"/>
    <x v="1"/>
    <s v="Cinsault"/>
    <x v="0"/>
    <s v="Lot Cinsault"/>
    <s v="Ag301"/>
    <m/>
    <s v="oui"/>
    <m/>
    <n v="2"/>
    <n v="0.75"/>
    <n v="1.5"/>
  </r>
  <r>
    <d v="2017-02-16T00:00:00"/>
    <x v="25"/>
    <s v="-"/>
    <x v="0"/>
    <s v="VDF Blanc"/>
    <x v="0"/>
    <s v="Lot Solis"/>
    <n v="413"/>
    <m/>
    <s v="oui"/>
    <m/>
    <n v="2"/>
    <n v="0.75"/>
    <n v="1.5"/>
  </r>
  <r>
    <d v="2017-02-16T00:00:00"/>
    <x v="25"/>
    <s v="-"/>
    <x v="0"/>
    <s v="VDF Blanc"/>
    <x v="0"/>
    <s v="Lot AR"/>
    <s v="-"/>
    <m/>
    <s v="oui"/>
    <s v="50% Lot Solis + 25% Vio 85 + 23% Vio 23"/>
    <n v="2"/>
    <n v="0.75"/>
    <n v="1.5"/>
  </r>
  <r>
    <d v="2017-02-16T00:00:00"/>
    <x v="1"/>
    <s v="Olivier Castillo"/>
    <x v="2"/>
    <s v="Hérault Rouge"/>
    <x v="1"/>
    <s v="Hérault Rouge"/>
    <n v="111"/>
    <m/>
    <s v="oui"/>
    <m/>
    <n v="2"/>
    <n v="0.75"/>
    <n v="1.5"/>
  </r>
  <r>
    <d v="2017-02-16T00:00:00"/>
    <x v="1"/>
    <s v="Olivier Castillo"/>
    <x v="0"/>
    <s v="Terret Vermentino"/>
    <x v="0"/>
    <s v="T/V"/>
    <s v="-"/>
    <m/>
    <s v="oui"/>
    <s v="65% 419 (Terret) + 35% 45 (Vermentino)"/>
    <n v="2"/>
    <n v="1"/>
    <n v="2"/>
  </r>
  <r>
    <d v="2017-02-16T00:00:00"/>
    <x v="1"/>
    <s v="Olivier Castillo"/>
    <x v="0"/>
    <s v="Chardonnay Viognier"/>
    <x v="0"/>
    <s v="Chardo/Viognier"/>
    <s v="-"/>
    <m/>
    <s v="oui"/>
    <s v="63% 15 (Lot Solis) + 18% 23 (Viognier craqué) + 19 % 85 (Viognier)"/>
    <n v="2"/>
    <n v="0.75"/>
    <n v="1.5"/>
  </r>
  <r>
    <d v="2017-02-20T00:00:00"/>
    <x v="11"/>
    <s v="-"/>
    <x v="2"/>
    <s v="Pinot Noir"/>
    <x v="0"/>
    <s v="Lot PN"/>
    <n v="129"/>
    <m/>
    <s v="oui"/>
    <m/>
    <n v="1"/>
    <n v="0.75"/>
    <n v="0.75"/>
  </r>
  <r>
    <d v="2017-02-20T00:00:00"/>
    <x v="20"/>
    <s v="-"/>
    <x v="2"/>
    <s v="Merlot"/>
    <x v="0"/>
    <s v="bouteille"/>
    <n v="96"/>
    <m/>
    <s v="oui"/>
    <m/>
    <n v="12"/>
    <n v="0.75"/>
    <n v="9"/>
  </r>
  <r>
    <d v="2017-02-20T00:00:00"/>
    <x v="20"/>
    <s v="-"/>
    <x v="2"/>
    <s v="Cabernet"/>
    <x v="0"/>
    <s v="bouteille"/>
    <n v="420"/>
    <m/>
    <s v="oui"/>
    <m/>
    <n v="12"/>
    <n v="0.75"/>
    <n v="9"/>
  </r>
  <r>
    <d v="2017-02-20T00:00:00"/>
    <x v="1"/>
    <s v="San Nicolas"/>
    <x v="2"/>
    <s v="Cabernet"/>
    <x v="1"/>
    <s v="-"/>
    <n v="81"/>
    <m/>
    <s v="oui"/>
    <m/>
    <n v="2"/>
    <n v="0.75"/>
    <n v="1.5"/>
  </r>
  <r>
    <d v="2017-02-20T00:00:00"/>
    <x v="1"/>
    <s v="San Nicolas"/>
    <x v="0"/>
    <s v="Chardonnay"/>
    <x v="0"/>
    <s v="flatteur"/>
    <n v="48"/>
    <m/>
    <s v="oui"/>
    <m/>
    <n v="2"/>
    <n v="0.75"/>
    <n v="1.5"/>
  </r>
  <r>
    <d v="2017-02-20T00:00:00"/>
    <x v="1"/>
    <s v="San Nicolas"/>
    <x v="0"/>
    <s v="Chardonnay"/>
    <x v="0"/>
    <s v="Lot Solis"/>
    <n v="413"/>
    <m/>
    <s v="oui"/>
    <m/>
    <n v="2"/>
    <n v="0.75"/>
    <n v="1.5"/>
  </r>
  <r>
    <d v="2017-02-20T00:00:00"/>
    <x v="1"/>
    <s v="San Nicolas"/>
    <x v="1"/>
    <s v="Oc Rosé"/>
    <x v="0"/>
    <s v="Lot Oc Rosé 2"/>
    <s v="-"/>
    <m/>
    <s v="oui"/>
    <m/>
    <n v="2"/>
    <n v="0.75"/>
    <n v="1.5"/>
  </r>
  <r>
    <d v="2017-02-20T00:00:00"/>
    <x v="1"/>
    <s v="San Nicolas"/>
    <x v="0"/>
    <s v="Oc blanc"/>
    <x v="0"/>
    <s v="Oc Blanc"/>
    <n v="419"/>
    <m/>
    <s v="oui"/>
    <m/>
    <n v="2"/>
    <n v="0.75"/>
    <n v="1.5"/>
  </r>
  <r>
    <d v="2017-02-21T00:00:00"/>
    <x v="3"/>
    <s v="-"/>
    <x v="0"/>
    <s v="Sauvignon"/>
    <x v="0"/>
    <s v="variétal"/>
    <n v="418"/>
    <m/>
    <s v="oui"/>
    <m/>
    <n v="1"/>
    <n v="5"/>
    <n v="5"/>
  </r>
  <r>
    <d v="2017-02-27T00:00:00"/>
    <x v="1"/>
    <s v="Vailhere Pascal"/>
    <x v="2"/>
    <s v="Merlot"/>
    <x v="0"/>
    <s v="MRG"/>
    <n v="205"/>
    <m/>
    <s v="oui"/>
    <m/>
    <n v="3"/>
    <n v="0.75"/>
    <n v="2.25"/>
  </r>
  <r>
    <d v="2017-02-27T00:00:00"/>
    <x v="1"/>
    <s v="Vailhere Pascal"/>
    <x v="2"/>
    <s v="Cabernet"/>
    <x v="0"/>
    <s v="CSR"/>
    <n v="403"/>
    <m/>
    <s v="oui"/>
    <m/>
    <n v="3"/>
    <n v="0.75"/>
    <n v="2.25"/>
  </r>
  <r>
    <d v="2017-02-27T00:00:00"/>
    <x v="1"/>
    <s v="Vailhere Pascal"/>
    <x v="0"/>
    <s v="Muscat"/>
    <x v="0"/>
    <s v="Ass integral"/>
    <s v="-"/>
    <m/>
    <s v="oui"/>
    <m/>
    <n v="5"/>
    <n v="0.75"/>
    <n v="3.75"/>
  </r>
  <r>
    <d v="2017-02-27T00:00:00"/>
    <x v="1"/>
    <s v="Vailhere Pascal"/>
    <x v="0"/>
    <s v="Chardonnay"/>
    <x v="0"/>
    <s v="flatteur"/>
    <n v="48"/>
    <m/>
    <s v="oui"/>
    <m/>
    <n v="3"/>
    <n v="0.75"/>
    <n v="2.25"/>
  </r>
  <r>
    <d v="2017-02-27T00:00:00"/>
    <x v="1"/>
    <s v="Vailhere Pascal"/>
    <x v="0"/>
    <s v="Chardonnay"/>
    <x v="0"/>
    <s v="riche"/>
    <n v="414"/>
    <m/>
    <s v="oui"/>
    <m/>
    <n v="3"/>
    <n v="0.75"/>
    <n v="2.25"/>
  </r>
  <r>
    <d v="2017-03-02T00:00:00"/>
    <x v="4"/>
    <s v="-"/>
    <x v="0"/>
    <s v="Thau blanc"/>
    <x v="0"/>
    <s v="Lot Oc Blanc"/>
    <n v="419"/>
    <m/>
    <s v="oui"/>
    <m/>
    <n v="2"/>
    <n v="0.75"/>
    <n v="1.5"/>
  </r>
  <r>
    <d v="2017-03-02T00:00:00"/>
    <x v="4"/>
    <s v="-"/>
    <x v="0"/>
    <s v="Chardonnay"/>
    <x v="0"/>
    <s v="Lot Solis"/>
    <n v="421"/>
    <m/>
    <s v="oui"/>
    <m/>
    <n v="2"/>
    <n v="0.75"/>
    <n v="1.5"/>
  </r>
  <r>
    <d v="2017-03-02T00:00:00"/>
    <x v="4"/>
    <s v="-"/>
    <x v="0"/>
    <s v="Chardonnay"/>
    <x v="0"/>
    <s v="Lot Petit degré"/>
    <n v="24"/>
    <m/>
    <s v="oui"/>
    <m/>
    <n v="2"/>
    <n v="0.75"/>
    <n v="1.5"/>
  </r>
  <r>
    <d v="2017-03-02T00:00:00"/>
    <x v="4"/>
    <s v="-"/>
    <x v="0"/>
    <s v="Viognier"/>
    <x v="0"/>
    <s v="Ass. Viognier intégral"/>
    <s v="-"/>
    <m/>
    <s v="oui"/>
    <m/>
    <n v="2"/>
    <n v="0.75"/>
    <n v="1.5"/>
  </r>
  <r>
    <d v="2017-03-02T00:00:00"/>
    <x v="4"/>
    <s v="-"/>
    <x v="0"/>
    <s v="Viognier"/>
    <x v="0"/>
    <s v="Ass. Partiel"/>
    <s v="-"/>
    <m/>
    <s v="oui"/>
    <m/>
    <n v="2"/>
    <n v="0.75"/>
    <n v="1.5"/>
  </r>
  <r>
    <d v="2017-03-02T00:00:00"/>
    <x v="4"/>
    <s v="-"/>
    <x v="0"/>
    <s v="Muscat"/>
    <x v="0"/>
    <s v="Ass integral"/>
    <s v="-"/>
    <m/>
    <s v="oui"/>
    <m/>
    <n v="2"/>
    <n v="0.75"/>
    <n v="1.5"/>
  </r>
  <r>
    <d v="2017-03-03T00:00:00"/>
    <x v="1"/>
    <s v="Vailhere Pascal"/>
    <x v="1"/>
    <s v="Rosé"/>
    <x v="0"/>
    <s v="Lot Cinsault"/>
    <s v="Ag 302"/>
    <m/>
    <s v="oui"/>
    <m/>
    <n v="2"/>
    <n v="0.75"/>
    <n v="1.5"/>
  </r>
  <r>
    <d v="2017-03-03T00:00:00"/>
    <x v="1"/>
    <s v="Vailhere Pascal"/>
    <x v="0"/>
    <s v="Muscat"/>
    <x v="0"/>
    <s v="Ass integral"/>
    <s v="-"/>
    <m/>
    <s v="oui"/>
    <m/>
    <n v="1"/>
    <n v="10"/>
    <n v="10"/>
  </r>
  <r>
    <d v="2017-03-06T00:00:00"/>
    <x v="1"/>
    <s v="SP Wines"/>
    <x v="0"/>
    <s v="Chardonnay"/>
    <x v="0"/>
    <s v="Lot Solis"/>
    <n v="413"/>
    <m/>
    <s v="oui"/>
    <m/>
    <n v="2"/>
    <n v="0.75"/>
    <n v="1.5"/>
  </r>
  <r>
    <d v="2017-03-06T00:00:00"/>
    <x v="1"/>
    <s v="SP Wines"/>
    <x v="0"/>
    <s v="Chardonnay"/>
    <x v="0"/>
    <s v="variétal"/>
    <n v="48"/>
    <m/>
    <s v="oui"/>
    <m/>
    <n v="2"/>
    <n v="0.75"/>
    <n v="1.5"/>
  </r>
  <r>
    <d v="2017-03-06T00:00:00"/>
    <x v="1"/>
    <s v="SP Wines"/>
    <x v="2"/>
    <s v="Merlot"/>
    <x v="0"/>
    <s v="MRG"/>
    <n v="205"/>
    <m/>
    <s v="oui"/>
    <m/>
    <n v="2"/>
    <n v="0.75"/>
    <n v="1.5"/>
  </r>
  <r>
    <d v="2017-03-07T00:00:00"/>
    <x v="1"/>
    <s v="Vailhere Pascal"/>
    <x v="2"/>
    <s v="Merlot"/>
    <x v="0"/>
    <s v="MRG"/>
    <n v="150"/>
    <m/>
    <s v="oui"/>
    <m/>
    <n v="1"/>
    <n v="10"/>
    <n v="10"/>
  </r>
  <r>
    <d v="2017-03-07T00:00:00"/>
    <x v="2"/>
    <s v="-"/>
    <x v="0"/>
    <s v="Viognier"/>
    <x v="0"/>
    <s v="Ass integral"/>
    <s v="-"/>
    <m/>
    <s v="oui"/>
    <m/>
    <n v="2"/>
    <n v="0.75"/>
    <n v="1.5"/>
  </r>
  <r>
    <d v="2017-03-07T00:00:00"/>
    <x v="9"/>
    <s v="Jacques Woloviek"/>
    <x v="0"/>
    <s v="Muscat"/>
    <x v="0"/>
    <s v="Ass intégral"/>
    <s v="-"/>
    <m/>
    <s v="oui"/>
    <s v="Muscat 1"/>
    <n v="3"/>
    <n v="0.75"/>
    <n v="2.25"/>
  </r>
  <r>
    <d v="2017-03-07T00:00:00"/>
    <x v="9"/>
    <s v="Jacques Woloviek"/>
    <x v="0"/>
    <s v="Muscat"/>
    <x v="0"/>
    <s v="Ass intégral + 2015"/>
    <s v="-"/>
    <m/>
    <s v="oui"/>
    <s v="Muscat 2 avec 17% Muscat PD 2015"/>
    <n v="3"/>
    <n v="0.75"/>
    <n v="2.25"/>
  </r>
  <r>
    <d v="2017-03-07T00:00:00"/>
    <x v="9"/>
    <s v="Jacques Woloviek"/>
    <x v="0"/>
    <s v="Viognier"/>
    <x v="0"/>
    <s v="Ass 1"/>
    <s v="-"/>
    <m/>
    <s v="oui"/>
    <s v="23+85+324"/>
    <n v="3"/>
    <n v="0.75"/>
    <n v="2.25"/>
  </r>
  <r>
    <d v="2017-03-07T00:00:00"/>
    <x v="9"/>
    <s v="Jacques Woloviek"/>
    <x v="0"/>
    <s v="Viognier"/>
    <x v="0"/>
    <s v="Ass 2"/>
    <s v="-"/>
    <m/>
    <s v="oui"/>
    <s v="324+23"/>
    <n v="3"/>
    <n v="0.75"/>
    <n v="2.25"/>
  </r>
  <r>
    <d v="2017-03-08T00:00:00"/>
    <x v="26"/>
    <s v="-"/>
    <x v="0"/>
    <s v="Viognier"/>
    <x v="0"/>
    <s v="bouteille"/>
    <n v="41"/>
    <m/>
    <s v="oui"/>
    <m/>
    <n v="2"/>
    <n v="0.75"/>
    <n v="1.5"/>
  </r>
  <r>
    <d v="2017-03-08T00:00:00"/>
    <x v="21"/>
    <s v="-"/>
    <x v="0"/>
    <s v="Viognier"/>
    <x v="0"/>
    <s v="-"/>
    <n v="23"/>
    <m/>
    <s v="oui"/>
    <m/>
    <n v="1"/>
    <n v="0.75"/>
    <n v="0.75"/>
  </r>
  <r>
    <d v="2017-03-08T00:00:00"/>
    <x v="21"/>
    <s v="-"/>
    <x v="0"/>
    <s v="Viognier"/>
    <x v="0"/>
    <s v="-"/>
    <n v="85"/>
    <m/>
    <s v="oui"/>
    <m/>
    <n v="1"/>
    <n v="0.75"/>
    <n v="0.75"/>
  </r>
  <r>
    <d v="2017-03-08T00:00:00"/>
    <x v="2"/>
    <s v="-"/>
    <x v="0"/>
    <s v="Viognier"/>
    <x v="0"/>
    <s v="-"/>
    <n v="324"/>
    <m/>
    <s v="oui"/>
    <m/>
    <n v="1"/>
    <n v="0.75"/>
    <n v="0.75"/>
  </r>
  <r>
    <d v="2017-03-08T00:00:00"/>
    <x v="2"/>
    <s v="-"/>
    <x v="1"/>
    <s v="Hérault Rosé"/>
    <x v="0"/>
    <s v="Ass Hérault Rosé"/>
    <s v="-"/>
    <m/>
    <s v="oui"/>
    <m/>
    <n v="2"/>
    <n v="0.75"/>
    <n v="1.5"/>
  </r>
  <r>
    <d v="2017-03-08T00:00:00"/>
    <x v="21"/>
    <s v="-"/>
    <x v="0"/>
    <s v="Sauvignon"/>
    <x v="0"/>
    <s v="classique"/>
    <n v="408"/>
    <m/>
    <s v="oui"/>
    <m/>
    <n v="2"/>
    <n v="0.75"/>
    <n v="1.5"/>
  </r>
  <r>
    <d v="2017-03-08T00:00:00"/>
    <x v="21"/>
    <s v="-"/>
    <x v="0"/>
    <s v="Chardonnay"/>
    <x v="0"/>
    <s v="flatteur"/>
    <n v="48"/>
    <m/>
    <s v="oui"/>
    <m/>
    <n v="2"/>
    <n v="0.75"/>
    <n v="1.5"/>
  </r>
  <r>
    <d v="2017-03-08T00:00:00"/>
    <x v="21"/>
    <s v="-"/>
    <x v="0"/>
    <s v="Chardonnay"/>
    <x v="0"/>
    <s v="Petit degré"/>
    <n v="24"/>
    <m/>
    <s v="oui"/>
    <m/>
    <n v="2"/>
    <n v="0.75"/>
    <n v="1.5"/>
  </r>
  <r>
    <d v="2017-03-08T00:00:00"/>
    <x v="21"/>
    <s v="-"/>
    <x v="2"/>
    <s v="Maraval"/>
    <x v="0"/>
    <s v="bouteille"/>
    <n v="100"/>
    <m/>
    <s v="oui"/>
    <m/>
    <n v="2"/>
    <n v="0.75"/>
    <n v="1.5"/>
  </r>
  <r>
    <d v="2017-03-08T00:00:00"/>
    <x v="21"/>
    <s v="-"/>
    <x v="0"/>
    <s v="Maraval"/>
    <x v="0"/>
    <s v="bouteille"/>
    <s v="-"/>
    <m/>
    <s v="oui"/>
    <m/>
    <n v="2"/>
    <n v="0.75"/>
    <n v="1.5"/>
  </r>
  <r>
    <d v="2017-03-10T00:00:00"/>
    <x v="1"/>
    <s v="Gilles Lambert"/>
    <x v="2"/>
    <s v="Cabernet"/>
    <x v="0"/>
    <s v="bouteille"/>
    <n v="99"/>
    <m/>
    <s v="oui"/>
    <m/>
    <n v="1"/>
    <n v="0.75"/>
    <n v="0.75"/>
  </r>
  <r>
    <d v="2017-03-13T00:00:00"/>
    <x v="27"/>
    <s v="San Nicolas"/>
    <x v="0"/>
    <s v="Chardonnay"/>
    <x v="0"/>
    <s v="Lot Solis"/>
    <n v="413"/>
    <m/>
    <s v="oui"/>
    <m/>
    <n v="3"/>
    <n v="0.75"/>
    <n v="2.25"/>
  </r>
  <r>
    <d v="2017-03-13T00:00:00"/>
    <x v="20"/>
    <s v="-"/>
    <x v="0"/>
    <s v="Chardonnay"/>
    <x v="1"/>
    <s v="Lot boisé Maraval"/>
    <s v="FK01"/>
    <m/>
    <s v="oui"/>
    <m/>
    <n v="2"/>
    <n v="0.75"/>
    <n v="1.5"/>
  </r>
  <r>
    <d v="2017-03-13T00:00:00"/>
    <x v="20"/>
    <s v="-"/>
    <x v="2"/>
    <s v="Merlot/Cabernet"/>
    <x v="1"/>
    <s v="Lot Inde"/>
    <s v="CF01"/>
    <m/>
    <s v="oui"/>
    <m/>
    <n v="2"/>
    <n v="0.75"/>
    <n v="1.5"/>
  </r>
  <r>
    <d v="2017-03-13T00:00:00"/>
    <x v="20"/>
    <s v="-"/>
    <x v="0"/>
    <s v="Chardonnay"/>
    <x v="1"/>
    <s v="bouteille"/>
    <n v="19"/>
    <m/>
    <s v="oui"/>
    <m/>
    <n v="1"/>
    <n v="0.75"/>
    <n v="0.75"/>
  </r>
  <r>
    <d v="2017-03-13T00:00:00"/>
    <x v="20"/>
    <s v="-"/>
    <x v="0"/>
    <s v="Viognier"/>
    <x v="0"/>
    <s v="bouteille"/>
    <n v="41"/>
    <m/>
    <s v="oui"/>
    <m/>
    <n v="1"/>
    <n v="0.75"/>
    <n v="0.75"/>
  </r>
  <r>
    <d v="2017-03-16T00:00:00"/>
    <x v="1"/>
    <s v="René Jeanjean"/>
    <x v="0"/>
    <s v="Blanc générique"/>
    <x v="2"/>
    <s v="-"/>
    <s v="-"/>
    <m/>
    <s v="oui"/>
    <s v="Lot Solde 2015 - 2016"/>
    <n v="3"/>
    <n v="0.75"/>
    <n v="2.25"/>
  </r>
  <r>
    <d v="2017-03-16T00:00:00"/>
    <x v="10"/>
    <s v="René Jeanjean"/>
    <x v="0"/>
    <s v="Chardonnay"/>
    <x v="1"/>
    <s v="-"/>
    <s v="-"/>
    <m/>
    <s v="oui"/>
    <s v="Rafraichi 40% flatteur + 60% 2015 variétal"/>
    <n v="2"/>
    <n v="0.75"/>
    <n v="1.5"/>
  </r>
  <r>
    <d v="2017-03-16T00:00:00"/>
    <x v="1"/>
    <s v="TWS"/>
    <x v="0"/>
    <s v="Blanc générique"/>
    <x v="2"/>
    <s v="-"/>
    <s v="-"/>
    <m/>
    <s v="oui"/>
    <s v="Lot Solde 2015 - 2016"/>
    <n v="2"/>
    <n v="0.75"/>
    <n v="1.5"/>
  </r>
  <r>
    <d v="2017-03-16T00:00:00"/>
    <x v="1"/>
    <s v="TWS"/>
    <x v="1"/>
    <s v="Hérault Rosé"/>
    <x v="0"/>
    <s v="Hérault Rosé"/>
    <s v="-"/>
    <m/>
    <s v="oui"/>
    <m/>
    <n v="2"/>
    <n v="0.75"/>
    <n v="1.5"/>
  </r>
  <r>
    <d v="2017-03-17T00:00:00"/>
    <x v="1"/>
    <s v="TWS"/>
    <x v="0"/>
    <s v="Viognier"/>
    <x v="0"/>
    <s v="-"/>
    <n v="324"/>
    <m/>
    <s v="oui"/>
    <m/>
    <n v="2"/>
    <n v="0.75"/>
    <n v="1.5"/>
  </r>
  <r>
    <d v="2017-03-20T00:00:00"/>
    <x v="9"/>
    <s v="Jacques Woloviek"/>
    <x v="0"/>
    <s v="Chardonnay"/>
    <x v="0"/>
    <s v="Ass. Jeanjean"/>
    <s v="-"/>
    <m/>
    <s v="oui"/>
    <m/>
    <n v="3"/>
    <n v="0.75"/>
    <n v="2.25"/>
  </r>
  <r>
    <d v="2017-03-20T00:00:00"/>
    <x v="9"/>
    <s v="Jacques Woloviek"/>
    <x v="0"/>
    <s v="Sauvignon"/>
    <x v="0"/>
    <s v="classique"/>
    <n v="408"/>
    <m/>
    <s v="oui"/>
    <m/>
    <n v="2"/>
    <n v="0.75"/>
    <n v="1.5"/>
  </r>
  <r>
    <d v="2017-03-22T00:00:00"/>
    <x v="3"/>
    <s v="-"/>
    <x v="0"/>
    <s v="Sauvignon"/>
    <x v="0"/>
    <s v="variétal"/>
    <n v="198"/>
    <m/>
    <s v="oui"/>
    <m/>
    <n v="6"/>
    <n v="0.75"/>
    <n v="4.5"/>
  </r>
  <r>
    <d v="2017-03-22T00:00:00"/>
    <x v="3"/>
    <s v="-"/>
    <x v="0"/>
    <s v="Blanc générique"/>
    <x v="2"/>
    <s v="-"/>
    <s v="-"/>
    <m/>
    <s v="oui"/>
    <s v="Lot Solde 2015 - 2016"/>
    <n v="2"/>
    <n v="0.75"/>
    <n v="1.5"/>
  </r>
  <r>
    <d v="2017-03-22T00:00:00"/>
    <x v="3"/>
    <s v="-"/>
    <x v="0"/>
    <s v="Chardonnay"/>
    <x v="1"/>
    <s v="boisé"/>
    <n v="311"/>
    <m/>
    <s v="oui"/>
    <m/>
    <n v="2"/>
    <n v="0.75"/>
    <n v="1.5"/>
  </r>
  <r>
    <d v="2017-03-23T00:00:00"/>
    <x v="4"/>
    <s v="-"/>
    <x v="0"/>
    <s v="Sauvignon"/>
    <x v="0"/>
    <s v="classique"/>
    <n v="409"/>
    <m/>
    <s v="oui"/>
    <m/>
    <n v="1"/>
    <n v="0.75"/>
    <n v="0.75"/>
  </r>
  <r>
    <d v="2017-03-23T00:00:00"/>
    <x v="4"/>
    <s v="-"/>
    <x v="0"/>
    <s v="Sauvignon"/>
    <x v="0"/>
    <s v="variétal"/>
    <n v="198"/>
    <m/>
    <s v="oui"/>
    <m/>
    <n v="2"/>
    <n v="0.75"/>
    <n v="1.5"/>
  </r>
  <r>
    <d v="2017-03-23T00:00:00"/>
    <x v="2"/>
    <s v="-"/>
    <x v="0"/>
    <s v="Chardonnay"/>
    <x v="0"/>
    <s v="supérieur"/>
    <n v="94"/>
    <m/>
    <s v="oui"/>
    <m/>
    <n v="2"/>
    <n v="0.75"/>
    <n v="1.5"/>
  </r>
  <r>
    <d v="2017-03-23T00:00:00"/>
    <x v="2"/>
    <s v="-"/>
    <x v="0"/>
    <s v="Chardonnay"/>
    <x v="0"/>
    <s v="riche"/>
    <n v="414"/>
    <m/>
    <s v="oui"/>
    <m/>
    <n v="2"/>
    <n v="0.75"/>
    <n v="1.5"/>
  </r>
  <r>
    <d v="2017-03-23T00:00:00"/>
    <x v="5"/>
    <s v="-"/>
    <x v="1"/>
    <s v="Merlot"/>
    <x v="0"/>
    <s v="Lot GCF"/>
    <n v="404"/>
    <m/>
    <s v="oui"/>
    <m/>
    <n v="2"/>
    <n v="0.75"/>
    <n v="1.5"/>
  </r>
  <r>
    <d v="2017-03-23T00:00:00"/>
    <x v="4"/>
    <s v="-"/>
    <x v="1"/>
    <s v="Oc Rosé"/>
    <x v="0"/>
    <s v="Hérault Rosé"/>
    <s v="-"/>
    <m/>
    <s v="oui"/>
    <m/>
    <n v="2"/>
    <n v="0.75"/>
    <n v="1.5"/>
  </r>
  <r>
    <d v="2017-03-24T00:00:00"/>
    <x v="2"/>
    <s v="-"/>
    <x v="0"/>
    <s v="Blanc générique"/>
    <x v="2"/>
    <s v="-"/>
    <s v="-"/>
    <m/>
    <s v="oui"/>
    <m/>
    <n v="5"/>
    <n v="0.75"/>
    <n v="3.75"/>
  </r>
  <r>
    <d v="2017-03-24T00:00:00"/>
    <x v="2"/>
    <s v="-"/>
    <x v="1"/>
    <s v="Rosé générique"/>
    <x v="0"/>
    <s v="Hérault Rosé"/>
    <s v="-"/>
    <m/>
    <s v="oui"/>
    <m/>
    <n v="2"/>
    <n v="0.75"/>
    <n v="1.5"/>
  </r>
  <r>
    <d v="2017-03-28T00:00:00"/>
    <x v="2"/>
    <m/>
    <x v="0"/>
    <s v="Blanc générique"/>
    <x v="2"/>
    <s v="Sans Muscat"/>
    <s v="-"/>
    <m/>
    <s v="oui"/>
    <m/>
    <n v="3"/>
    <n v="0.75"/>
    <n v="2.25"/>
  </r>
  <r>
    <d v="2017-03-28T00:00:00"/>
    <x v="2"/>
    <s v="-"/>
    <x v="0"/>
    <s v="Viognier"/>
    <x v="1"/>
    <s v="-"/>
    <s v="-"/>
    <m/>
    <s v="oui"/>
    <s v="60% NP67 + 40%21"/>
    <n v="1"/>
    <n v="0.75"/>
    <n v="0.75"/>
  </r>
  <r>
    <d v="2017-03-28T00:00:00"/>
    <x v="1"/>
    <s v="San Nicolas"/>
    <x v="0"/>
    <s v="Chardonnay"/>
    <x v="0"/>
    <s v="Lot Solis"/>
    <n v="413"/>
    <m/>
    <s v="oui"/>
    <m/>
    <n v="2"/>
    <n v="0.75"/>
    <n v="1.5"/>
  </r>
  <r>
    <d v="2017-03-28T00:00:00"/>
    <x v="1"/>
    <s v="San Nicolas"/>
    <x v="1"/>
    <s v="Hérault Rosé"/>
    <x v="0"/>
    <s v="Hérault Rosé"/>
    <n v="15"/>
    <m/>
    <s v="oui"/>
    <m/>
    <n v="2"/>
    <n v="0.75"/>
    <n v="1.5"/>
  </r>
  <r>
    <d v="2017-03-28T00:00:00"/>
    <x v="1"/>
    <s v="San Nicolas"/>
    <x v="1"/>
    <s v="Cinsault"/>
    <x v="0"/>
    <s v="Lot Cinsault"/>
    <s v="Ag302"/>
    <m/>
    <s v="oui"/>
    <m/>
    <n v="2"/>
    <n v="0.75"/>
    <n v="1.5"/>
  </r>
  <r>
    <d v="2017-03-28T00:00:00"/>
    <x v="20"/>
    <s v="-"/>
    <x v="0"/>
    <s v="Sauvignon Viognier"/>
    <x v="0"/>
    <s v="-"/>
    <s v="-"/>
    <m/>
    <s v="oui"/>
    <s v="60% 409 + 40 % Vio bouteille"/>
    <n v="2"/>
    <n v="0.75"/>
    <n v="1.5"/>
  </r>
  <r>
    <d v="2017-03-29T00:00:00"/>
    <x v="1"/>
    <s v="San Nicolas"/>
    <x v="0"/>
    <s v="Vermentino"/>
    <x v="0"/>
    <s v="-"/>
    <n v="45"/>
    <m/>
    <s v="oui"/>
    <m/>
    <n v="2"/>
    <n v="0.75"/>
    <n v="1.5"/>
  </r>
  <r>
    <d v="2017-03-30T00:00:00"/>
    <x v="13"/>
    <s v="-"/>
    <x v="0"/>
    <s v="Viognier Roussanne Marsanne"/>
    <x v="0"/>
    <s v="-"/>
    <s v="-"/>
    <m/>
    <s v="oui"/>
    <s v="50 % Vio + 50 % Rouss Mars"/>
    <n v="4"/>
    <n v="0.75"/>
    <n v="3"/>
  </r>
  <r>
    <d v="2017-04-03T00:00:00"/>
    <x v="20"/>
    <s v="-"/>
    <x v="0"/>
    <s v="Sauvignon Viognier"/>
    <x v="0"/>
    <s v="-"/>
    <s v="-"/>
    <m/>
    <s v="oui"/>
    <s v="60% 409 + 40 % Vio 84"/>
    <n v="2"/>
    <n v="0.75"/>
    <n v="1.5"/>
  </r>
  <r>
    <d v="2017-04-03T00:00:00"/>
    <x v="20"/>
    <s v="-"/>
    <x v="0"/>
    <s v="Blanc Oc"/>
    <x v="0"/>
    <s v="Lot 1"/>
    <s v="-"/>
    <m/>
    <s v="oui"/>
    <s v="50% Vio 84 + 25% Char 405 + 25% Chard 48"/>
    <n v="1"/>
    <n v="0.75"/>
    <n v="0.75"/>
  </r>
  <r>
    <d v="2017-04-03T00:00:00"/>
    <x v="20"/>
    <s v="-"/>
    <x v="0"/>
    <s v="Blanc Oc"/>
    <x v="0"/>
    <s v="Lot 2"/>
    <s v="-"/>
    <m/>
    <s v="oui"/>
    <s v="30% Vio 84 + 35 % Char 405 + 35% Chard 48"/>
    <n v="1"/>
    <n v="0.75"/>
    <n v="0.75"/>
  </r>
  <r>
    <d v="2017-04-04T00:00:00"/>
    <x v="28"/>
    <s v="-"/>
    <x v="0"/>
    <s v="Chardonnay"/>
    <x v="0"/>
    <s v="riche"/>
    <n v="49"/>
    <m/>
    <s v="oui"/>
    <m/>
    <n v="2"/>
    <n v="0.375"/>
    <n v="0.75"/>
  </r>
  <r>
    <d v="2017-04-04T00:00:00"/>
    <x v="28"/>
    <s v="-"/>
    <x v="0"/>
    <s v="Chardonnay"/>
    <x v="0"/>
    <s v="flatteur"/>
    <n v="48"/>
    <m/>
    <s v="oui"/>
    <m/>
    <n v="2"/>
    <n v="0.75"/>
    <n v="1.5"/>
  </r>
  <r>
    <d v="2017-04-04T00:00:00"/>
    <x v="28"/>
    <s v="-"/>
    <x v="0"/>
    <s v="Chardonnay"/>
    <x v="0"/>
    <s v="supérieur"/>
    <n v="94"/>
    <m/>
    <s v="oui"/>
    <m/>
    <n v="2"/>
    <n v="0.375"/>
    <n v="0.75"/>
  </r>
  <r>
    <d v="2017-04-05T00:00:00"/>
    <x v="11"/>
    <s v="-"/>
    <x v="0"/>
    <s v="Terret"/>
    <x v="0"/>
    <s v="Lot Oc Blanc"/>
    <n v="419"/>
    <m/>
    <s v="oui"/>
    <m/>
    <n v="1"/>
    <n v="0.75"/>
    <n v="0.75"/>
  </r>
  <r>
    <d v="2017-04-05T00:00:00"/>
    <x v="9"/>
    <s v="Jacques Woloviek"/>
    <x v="0"/>
    <s v="Chardonnay"/>
    <x v="0"/>
    <s v="Lot Solis"/>
    <n v="405"/>
    <m/>
    <s v="oui"/>
    <m/>
    <n v="1"/>
    <n v="0.75"/>
    <n v="0.75"/>
  </r>
  <r>
    <d v="2017-04-05T00:00:00"/>
    <x v="29"/>
    <s v="René Jeanjean"/>
    <x v="0"/>
    <s v="Muscat"/>
    <x v="0"/>
    <s v="Lot bouteille + 24% 30"/>
    <s v="-"/>
    <m/>
    <s v="oui"/>
    <s v="76% bt FK7 + 24% c030"/>
    <n v="3"/>
    <n v="0.75"/>
    <n v="2.25"/>
  </r>
  <r>
    <d v="2017-04-05T00:00:00"/>
    <x v="2"/>
    <s v="-"/>
    <x v="0"/>
    <s v="Blanc générique"/>
    <x v="2"/>
    <s v="Sans Muscat"/>
    <s v="-"/>
    <m/>
    <s v="oui"/>
    <m/>
    <n v="3"/>
    <n v="0.75"/>
    <n v="2.25"/>
  </r>
  <r>
    <d v="2017-04-05T00:00:00"/>
    <x v="9"/>
    <s v="Jacques Woloviek"/>
    <x v="0"/>
    <s v="Chardonnay"/>
    <x v="0"/>
    <s v="Lot Jeanjean"/>
    <s v="-"/>
    <m/>
    <s v="oui"/>
    <s v="Non boisé"/>
    <n v="1"/>
    <n v="5"/>
    <n v="5"/>
  </r>
  <r>
    <d v="2017-04-05T00:00:00"/>
    <x v="9"/>
    <s v="Jacques Woloviek"/>
    <x v="0"/>
    <s v="Chardonnay"/>
    <x v="0"/>
    <s v="Lot Jeanjean"/>
    <s v="-"/>
    <m/>
    <s v="oui"/>
    <s v="Bois :"/>
    <n v="1"/>
    <n v="5"/>
    <n v="5"/>
  </r>
  <r>
    <d v="2017-04-05T00:00:00"/>
    <x v="9"/>
    <s v="Jacques Woloviek"/>
    <x v="0"/>
    <s v="Chardonnay"/>
    <x v="0"/>
    <s v="Lot Jeanjean"/>
    <s v="-"/>
    <m/>
    <s v="oui"/>
    <s v="Bois :"/>
    <n v="1"/>
    <n v="5"/>
    <n v="5"/>
  </r>
  <r>
    <d v="2017-04-10T00:00:00"/>
    <x v="20"/>
    <s v="-"/>
    <x v="0"/>
    <s v="Sauvignon Viognier"/>
    <x v="0"/>
    <s v="-"/>
    <s v="-"/>
    <m/>
    <s v="oui"/>
    <s v="60% 409 + 40 % Vio 84"/>
    <n v="4"/>
    <n v="0.75"/>
    <n v="3"/>
  </r>
  <r>
    <d v="2017-04-11T00:00:00"/>
    <x v="2"/>
    <s v="-"/>
    <x v="0"/>
    <s v="Viognier"/>
    <x v="0"/>
    <s v="-"/>
    <s v="NP79"/>
    <m/>
    <s v="oui"/>
    <m/>
    <n v="2"/>
    <n v="0.75"/>
    <n v="1.5"/>
  </r>
  <r>
    <d v="2017-04-11T00:00:00"/>
    <x v="2"/>
    <s v="-"/>
    <x v="0"/>
    <s v="Viognier"/>
    <x v="0"/>
    <s v="-"/>
    <n v="85"/>
    <m/>
    <s v="oui"/>
    <m/>
    <n v="2"/>
    <n v="0.75"/>
    <n v="1.5"/>
  </r>
  <r>
    <d v="2017-04-12T00:00:00"/>
    <x v="1"/>
    <s v="Olivier Castillo"/>
    <x v="1"/>
    <s v="Hérault Rosé"/>
    <x v="0"/>
    <s v="Hérault Rosé"/>
    <n v="16"/>
    <m/>
    <s v="oui"/>
    <m/>
    <n v="2"/>
    <n v="0.75"/>
    <n v="1.5"/>
  </r>
  <r>
    <d v="2017-04-12T00:00:00"/>
    <x v="1"/>
    <s v="JC Simon"/>
    <x v="1"/>
    <s v="Cinsault"/>
    <x v="0"/>
    <s v="Lot Cinsault"/>
    <s v="Ag 302"/>
    <m/>
    <s v="oui"/>
    <m/>
    <n v="3"/>
    <n v="0.75"/>
    <n v="2.25"/>
  </r>
  <r>
    <d v="2017-04-13T00:00:00"/>
    <x v="1"/>
    <s v="JC Simon"/>
    <x v="1"/>
    <s v="Hérault Rosé"/>
    <x v="0"/>
    <s v="Hérault Rosé"/>
    <n v="16"/>
    <m/>
    <s v="oui"/>
    <m/>
    <n v="2"/>
    <n v="0.75"/>
    <n v="1.5"/>
  </r>
  <r>
    <d v="2017-04-13T00:00:00"/>
    <x v="1"/>
    <s v="JC Simon"/>
    <x v="1"/>
    <s v="Hérault Rosé"/>
    <x v="0"/>
    <s v="Buvette Rosé"/>
    <n v="422"/>
    <m/>
    <s v="oui"/>
    <m/>
    <n v="2"/>
    <n v="0.75"/>
    <n v="1.5"/>
  </r>
  <r>
    <d v="2017-04-13T00:00:00"/>
    <x v="10"/>
    <s v="René Jeanjean"/>
    <x v="0"/>
    <s v="Viognier"/>
    <x v="0"/>
    <s v="-"/>
    <s v="NP79"/>
    <m/>
    <s v="oui"/>
    <m/>
    <n v="2"/>
    <n v="0.75"/>
    <n v="1.5"/>
  </r>
  <r>
    <d v="2017-04-13T00:00:00"/>
    <x v="10"/>
    <s v="René Jeanjean"/>
    <x v="0"/>
    <s v="Viognier"/>
    <x v="0"/>
    <s v="-"/>
    <n v="85"/>
    <m/>
    <s v="oui"/>
    <m/>
    <n v="2"/>
    <n v="0.75"/>
    <n v="1.5"/>
  </r>
  <r>
    <d v="2017-04-13T00:00:00"/>
    <x v="10"/>
    <s v="René Jeanjean"/>
    <x v="0"/>
    <s v="Viognier"/>
    <x v="0"/>
    <s v="Ass. Viognier"/>
    <s v="-"/>
    <m/>
    <s v="oui"/>
    <s v="50% Vio NP79 + 50% Vio 85"/>
    <n v="2"/>
    <n v="0.75"/>
    <n v="1.5"/>
  </r>
  <r>
    <d v="2017-04-24T00:00:00"/>
    <x v="11"/>
    <s v="-"/>
    <x v="0"/>
    <s v="Terret"/>
    <x v="0"/>
    <s v="Lot Oc Blanc"/>
    <n v="419"/>
    <m/>
    <s v="oui"/>
    <m/>
    <n v="1"/>
    <n v="0.75"/>
    <n v="0.75"/>
  </r>
  <r>
    <d v="2017-04-24T00:00:00"/>
    <x v="11"/>
    <s v="-"/>
    <x v="2"/>
    <s v="Pinot Noir"/>
    <x v="0"/>
    <s v="Lot PN"/>
    <n v="129"/>
    <m/>
    <s v="oui"/>
    <m/>
    <n v="1"/>
    <n v="0.75"/>
    <n v="0.75"/>
  </r>
  <r>
    <d v="2017-04-24T00:00:00"/>
    <x v="11"/>
    <s v="-"/>
    <x v="0"/>
    <s v="Chardonnay"/>
    <x v="0"/>
    <s v="Riche"/>
    <n v="411"/>
    <m/>
    <s v="oui"/>
    <m/>
    <n v="1"/>
    <n v="0.75"/>
    <n v="0.75"/>
  </r>
  <r>
    <d v="2017-04-24T00:00:00"/>
    <x v="11"/>
    <s v="-"/>
    <x v="0"/>
    <s v="Muscat"/>
    <x v="0"/>
    <s v="-"/>
    <n v="328"/>
    <m/>
    <s v="oui"/>
    <m/>
    <n v="1"/>
    <n v="0.75"/>
    <n v="0.75"/>
  </r>
  <r>
    <d v="2017-04-24T00:00:00"/>
    <x v="11"/>
    <s v="-"/>
    <x v="0"/>
    <s v="Viognier"/>
    <x v="0"/>
    <s v="-"/>
    <s v="NP79"/>
    <m/>
    <s v="oui"/>
    <m/>
    <n v="1"/>
    <n v="0.75"/>
    <n v="0.75"/>
  </r>
  <r>
    <d v="2017-04-24T00:00:00"/>
    <x v="11"/>
    <s v="-"/>
    <x v="0"/>
    <s v="Viognier"/>
    <x v="0"/>
    <s v="-"/>
    <n v="85"/>
    <m/>
    <s v="oui"/>
    <m/>
    <n v="1"/>
    <n v="0.75"/>
    <n v="0.75"/>
  </r>
  <r>
    <d v="2017-04-24T00:00:00"/>
    <x v="11"/>
    <s v="-"/>
    <x v="0"/>
    <s v="Muscat"/>
    <x v="0"/>
    <s v="-"/>
    <n v="30"/>
    <m/>
    <s v="oui"/>
    <m/>
    <n v="1"/>
    <n v="0.75"/>
    <n v="0.75"/>
  </r>
  <r>
    <d v="2017-04-24T00:00:00"/>
    <x v="11"/>
    <s v="-"/>
    <x v="1"/>
    <s v="Cinsault"/>
    <x v="0"/>
    <s v="-"/>
    <s v="Ag302"/>
    <m/>
    <s v="oui"/>
    <m/>
    <n v="1"/>
    <n v="0.75"/>
    <n v="0.75"/>
  </r>
  <r>
    <d v="2017-04-28T00:00:00"/>
    <x v="14"/>
    <s v="-"/>
    <x v="0"/>
    <s v="Chardonnay"/>
    <x v="0"/>
    <s v="Riche"/>
    <n v="411"/>
    <m/>
    <s v="oui"/>
    <m/>
    <n v="2"/>
    <n v="0.75"/>
    <n v="1.5"/>
  </r>
  <r>
    <d v="2017-04-28T00:00:00"/>
    <x v="14"/>
    <s v="-"/>
    <x v="0"/>
    <s v="Muscat"/>
    <x v="0"/>
    <s v="Lot 1"/>
    <n v="30"/>
    <m/>
    <s v="oui"/>
    <m/>
    <n v="2"/>
    <n v="0.75"/>
    <n v="1.5"/>
  </r>
  <r>
    <d v="2017-04-28T00:00:00"/>
    <x v="14"/>
    <s v="-"/>
    <x v="0"/>
    <s v="Muscat"/>
    <x v="0"/>
    <s v="Lot 2"/>
    <n v="328"/>
    <m/>
    <s v="oui"/>
    <m/>
    <n v="2"/>
    <n v="0.75"/>
    <n v="1.5"/>
  </r>
  <r>
    <d v="2017-04-28T00:00:00"/>
    <x v="14"/>
    <s v="-"/>
    <x v="0"/>
    <s v="Viognier"/>
    <x v="0"/>
    <s v="-"/>
    <s v="NP79"/>
    <m/>
    <s v="oui"/>
    <m/>
    <n v="3"/>
    <n v="0.75"/>
    <n v="2.25"/>
  </r>
  <r>
    <d v="2017-04-28T00:00:00"/>
    <x v="14"/>
    <s v="-"/>
    <x v="0"/>
    <s v="Sauvignon"/>
    <x v="0"/>
    <s v="-"/>
    <n v="25"/>
    <m/>
    <s v="oui"/>
    <m/>
    <n v="3"/>
    <n v="0.75"/>
    <n v="2.25"/>
  </r>
  <r>
    <d v="2017-05-02T00:00:00"/>
    <x v="1"/>
    <s v="Vailhere Pascal"/>
    <x v="1"/>
    <s v="Hérault Rosé"/>
    <x v="0"/>
    <s v="Hérault Rouge"/>
    <n v="415"/>
    <m/>
    <s v="oui"/>
    <m/>
    <n v="2"/>
    <n v="0.75"/>
    <n v="1.5"/>
  </r>
  <r>
    <d v="2017-05-02T00:00:00"/>
    <x v="2"/>
    <s v="-"/>
    <x v="1"/>
    <s v="Cinsault"/>
    <x v="0"/>
    <s v="Lot Cinsault"/>
    <s v="Ag302"/>
    <m/>
    <s v="oui"/>
    <m/>
    <n v="2"/>
    <n v="0.75"/>
    <n v="1.5"/>
  </r>
  <r>
    <d v="2017-05-04T00:00:00"/>
    <x v="1"/>
    <s v="TWS"/>
    <x v="0"/>
    <s v="Chardonnay"/>
    <x v="0"/>
    <s v="Lot Solis"/>
    <n v="413"/>
    <m/>
    <s v="oui"/>
    <m/>
    <n v="3"/>
    <n v="0.75"/>
    <n v="2.25"/>
  </r>
  <r>
    <d v="2017-05-15T00:00:00"/>
    <x v="2"/>
    <s v="-"/>
    <x v="0"/>
    <s v="Chardonnay"/>
    <x v="0"/>
    <s v="Lot Solis"/>
    <n v="413"/>
    <m/>
    <s v="oui"/>
    <m/>
    <n v="2"/>
    <n v="0.75"/>
    <n v="1.5"/>
  </r>
  <r>
    <d v="2017-05-15T00:00:00"/>
    <x v="2"/>
    <s v="-"/>
    <x v="2"/>
    <s v="Merlot"/>
    <x v="0"/>
    <s v="-"/>
    <n v="130"/>
    <m/>
    <s v="oui"/>
    <m/>
    <n v="2"/>
    <n v="0.75"/>
    <n v="1.5"/>
  </r>
  <r>
    <d v="2017-05-15T00:00:00"/>
    <x v="9"/>
    <s v="Jacques Woloviek"/>
    <x v="0"/>
    <s v="Chardonnay"/>
    <x v="0"/>
    <s v="Riche"/>
    <n v="414"/>
    <m/>
    <s v="oui"/>
    <m/>
    <n v="3"/>
    <n v="0.75"/>
    <n v="2.25"/>
  </r>
  <r>
    <d v="2017-05-15T00:00:00"/>
    <x v="9"/>
    <s v="Jacques Woloviek"/>
    <x v="0"/>
    <s v="Chardonnay"/>
    <x v="0"/>
    <s v="Petit degré"/>
    <n v="24"/>
    <m/>
    <s v="oui"/>
    <m/>
    <n v="3"/>
    <n v="0.75"/>
    <n v="2.25"/>
  </r>
  <r>
    <d v="2017-05-15T00:00:00"/>
    <x v="1"/>
    <s v="San Nicolas"/>
    <x v="0"/>
    <s v="Chardonnay"/>
    <x v="0"/>
    <s v="Lot Solis"/>
    <n v="413"/>
    <m/>
    <s v="oui"/>
    <s v="2 bouteilles pour LGI 2 bouteille autre client"/>
    <n v="4"/>
    <n v="0.75"/>
    <n v="3"/>
  </r>
  <r>
    <d v="2017-05-17T00:00:00"/>
    <x v="2"/>
    <s v="-"/>
    <x v="0"/>
    <s v="Sauvignon"/>
    <x v="0"/>
    <s v="Lot Celliers du Vent"/>
    <n v="81"/>
    <m/>
    <s v="oui"/>
    <m/>
    <n v="2"/>
    <n v="0.75"/>
    <n v="1.5"/>
  </r>
  <r>
    <d v="2017-05-17T00:00:00"/>
    <x v="2"/>
    <s v="-"/>
    <x v="0"/>
    <s v="Viognier"/>
    <x v="0"/>
    <m/>
    <s v="NP79"/>
    <m/>
    <s v="oui"/>
    <m/>
    <n v="2"/>
    <n v="0.75"/>
    <n v="1.5"/>
  </r>
  <r>
    <d v="2017-05-17T00:00:00"/>
    <x v="2"/>
    <s v="-"/>
    <x v="0"/>
    <s v="Chardonnay"/>
    <x v="0"/>
    <s v="flatteur"/>
    <n v="48"/>
    <m/>
    <s v="oui"/>
    <m/>
    <n v="2"/>
    <n v="0.75"/>
    <n v="1.5"/>
  </r>
  <r>
    <d v="2017-05-17T00:00:00"/>
    <x v="20"/>
    <s v="-"/>
    <x v="2"/>
    <s v="Pinot Noir"/>
    <x v="1"/>
    <s v="-"/>
    <n v="39"/>
    <m/>
    <s v="oui"/>
    <m/>
    <n v="1"/>
    <n v="0.75"/>
    <n v="0.75"/>
  </r>
  <r>
    <d v="2017-05-17T00:00:00"/>
    <x v="20"/>
    <s v="-"/>
    <x v="2"/>
    <s v="Pinot Noir"/>
    <x v="0"/>
    <s v="-"/>
    <n v="129"/>
    <m/>
    <s v="oui"/>
    <m/>
    <n v="1"/>
    <n v="0.75"/>
    <n v="0.75"/>
  </r>
  <r>
    <d v="2017-05-17T00:00:00"/>
    <x v="20"/>
    <s v="-"/>
    <x v="2"/>
    <s v="Merlot/Cabernet"/>
    <x v="1"/>
    <s v="Lot Inde"/>
    <n v="98"/>
    <m/>
    <s v="oui"/>
    <m/>
    <n v="1"/>
    <n v="0.75"/>
    <n v="0.75"/>
  </r>
  <r>
    <d v="2017-05-17T00:00:00"/>
    <x v="1"/>
    <s v="Vailhere Pascal"/>
    <x v="1"/>
    <s v="Cinsault"/>
    <x v="0"/>
    <s v="-"/>
    <s v="Ag153"/>
    <m/>
    <s v="oui"/>
    <m/>
    <n v="2"/>
    <n v="0.75"/>
    <n v="1.5"/>
  </r>
  <r>
    <d v="2017-05-22T00:00:00"/>
    <x v="30"/>
    <s v="Vailhere Pascal"/>
    <x v="1"/>
    <s v="Cinsault"/>
    <x v="0"/>
    <s v="-"/>
    <s v="Ag153"/>
    <m/>
    <s v="oui"/>
    <m/>
    <n v="2"/>
    <n v="0.75"/>
    <n v="1.5"/>
  </r>
  <r>
    <d v="2017-05-23T00:00:00"/>
    <x v="30"/>
    <s v="Vailhere Pascal"/>
    <x v="0"/>
    <s v="Viognier"/>
    <x v="0"/>
    <s v="Lot 1"/>
    <s v="-"/>
    <m/>
    <s v="oui"/>
    <s v="50% NP79 + 25% 85 + 25% 5"/>
    <n v="2"/>
    <n v="0.75"/>
    <n v="1.5"/>
  </r>
  <r>
    <d v="2017-05-23T00:00:00"/>
    <x v="30"/>
    <s v="Vailhere Pascal"/>
    <x v="0"/>
    <s v="Viognier"/>
    <x v="0"/>
    <s v="Lot 2"/>
    <s v="-"/>
    <m/>
    <s v="oui"/>
    <s v="50 % NP79 + 35 % 5 + 15 % 85"/>
    <n v="2"/>
    <n v="0.75"/>
    <n v="1.5"/>
  </r>
  <r>
    <d v="2017-06-13T00:00:00"/>
    <x v="2"/>
    <s v="-"/>
    <x v="0"/>
    <s v="Sauvignon"/>
    <x v="0"/>
    <s v="VDF Sauvignon"/>
    <s v="-"/>
    <m/>
    <s v="oui"/>
    <s v="Ass 13/06/2017 ss colom"/>
    <n v="1"/>
    <n v="0.75"/>
    <n v="0.75"/>
  </r>
  <r>
    <d v="2017-06-13T00:00:00"/>
    <x v="2"/>
    <s v="-"/>
    <x v="0"/>
    <s v="Sauvignon"/>
    <x v="0"/>
    <s v="VDF Sauvignon"/>
    <s v="-"/>
    <m/>
    <s v="oui"/>
    <s v="Ass 13/06/2017 avec colom"/>
    <n v="1"/>
    <n v="0.75"/>
    <n v="0.75"/>
  </r>
  <r>
    <d v="2017-06-15T00:00:00"/>
    <x v="1"/>
    <s v="Murphy winecompany"/>
    <x v="0"/>
    <s v="Muscat"/>
    <x v="0"/>
    <s v="Petit degré"/>
    <n v="9"/>
    <m/>
    <s v="oui"/>
    <m/>
    <n v="2"/>
    <n v="0.75"/>
    <n v="1.5"/>
  </r>
  <r>
    <d v="2017-06-15T00:00:00"/>
    <x v="1"/>
    <s v="Murphy winecompany"/>
    <x v="0"/>
    <s v="Sauvignon"/>
    <x v="0"/>
    <s v="Lot Celliers du Vent"/>
    <n v="81"/>
    <m/>
    <s v="oui"/>
    <m/>
    <n v="2"/>
    <n v="0.75"/>
    <n v="1.5"/>
  </r>
  <r>
    <d v="2017-06-15T00:00:00"/>
    <x v="1"/>
    <s v="Murphy winecompany"/>
    <x v="0"/>
    <s v="Muscat"/>
    <x v="0"/>
    <s v="Muscat O2"/>
    <n v="328"/>
    <m/>
    <s v="oui"/>
    <m/>
    <n v="2"/>
    <n v="0.75"/>
    <n v="1.5"/>
  </r>
  <r>
    <d v="2017-06-15T00:00:00"/>
    <x v="1"/>
    <s v="Murphy winecompany"/>
    <x v="0"/>
    <s v="Viognier"/>
    <x v="0"/>
    <s v="-"/>
    <n v="318"/>
    <m/>
    <s v="oui"/>
    <m/>
    <n v="2"/>
    <n v="0.75"/>
    <n v="1.5"/>
  </r>
  <r>
    <d v="2017-06-15T00:00:00"/>
    <x v="9"/>
    <s v="Jacques Woloviek"/>
    <x v="0"/>
    <s v="Chardonnay"/>
    <x v="0"/>
    <s v="flatteur"/>
    <n v="21"/>
    <m/>
    <s v="oui"/>
    <m/>
    <n v="2"/>
    <n v="0.75"/>
    <n v="1.5"/>
  </r>
  <r>
    <d v="2017-06-15T00:00:00"/>
    <x v="9"/>
    <s v="Jacques Woloviek"/>
    <x v="0"/>
    <s v="Chardonnay"/>
    <x v="0"/>
    <s v="riche"/>
    <n v="414"/>
    <m/>
    <s v="oui"/>
    <m/>
    <n v="2"/>
    <n v="0.75"/>
    <n v="1.5"/>
  </r>
  <r>
    <d v="2017-06-15T00:00:00"/>
    <x v="9"/>
    <s v="Jacques Woloviek"/>
    <x v="0"/>
    <s v="Chardonnay"/>
    <x v="0"/>
    <s v="supérieur"/>
    <n v="94"/>
    <m/>
    <s v="oui"/>
    <m/>
    <n v="2"/>
    <n v="0.75"/>
    <n v="1.5"/>
  </r>
  <r>
    <d v="2017-06-15T00:00:00"/>
    <x v="31"/>
    <s v="Jacques Woloviek"/>
    <x v="0"/>
    <s v="Chardonnay"/>
    <x v="0"/>
    <s v="Petit degré"/>
    <n v="24"/>
    <m/>
    <s v="oui"/>
    <m/>
    <n v="2"/>
    <n v="0.75"/>
    <n v="1.5"/>
  </r>
  <r>
    <d v="2017-06-15T00:00:00"/>
    <x v="32"/>
    <s v="-"/>
    <x v="0"/>
    <s v="Viognier"/>
    <x v="0"/>
    <s v="-"/>
    <n v="5"/>
    <m/>
    <s v="oui"/>
    <m/>
    <n v="3"/>
    <n v="0.75"/>
    <n v="2.25"/>
  </r>
  <r>
    <d v="2017-06-15T00:00:00"/>
    <x v="32"/>
    <s v="-"/>
    <x v="0"/>
    <s v="Viognier"/>
    <x v="0"/>
    <s v="Lot 1"/>
    <s v="-"/>
    <m/>
    <s v="oui"/>
    <s v="Lot 14/06/2017"/>
    <n v="3"/>
    <n v="0.75"/>
    <n v="2.25"/>
  </r>
  <r>
    <d v="2017-06-15T00:00:00"/>
    <x v="32"/>
    <s v="-"/>
    <x v="0"/>
    <s v="Viognier"/>
    <x v="0"/>
    <s v="Lot 2"/>
    <s v="-"/>
    <m/>
    <s v="oui"/>
    <s v="Lot 14/06/2017"/>
    <n v="3"/>
    <n v="0.75"/>
    <n v="2.25"/>
  </r>
  <r>
    <d v="2017-06-15T00:00:00"/>
    <x v="10"/>
    <s v="-"/>
    <x v="0"/>
    <s v="Chardonnay"/>
    <x v="1"/>
    <s v="-"/>
    <s v="-"/>
    <m/>
    <s v="oui"/>
    <s v="Rafraichi 40% flatteur + 60% 2015 variétal"/>
    <n v="1"/>
    <n v="0.75"/>
    <n v="0.75"/>
  </r>
  <r>
    <d v="2017-06-15T00:00:00"/>
    <x v="2"/>
    <s v="-"/>
    <x v="0"/>
    <s v="Sauvignon"/>
    <x v="0"/>
    <s v="VDF Sauvignon"/>
    <s v="-"/>
    <m/>
    <s v="oui"/>
    <s v="Ass 13/06/2017 avec colom"/>
    <n v="2"/>
    <n v="0.75"/>
    <n v="1.5"/>
  </r>
  <r>
    <d v="2017-06-20T00:00:00"/>
    <x v="3"/>
    <s v="-"/>
    <x v="0"/>
    <s v="Sauvignon"/>
    <x v="0"/>
    <s v="variétal"/>
    <n v="10"/>
    <m/>
    <s v="oui"/>
    <m/>
    <n v="1"/>
    <n v="5"/>
    <n v="5"/>
  </r>
  <r>
    <d v="2017-06-20T00:00:00"/>
    <x v="31"/>
    <s v="Jacques Woloviek"/>
    <x v="0"/>
    <s v="Chardonnay"/>
    <x v="0"/>
    <s v="Petit degré"/>
    <n v="24"/>
    <m/>
    <s v="oui"/>
    <m/>
    <n v="1"/>
    <n v="0.75"/>
    <n v="0.75"/>
  </r>
  <r>
    <d v="2017-06-20T00:00:00"/>
    <x v="31"/>
    <s v="Jacques Woloviek"/>
    <x v="0"/>
    <s v="Chardonnay"/>
    <x v="0"/>
    <s v="riche"/>
    <n v="414"/>
    <m/>
    <s v="oui"/>
    <m/>
    <n v="1"/>
    <n v="0.75"/>
    <n v="0.75"/>
  </r>
  <r>
    <d v="2017-06-20T00:00:00"/>
    <x v="31"/>
    <s v="Jacques Woloviek"/>
    <x v="0"/>
    <s v="Terret"/>
    <x v="0"/>
    <s v="Lot Oc Blanc"/>
    <n v="419"/>
    <m/>
    <s v="oui"/>
    <m/>
    <n v="1"/>
    <n v="0.75"/>
    <n v="0.75"/>
  </r>
  <r>
    <d v="2017-06-20T00:00:00"/>
    <x v="31"/>
    <s v="Jacques Woloviek"/>
    <x v="0"/>
    <s v="Colombard"/>
    <x v="0"/>
    <s v="-"/>
    <n v="189"/>
    <m/>
    <s v="oui"/>
    <m/>
    <n v="1"/>
    <n v="0.75"/>
    <n v="0.75"/>
  </r>
  <r>
    <d v="2017-06-20T00:00:00"/>
    <x v="31"/>
    <s v="Jacques Woloviek"/>
    <x v="0"/>
    <s v="Chardonnay"/>
    <x v="0"/>
    <s v="supérieur"/>
    <n v="329"/>
    <m/>
    <s v="oui"/>
    <m/>
    <n v="1"/>
    <n v="0.75"/>
    <n v="0.75"/>
  </r>
  <r>
    <d v="2017-07-11T00:00:00"/>
    <x v="33"/>
    <s v="-"/>
    <x v="0"/>
    <s v="Oc blanc"/>
    <x v="0"/>
    <s v="Vic"/>
    <s v="-"/>
    <m/>
    <s v="oui"/>
    <s v="70%Vermentino45 + 30% LotSolis"/>
    <n v="2"/>
    <n v="0.75"/>
    <n v="1.5"/>
  </r>
  <r>
    <d v="2017-07-17T00:00:00"/>
    <x v="34"/>
    <s v="Pasquetto"/>
    <x v="0"/>
    <s v="Chardonnay"/>
    <x v="0"/>
    <s v="Lot Solis"/>
    <n v="405"/>
    <m/>
    <s v="oui"/>
    <m/>
    <n v="2"/>
    <n v="0.75"/>
    <n v="1.5"/>
  </r>
  <r>
    <d v="2017-07-18T00:00:00"/>
    <x v="35"/>
    <s v="Pasquetto"/>
    <x v="0"/>
    <s v="Chardonnay"/>
    <x v="0"/>
    <s v="Lot Solis"/>
    <n v="405"/>
    <m/>
    <s v="oui"/>
    <m/>
    <n v="6"/>
    <n v="0.75"/>
    <n v="4.5"/>
  </r>
  <r>
    <d v="2017-07-18T00:00:00"/>
    <x v="2"/>
    <s v="-"/>
    <x v="0"/>
    <s v="VDF Blanc"/>
    <x v="0"/>
    <s v="VDF Sauvignon"/>
    <n v="209"/>
    <m/>
    <s v="oui"/>
    <m/>
    <n v="2"/>
    <n v="0.75"/>
    <n v="1.5"/>
  </r>
  <r>
    <d v="2017-07-28T00:00:00"/>
    <x v="35"/>
    <s v="Pasquetto"/>
    <x v="0"/>
    <s v="VDF Chardonnay"/>
    <x v="0"/>
    <s v="VDF Chardonnay"/>
    <n v="18"/>
    <m/>
    <s v="oui"/>
    <m/>
    <n v="4"/>
    <n v="0.75"/>
    <n v="3"/>
  </r>
  <r>
    <d v="2017-08-07T00:00:00"/>
    <x v="1"/>
    <s v="SP Wines"/>
    <x v="0"/>
    <s v="Muscat"/>
    <x v="0"/>
    <s v="Lot 2"/>
    <s v="-"/>
    <m/>
    <s v="oui"/>
    <s v="30 % C85 + 40% C328 + 30% C84"/>
    <n v="1"/>
    <n v="0.75"/>
    <n v="0.75"/>
  </r>
  <r>
    <d v="2017-08-07T00:00:00"/>
    <x v="1"/>
    <s v="SP Wines"/>
    <x v="0"/>
    <s v="Muscat"/>
    <x v="0"/>
    <s v="-"/>
    <n v="85"/>
    <m/>
    <s v="oui"/>
    <m/>
    <n v="2"/>
    <n v="0.75"/>
    <n v="1.5"/>
  </r>
  <r>
    <d v="2017-08-07T00:00:00"/>
    <x v="1"/>
    <s v="SP Wines"/>
    <x v="0"/>
    <s v="Muscat"/>
    <x v="0"/>
    <s v="Lot 3"/>
    <s v="-"/>
    <m/>
    <s v="oui"/>
    <s v="60% 328 + 40% 84"/>
    <n v="2"/>
    <n v="0.75"/>
    <n v="1.5"/>
  </r>
  <r>
    <d v="2017-09-27T00:00:00"/>
    <x v="2"/>
    <s v="-"/>
    <x v="0"/>
    <s v="Muscat"/>
    <x v="3"/>
    <s v="-"/>
    <n v="313"/>
    <m/>
    <s v="oui"/>
    <m/>
    <n v="2"/>
    <n v="0.75"/>
    <n v="1.5"/>
  </r>
  <r>
    <d v="2017-09-27T00:00:00"/>
    <x v="2"/>
    <s v="-"/>
    <x v="0"/>
    <s v="Muscat"/>
    <x v="3"/>
    <s v="-"/>
    <n v="49"/>
    <m/>
    <s v="oui"/>
    <m/>
    <n v="2"/>
    <n v="0.75"/>
    <n v="1.5"/>
  </r>
  <r>
    <d v="2017-09-27T00:00:00"/>
    <x v="29"/>
    <s v="René Jeanjean"/>
    <x v="0"/>
    <s v="Sauvignon"/>
    <x v="3"/>
    <s v="-"/>
    <n v="124"/>
    <m/>
    <s v="oui"/>
    <m/>
    <n v="10"/>
    <n v="0.75"/>
    <n v="7.5"/>
  </r>
  <r>
    <d v="2017-09-27T00:00:00"/>
    <x v="2"/>
    <s v="-"/>
    <x v="0"/>
    <s v="Sauvignon"/>
    <x v="3"/>
    <s v="-"/>
    <n v="402"/>
    <m/>
    <s v="oui"/>
    <m/>
    <n v="2"/>
    <n v="0.75"/>
    <n v="1.5"/>
  </r>
  <r>
    <d v="2017-09-27T00:00:00"/>
    <x v="2"/>
    <s v="-"/>
    <x v="0"/>
    <s v="Sauvignon"/>
    <x v="3"/>
    <s v="-"/>
    <n v="418"/>
    <m/>
    <s v="oui"/>
    <m/>
    <n v="2"/>
    <n v="0.75"/>
    <n v="1.5"/>
  </r>
  <r>
    <d v="2017-09-27T00:00:00"/>
    <x v="2"/>
    <s v="-"/>
    <x v="0"/>
    <s v="Sauvignon"/>
    <x v="3"/>
    <s v="-"/>
    <n v="420"/>
    <m/>
    <s v="oui"/>
    <m/>
    <n v="2"/>
    <n v="0.75"/>
    <n v="1.5"/>
  </r>
  <r>
    <d v="2017-09-27T00:00:00"/>
    <x v="2"/>
    <s v="-"/>
    <x v="0"/>
    <s v="Sauvignon"/>
    <x v="3"/>
    <s v="-"/>
    <n v="421"/>
    <m/>
    <s v="oui"/>
    <m/>
    <n v="2"/>
    <n v="0.75"/>
    <n v="1.5"/>
  </r>
  <r>
    <d v="2017-09-27T00:00:00"/>
    <x v="2"/>
    <s v="-"/>
    <x v="0"/>
    <s v="Sauvignon"/>
    <x v="3"/>
    <s v="-"/>
    <n v="15"/>
    <m/>
    <s v="oui"/>
    <m/>
    <n v="2"/>
    <n v="0.75"/>
    <n v="1.5"/>
  </r>
  <r>
    <d v="2017-09-27T00:00:00"/>
    <x v="2"/>
    <s v="-"/>
    <x v="0"/>
    <s v="Muscat"/>
    <x v="3"/>
    <s v="-"/>
    <n v="313"/>
    <m/>
    <s v="oui"/>
    <m/>
    <n v="1"/>
    <n v="0.75"/>
    <n v="0.75"/>
  </r>
  <r>
    <d v="2017-09-27T00:00:00"/>
    <x v="2"/>
    <s v="-"/>
    <x v="0"/>
    <s v="Muscat"/>
    <x v="3"/>
    <s v="-"/>
    <n v="49"/>
    <m/>
    <s v="oui"/>
    <m/>
    <n v="1"/>
    <n v="0.75"/>
    <n v="0.75"/>
  </r>
  <r>
    <d v="2017-09-27T00:00:00"/>
    <x v="2"/>
    <s v="-"/>
    <x v="0"/>
    <s v="Muscat"/>
    <x v="3"/>
    <s v="-"/>
    <n v="78"/>
    <m/>
    <s v="oui"/>
    <m/>
    <n v="1"/>
    <n v="0.75"/>
    <n v="0.75"/>
  </r>
  <r>
    <d v="2017-09-27T00:00:00"/>
    <x v="2"/>
    <s v="-"/>
    <x v="0"/>
    <s v="Chardonnay"/>
    <x v="3"/>
    <s v="-"/>
    <n v="413"/>
    <m/>
    <s v="oui"/>
    <m/>
    <n v="2"/>
    <n v="0.75"/>
    <n v="1.5"/>
  </r>
  <r>
    <d v="2017-09-27T00:00:00"/>
    <x v="2"/>
    <s v="-"/>
    <x v="0"/>
    <s v="Chardonnay"/>
    <x v="3"/>
    <s v="-"/>
    <n v="209"/>
    <m/>
    <s v="oui"/>
    <m/>
    <n v="2"/>
    <n v="0.75"/>
    <n v="1.5"/>
  </r>
  <r>
    <d v="2017-09-27T00:00:00"/>
    <x v="10"/>
    <s v="René Jeanjean"/>
    <x v="0"/>
    <s v="Viognier"/>
    <x v="0"/>
    <s v="Ass refresh"/>
    <s v="-"/>
    <m/>
    <s v="oui"/>
    <s v="39% 318 + 21% 192 + 40% 84"/>
    <n v="1"/>
    <n v="0.75"/>
    <n v="0.75"/>
  </r>
  <r>
    <d v="2017-10-02T00:00:00"/>
    <x v="2"/>
    <s v="-"/>
    <x v="0"/>
    <s v="Sauvignon"/>
    <x v="3"/>
    <s v="Ass. Variétal"/>
    <s v="-"/>
    <m/>
    <s v="oui"/>
    <m/>
    <n v="3"/>
    <n v="0.75"/>
    <n v="2.25"/>
  </r>
  <r>
    <d v="2017-10-02T00:00:00"/>
    <x v="2"/>
    <s v="-"/>
    <x v="0"/>
    <s v="Sauvignon"/>
    <x v="3"/>
    <s v="Ass. Classique"/>
    <s v="-"/>
    <m/>
    <s v="oui"/>
    <m/>
    <n v="3"/>
    <n v="0.75"/>
    <n v="2.25"/>
  </r>
  <r>
    <d v="2017-10-02T00:00:00"/>
    <x v="2"/>
    <s v="-"/>
    <x v="0"/>
    <s v="Sauvignon"/>
    <x v="3"/>
    <s v="Ass supérieur"/>
    <s v="-"/>
    <m/>
    <s v="oui"/>
    <m/>
    <n v="3"/>
    <n v="0.75"/>
    <n v="2.25"/>
  </r>
  <r>
    <d v="2017-10-02T00:00:00"/>
    <x v="2"/>
    <s v="-"/>
    <x v="0"/>
    <s v="Chardonnay"/>
    <x v="3"/>
    <s v="Ass. Classique"/>
    <s v="-"/>
    <m/>
    <s v="oui"/>
    <m/>
    <n v="2"/>
    <n v="0.75"/>
    <n v="1.5"/>
  </r>
  <r>
    <d v="2017-10-02T00:00:00"/>
    <x v="2"/>
    <s v="-"/>
    <x v="0"/>
    <s v="Chardonnay"/>
    <x v="3"/>
    <s v="Ass. Variétal"/>
    <s v="-"/>
    <m/>
    <s v="oui"/>
    <m/>
    <n v="2"/>
    <n v="0.75"/>
    <n v="1.5"/>
  </r>
  <r>
    <d v="2017-10-02T00:00:00"/>
    <x v="2"/>
    <s v="-"/>
    <x v="0"/>
    <s v="Chardonnay"/>
    <x v="3"/>
    <s v="Ass supérieur"/>
    <s v="-"/>
    <m/>
    <s v="oui"/>
    <m/>
    <n v="2"/>
    <n v="0.75"/>
    <n v="1.5"/>
  </r>
  <r>
    <d v="2017-10-03T00:00:00"/>
    <x v="1"/>
    <s v="-"/>
    <x v="0"/>
    <s v="Sauvignon"/>
    <x v="3"/>
    <s v="Ass supérieur"/>
    <s v="-"/>
    <m/>
    <s v="oui"/>
    <m/>
    <n v="3"/>
    <n v="0.75"/>
    <n v="2.25"/>
  </r>
  <r>
    <d v="2017-10-05T00:00:00"/>
    <x v="2"/>
    <s v="-"/>
    <x v="2"/>
    <s v="VDF Rouge"/>
    <x v="2"/>
    <s v="Ass 1"/>
    <s v="-"/>
    <m/>
    <s v="oui"/>
    <s v="387 hL Hérault Rouge + 355 hL Cab 2015 + 50 hL Merlot bt 2016 + 50 hL CCF1 Maraval "/>
    <n v="1"/>
    <n v="0.75"/>
    <n v="0.75"/>
  </r>
  <r>
    <d v="2017-10-05T00:00:00"/>
    <x v="2"/>
    <s v="-"/>
    <x v="2"/>
    <s v="VDF Rouge"/>
    <x v="2"/>
    <s v="Ass 2"/>
    <s v="-"/>
    <m/>
    <s v="oui"/>
    <s v="387 hL Hérault Rouge + 255 hL Cab 2015 + 50 hL Merlot bt 2016 + 100 hL CF1"/>
    <n v="1"/>
    <n v="0.75"/>
    <n v="0.75"/>
  </r>
  <r>
    <d v="2017-10-06T00:00:00"/>
    <x v="2"/>
    <s v="-"/>
    <x v="0"/>
    <s v="Sauvignon"/>
    <x v="2"/>
    <s v="Ass. Variétal"/>
    <s v="-"/>
    <m/>
    <s v="oui"/>
    <m/>
    <n v="1"/>
    <n v="0.75"/>
    <n v="0.75"/>
  </r>
  <r>
    <d v="2017-10-09T00:00:00"/>
    <x v="2"/>
    <s v="-"/>
    <x v="0"/>
    <s v="Sauvignon"/>
    <x v="3"/>
    <s v="Ass. Variétal"/>
    <s v="-"/>
    <m/>
    <s v="oui"/>
    <m/>
    <n v="3"/>
    <n v="0.75"/>
    <n v="2.25"/>
  </r>
  <r>
    <d v="2017-10-09T00:00:00"/>
    <x v="2"/>
    <s v="-"/>
    <x v="0"/>
    <s v="Sauvignon"/>
    <x v="3"/>
    <s v="Ass. Classique"/>
    <s v="-"/>
    <m/>
    <s v="oui"/>
    <m/>
    <n v="3"/>
    <n v="0.75"/>
    <n v="2.25"/>
  </r>
  <r>
    <d v="2017-10-09T00:00:00"/>
    <x v="2"/>
    <s v="-"/>
    <x v="0"/>
    <s v="Sauvignon"/>
    <x v="3"/>
    <s v="Ass supérieur"/>
    <s v="-"/>
    <m/>
    <s v="oui"/>
    <m/>
    <n v="3"/>
    <n v="0.75"/>
    <n v="2.25"/>
  </r>
  <r>
    <d v="2017-10-09T00:00:00"/>
    <x v="2"/>
    <s v="-"/>
    <x v="0"/>
    <s v="Chardonnay"/>
    <x v="3"/>
    <s v="Ass. Classique"/>
    <s v="-"/>
    <m/>
    <s v="oui"/>
    <m/>
    <n v="3"/>
    <n v="0.75"/>
    <n v="2.25"/>
  </r>
  <r>
    <d v="2017-10-09T00:00:00"/>
    <x v="2"/>
    <s v="-"/>
    <x v="0"/>
    <s v="Chardonnay"/>
    <x v="3"/>
    <s v="Ass. Variétal"/>
    <s v="-"/>
    <m/>
    <s v="oui"/>
    <m/>
    <n v="3"/>
    <n v="0.75"/>
    <n v="2.25"/>
  </r>
  <r>
    <d v="2017-10-09T00:00:00"/>
    <x v="2"/>
    <s v="-"/>
    <x v="0"/>
    <s v="Chardonnay"/>
    <x v="3"/>
    <s v="Ass supérieur"/>
    <s v="-"/>
    <m/>
    <s v="oui"/>
    <m/>
    <n v="3"/>
    <n v="0.75"/>
    <n v="2.25"/>
  </r>
  <r>
    <d v="2017-10-09T00:00:00"/>
    <x v="2"/>
    <s v="-"/>
    <x v="1"/>
    <s v="Rosé générique"/>
    <x v="3"/>
    <s v="-"/>
    <n v="202"/>
    <m/>
    <s v="oui"/>
    <m/>
    <n v="1"/>
    <n v="0.75"/>
    <n v="0.75"/>
  </r>
  <r>
    <d v="2017-10-09T00:00:00"/>
    <x v="2"/>
    <s v="-"/>
    <x v="0"/>
    <s v="Blanc générique"/>
    <x v="3"/>
    <s v="-"/>
    <n v="197"/>
    <m/>
    <s v="oui"/>
    <m/>
    <n v="1"/>
    <n v="0.75"/>
    <n v="0.75"/>
  </r>
  <r>
    <d v="2017-10-10T00:00:00"/>
    <x v="1"/>
    <s v="Vailhere Pascal"/>
    <x v="0"/>
    <s v="Chardonnay"/>
    <x v="0"/>
    <s v="Riche"/>
    <n v="20"/>
    <m/>
    <s v="oui"/>
    <m/>
    <n v="2"/>
    <n v="0.75"/>
    <n v="1.5"/>
  </r>
  <r>
    <d v="2017-10-10T00:00:00"/>
    <x v="1"/>
    <s v="Vailhere Pascal"/>
    <x v="2"/>
    <s v="Hérault Rouge"/>
    <x v="0"/>
    <s v="Ass solde"/>
    <s v="-"/>
    <m/>
    <s v="oui"/>
    <s v="36% 148 + 30% 154 + 15% CF1 + 5% FK3 + 15% 139"/>
    <n v="1"/>
    <n v="0.75"/>
    <n v="0.75"/>
  </r>
  <r>
    <d v="2017-10-10T00:00:00"/>
    <x v="1"/>
    <s v="SP Wines"/>
    <x v="2"/>
    <s v="Hérault Rouge"/>
    <x v="0"/>
    <s v="Ass solde"/>
    <s v="-"/>
    <m/>
    <s v="oui"/>
    <s v="36% 148 + 30% 154 + 15% CF1 + 5% FK3 + 15% 139"/>
    <n v="1"/>
    <n v="0.75"/>
    <n v="0.75"/>
  </r>
  <r>
    <d v="2017-10-11T00:00:00"/>
    <x v="1"/>
    <s v="Olivier Castillo"/>
    <x v="0"/>
    <s v="Chardonnay"/>
    <x v="3"/>
    <s v="Ass. Classique"/>
    <s v="-"/>
    <m/>
    <s v="oui"/>
    <m/>
    <n v="3"/>
    <n v="0.75"/>
    <n v="2.25"/>
  </r>
  <r>
    <d v="2017-10-11T00:00:00"/>
    <x v="1"/>
    <s v="Olivier Castillo"/>
    <x v="0"/>
    <s v="Chardonnay"/>
    <x v="3"/>
    <s v="Ass. Variétal"/>
    <s v="-"/>
    <m/>
    <s v="oui"/>
    <m/>
    <n v="3"/>
    <n v="0.75"/>
    <n v="2.25"/>
  </r>
  <r>
    <d v="2017-10-11T00:00:00"/>
    <x v="1"/>
    <s v="Olivier Castillo"/>
    <x v="0"/>
    <s v="Sauvignon"/>
    <x v="3"/>
    <s v="Ass. Classique"/>
    <s v="-"/>
    <m/>
    <s v="oui"/>
    <m/>
    <n v="3"/>
    <n v="0.75"/>
    <n v="2.25"/>
  </r>
  <r>
    <d v="2017-10-12T00:00:00"/>
    <x v="1"/>
    <s v="Vailhere Pascal"/>
    <x v="0"/>
    <s v="Muscat"/>
    <x v="3"/>
    <s v="Lot Petit degré"/>
    <s v="-"/>
    <m/>
    <s v="oui"/>
    <s v="50% 79 + 50% 313"/>
    <n v="2"/>
    <n v="0.75"/>
    <n v="1.5"/>
  </r>
  <r>
    <d v="2017-10-12T00:00:00"/>
    <x v="5"/>
    <m/>
    <x v="1"/>
    <s v="Merlot"/>
    <x v="3"/>
    <s v="-"/>
    <n v="206"/>
    <m/>
    <s v="oui"/>
    <m/>
    <n v="6"/>
    <n v="0.75"/>
    <n v="4.5"/>
  </r>
  <r>
    <d v="2017-10-12T00:00:00"/>
    <x v="2"/>
    <m/>
    <x v="0"/>
    <s v="Muscat"/>
    <x v="3"/>
    <s v="-"/>
    <n v="48"/>
    <m/>
    <s v="oui"/>
    <m/>
    <n v="1"/>
    <n v="0.75"/>
    <n v="0.75"/>
  </r>
  <r>
    <d v="2017-10-12T00:00:00"/>
    <x v="2"/>
    <m/>
    <x v="0"/>
    <s v="Muscat"/>
    <x v="3"/>
    <s v="-"/>
    <n v="49"/>
    <m/>
    <s v="oui"/>
    <m/>
    <n v="1"/>
    <n v="0.75"/>
    <n v="0.75"/>
  </r>
  <r>
    <d v="2017-10-12T00:00:00"/>
    <x v="2"/>
    <m/>
    <x v="0"/>
    <s v="Muscat"/>
    <x v="3"/>
    <s v="-"/>
    <n v="313"/>
    <m/>
    <s v="oui"/>
    <m/>
    <n v="1"/>
    <n v="0.75"/>
    <n v="0.75"/>
  </r>
  <r>
    <d v="2017-10-12T00:00:00"/>
    <x v="1"/>
    <s v="San Nicolas"/>
    <x v="0"/>
    <s v="Chardonnay"/>
    <x v="3"/>
    <s v="classique"/>
    <s v="-"/>
    <m/>
    <s v="oui"/>
    <m/>
    <n v="2"/>
    <n v="0.75"/>
    <n v="1.5"/>
  </r>
  <r>
    <d v="2017-10-12T00:00:00"/>
    <x v="1"/>
    <s v="San Nicolas"/>
    <x v="0"/>
    <s v="Chardonnay"/>
    <x v="3"/>
    <s v="variétal"/>
    <s v="-"/>
    <m/>
    <s v="oui"/>
    <m/>
    <n v="1"/>
    <n v="0.75"/>
    <n v="0.75"/>
  </r>
  <r>
    <d v="2017-10-12T00:00:00"/>
    <x v="1"/>
    <s v="San Nicolas"/>
    <x v="0"/>
    <s v="Chardonnay"/>
    <x v="3"/>
    <s v="supérieur"/>
    <s v="-"/>
    <m/>
    <s v="oui"/>
    <m/>
    <n v="2"/>
    <n v="0.75"/>
    <n v="1.5"/>
  </r>
  <r>
    <d v="2017-10-12T00:00:00"/>
    <x v="1"/>
    <s v="San Nicolas"/>
    <x v="0"/>
    <s v="Sauvignon"/>
    <x v="3"/>
    <s v="classique"/>
    <s v="-"/>
    <m/>
    <s v="oui"/>
    <m/>
    <n v="2"/>
    <n v="0.75"/>
    <n v="1.5"/>
  </r>
  <r>
    <d v="2017-10-12T00:00:00"/>
    <x v="1"/>
    <s v="San Nicolas"/>
    <x v="0"/>
    <s v="Sauvignon"/>
    <x v="3"/>
    <s v="variétal"/>
    <s v="-"/>
    <m/>
    <s v="oui"/>
    <m/>
    <n v="2"/>
    <n v="0.75"/>
    <n v="1.5"/>
  </r>
  <r>
    <d v="2017-10-12T00:00:00"/>
    <x v="1"/>
    <s v="San Nicolas"/>
    <x v="0"/>
    <s v="Viognier"/>
    <x v="3"/>
    <s v="-"/>
    <n v="6"/>
    <m/>
    <s v="oui"/>
    <m/>
    <n v="2"/>
    <n v="0.75"/>
    <n v="1.5"/>
  </r>
  <r>
    <d v="2017-10-16T00:00:00"/>
    <x v="1"/>
    <s v="René Jeanjean"/>
    <x v="0"/>
    <s v="Chardonnay"/>
    <x v="3"/>
    <s v="Petit degré"/>
    <s v="NP68"/>
    <m/>
    <s v="oui"/>
    <m/>
    <n v="3"/>
    <n v="0.75"/>
    <n v="2.25"/>
  </r>
  <r>
    <d v="2017-10-16T00:00:00"/>
    <x v="1"/>
    <s v="TWS"/>
    <x v="0"/>
    <s v="Muscat"/>
    <x v="3"/>
    <s v="-"/>
    <n v="49"/>
    <m/>
    <s v="oui"/>
    <m/>
    <n v="3"/>
    <n v="0.75"/>
    <n v="2.25"/>
  </r>
  <r>
    <d v="2017-10-16T00:00:00"/>
    <x v="1"/>
    <s v="TWS"/>
    <x v="0"/>
    <s v="Muscat"/>
    <x v="3"/>
    <s v="-"/>
    <n v="313"/>
    <m/>
    <s v="oui"/>
    <m/>
    <n v="3"/>
    <n v="0.75"/>
    <n v="2.25"/>
  </r>
  <r>
    <d v="2017-10-16T00:00:00"/>
    <x v="2"/>
    <m/>
    <x v="0"/>
    <s v="Terret"/>
    <x v="3"/>
    <s v="-"/>
    <n v="197"/>
    <m/>
    <s v="oui"/>
    <m/>
    <n v="2"/>
    <n v="0.75"/>
    <n v="1.5"/>
  </r>
  <r>
    <d v="2017-10-16T00:00:00"/>
    <x v="2"/>
    <m/>
    <x v="0"/>
    <s v="Terret"/>
    <x v="3"/>
    <s v="-"/>
    <n v="201"/>
    <m/>
    <s v="oui"/>
    <m/>
    <n v="2"/>
    <n v="0.75"/>
    <n v="1.5"/>
  </r>
  <r>
    <d v="2017-10-16T00:00:00"/>
    <x v="2"/>
    <m/>
    <x v="1"/>
    <s v="Rosé générique"/>
    <x v="3"/>
    <s v="-"/>
    <n v="202"/>
    <m/>
    <s v="oui"/>
    <m/>
    <n v="2"/>
    <n v="0.75"/>
    <n v="1.5"/>
  </r>
  <r>
    <d v="2017-10-16T00:00:00"/>
    <x v="2"/>
    <m/>
    <x v="0"/>
    <s v="Muscat"/>
    <x v="3"/>
    <s v="-"/>
    <n v="49"/>
    <m/>
    <s v="oui"/>
    <m/>
    <n v="2"/>
    <n v="0.75"/>
    <n v="1.5"/>
  </r>
  <r>
    <d v="2017-10-16T00:00:00"/>
    <x v="2"/>
    <m/>
    <x v="0"/>
    <s v="Muscat"/>
    <x v="3"/>
    <s v="-"/>
    <n v="313"/>
    <m/>
    <s v="oui"/>
    <m/>
    <n v="2"/>
    <n v="0.75"/>
    <n v="1.5"/>
  </r>
  <r>
    <d v="2017-10-16T00:00:00"/>
    <x v="2"/>
    <m/>
    <x v="0"/>
    <s v="Viognier"/>
    <x v="3"/>
    <s v="-"/>
    <n v="6"/>
    <m/>
    <s v="oui"/>
    <m/>
    <n v="2"/>
    <n v="0.75"/>
    <n v="1.5"/>
  </r>
  <r>
    <d v="2017-10-16T00:00:00"/>
    <x v="2"/>
    <m/>
    <x v="0"/>
    <s v="Viognier"/>
    <x v="3"/>
    <s v="-"/>
    <n v="78"/>
    <m/>
    <s v="oui"/>
    <m/>
    <n v="2"/>
    <n v="0.75"/>
    <n v="1.5"/>
  </r>
  <r>
    <d v="2017-10-16T00:00:00"/>
    <x v="2"/>
    <m/>
    <x v="0"/>
    <s v="Chardonnay"/>
    <x v="3"/>
    <s v="classique"/>
    <s v="-"/>
    <m/>
    <s v="oui"/>
    <m/>
    <n v="3"/>
    <n v="0.75"/>
    <n v="2.25"/>
  </r>
  <r>
    <d v="2017-10-16T00:00:00"/>
    <x v="2"/>
    <m/>
    <x v="0"/>
    <s v="Chardonnay"/>
    <x v="3"/>
    <s v="variétal"/>
    <s v="-"/>
    <m/>
    <s v="oui"/>
    <m/>
    <n v="3"/>
    <n v="0.75"/>
    <n v="2.25"/>
  </r>
  <r>
    <d v="2017-10-16T00:00:00"/>
    <x v="2"/>
    <m/>
    <x v="0"/>
    <s v="Chardonnay"/>
    <x v="3"/>
    <s v="supérieur"/>
    <s v="-"/>
    <m/>
    <s v="oui"/>
    <m/>
    <n v="3"/>
    <n v="0.75"/>
    <n v="2.25"/>
  </r>
  <r>
    <d v="2017-10-16T00:00:00"/>
    <x v="2"/>
    <m/>
    <x v="0"/>
    <s v="Sauvignon"/>
    <x v="3"/>
    <s v="classique"/>
    <s v="-"/>
    <m/>
    <s v="oui"/>
    <m/>
    <n v="3"/>
    <n v="0.75"/>
    <n v="2.25"/>
  </r>
  <r>
    <d v="2017-10-16T00:00:00"/>
    <x v="2"/>
    <m/>
    <x v="0"/>
    <s v="Sauvignon"/>
    <x v="3"/>
    <s v="variétal"/>
    <s v="-"/>
    <m/>
    <s v="oui"/>
    <m/>
    <n v="2"/>
    <n v="0.75"/>
    <n v="1.5"/>
  </r>
  <r>
    <d v="2017-10-17T00:00:00"/>
    <x v="36"/>
    <s v="SP Wines"/>
    <x v="0"/>
    <s v="Viognier"/>
    <x v="3"/>
    <s v="-"/>
    <n v="6"/>
    <m/>
    <s v="oui"/>
    <m/>
    <n v="2"/>
    <n v="0.75"/>
    <n v="1.5"/>
  </r>
  <r>
    <d v="2017-10-17T00:00:00"/>
    <x v="36"/>
    <s v="SP Wines"/>
    <x v="0"/>
    <s v="Viognier"/>
    <x v="3"/>
    <s v="-"/>
    <n v="78"/>
    <m/>
    <s v="oui"/>
    <m/>
    <n v="2"/>
    <n v="0.75"/>
    <n v="1.5"/>
  </r>
  <r>
    <d v="2017-10-17T00:00:00"/>
    <x v="36"/>
    <s v="SP Wines"/>
    <x v="0"/>
    <s v="Viognier"/>
    <x v="3"/>
    <s v="-"/>
    <n v="54"/>
    <m/>
    <s v="oui"/>
    <m/>
    <n v="2"/>
    <n v="0.75"/>
    <n v="1.5"/>
  </r>
  <r>
    <d v="2017-10-17T00:00:00"/>
    <x v="36"/>
    <s v="SP Wines"/>
    <x v="0"/>
    <s v="Viognier"/>
    <x v="3"/>
    <s v="-"/>
    <n v="84"/>
    <m/>
    <s v="oui"/>
    <m/>
    <n v="2"/>
    <n v="0.75"/>
    <n v="1.5"/>
  </r>
  <r>
    <d v="2017-10-17T00:00:00"/>
    <x v="36"/>
    <s v="SP Wines"/>
    <x v="0"/>
    <s v="Vermentino"/>
    <x v="3"/>
    <s v="-"/>
    <n v="80"/>
    <m/>
    <s v="oui"/>
    <m/>
    <n v="2"/>
    <n v="0.75"/>
    <n v="1.5"/>
  </r>
  <r>
    <d v="2017-10-17T00:00:00"/>
    <x v="36"/>
    <s v="SP Wines"/>
    <x v="0"/>
    <s v="Vermentino"/>
    <x v="3"/>
    <s v="-"/>
    <n v="26"/>
    <m/>
    <s v="oui"/>
    <m/>
    <n v="2"/>
    <n v="0.75"/>
    <n v="1.5"/>
  </r>
  <r>
    <d v="2017-10-17T00:00:00"/>
    <x v="25"/>
    <s v="SP Wines"/>
    <x v="0"/>
    <s v="Chardonnay"/>
    <x v="3"/>
    <s v="classique"/>
    <s v="-"/>
    <m/>
    <s v="oui"/>
    <m/>
    <n v="2"/>
    <n v="0.75"/>
    <n v="1.5"/>
  </r>
  <r>
    <d v="2017-10-17T00:00:00"/>
    <x v="25"/>
    <s v="SP Wines"/>
    <x v="0"/>
    <s v="Chardonnay"/>
    <x v="3"/>
    <s v="variétal"/>
    <s v="-"/>
    <m/>
    <s v="oui"/>
    <m/>
    <n v="2"/>
    <n v="0.75"/>
    <n v="1.5"/>
  </r>
  <r>
    <d v="2017-10-17T00:00:00"/>
    <x v="25"/>
    <s v="SP Wines"/>
    <x v="0"/>
    <s v="Chardonnay"/>
    <x v="3"/>
    <s v="supérieur"/>
    <s v="-"/>
    <m/>
    <s v="oui"/>
    <m/>
    <n v="2"/>
    <n v="0.75"/>
    <n v="1.5"/>
  </r>
  <r>
    <d v="2017-10-17T00:00:00"/>
    <x v="37"/>
    <s v="Murphy winecompany"/>
    <x v="0"/>
    <s v="Chardonnay"/>
    <x v="3"/>
    <s v="Petit degré"/>
    <s v="-"/>
    <m/>
    <s v="oui"/>
    <s v="Nommé Lot 1 Petit degré"/>
    <n v="1"/>
    <n v="0.75"/>
    <n v="0.75"/>
  </r>
  <r>
    <d v="2017-10-17T00:00:00"/>
    <x v="37"/>
    <s v="Murphy winecompany"/>
    <x v="0"/>
    <s v="Chardonnay"/>
    <x v="3"/>
    <s v="Petit degré Lot 2"/>
    <s v="-"/>
    <m/>
    <s v="oui"/>
    <s v="Lot 2 = 70% Lot Petit degré + 30% Lot classique"/>
    <n v="1"/>
    <n v="0.75"/>
    <n v="0.75"/>
  </r>
  <r>
    <d v="2017-10-17T00:00:00"/>
    <x v="37"/>
    <s v="Murphy winecompany"/>
    <x v="0"/>
    <s v="Chardonnay"/>
    <x v="3"/>
    <s v="variétal"/>
    <s v="-"/>
    <m/>
    <s v="oui"/>
    <m/>
    <n v="1"/>
    <n v="0.75"/>
    <n v="0.75"/>
  </r>
  <r>
    <d v="2017-10-17T00:00:00"/>
    <x v="37"/>
    <s v="Murphy winecompany"/>
    <x v="0"/>
    <s v="Chardonnay"/>
    <x v="3"/>
    <s v="supérieur"/>
    <s v="-"/>
    <m/>
    <s v="oui"/>
    <m/>
    <n v="1"/>
    <n v="0.75"/>
    <n v="0.75"/>
  </r>
  <r>
    <d v="2017-10-17T00:00:00"/>
    <x v="37"/>
    <s v="Murphy winecompany"/>
    <x v="1"/>
    <s v="Oc Rosé"/>
    <x v="3"/>
    <s v="Lot 1"/>
    <s v="-"/>
    <m/>
    <s v="oui"/>
    <s v="60% 202 (Rosé trad) + 40 % 65 (Caladoc)"/>
    <n v="1"/>
    <n v="0.75"/>
    <n v="0.75"/>
  </r>
  <r>
    <d v="2017-10-17T00:00:00"/>
    <x v="37"/>
    <s v="Murphy winecompany"/>
    <x v="1"/>
    <s v="Oc Rosé"/>
    <x v="3"/>
    <s v="Lot 2"/>
    <s v="-"/>
    <m/>
    <s v="oui"/>
    <s v="75 % 202 (Rosé trad) + 25% 65 (Caladoc)"/>
    <n v="1"/>
    <n v="0.75"/>
    <n v="0.75"/>
  </r>
  <r>
    <d v="2017-10-17T00:00:00"/>
    <x v="38"/>
    <s v="Murphy winecompany"/>
    <x v="1"/>
    <s v="Thau Rosé"/>
    <x v="3"/>
    <s v="-"/>
    <n v="202"/>
    <m/>
    <s v="oui"/>
    <m/>
    <n v="3"/>
    <n v="0.75"/>
    <n v="2.25"/>
  </r>
  <r>
    <d v="2017-10-18T00:00:00"/>
    <x v="1"/>
    <s v="Gilles Lambert"/>
    <x v="0"/>
    <s v="Sauvignon"/>
    <x v="3"/>
    <s v="classique"/>
    <s v="-"/>
    <m/>
    <s v="oui"/>
    <m/>
    <n v="2"/>
    <n v="0.75"/>
    <n v="1.5"/>
  </r>
  <r>
    <d v="2017-10-18T00:00:00"/>
    <x v="1"/>
    <s v="Gilles Lambert"/>
    <x v="0"/>
    <s v="Chardonnay"/>
    <x v="3"/>
    <s v="classique"/>
    <n v="75"/>
    <m/>
    <s v="oui"/>
    <m/>
    <n v="2"/>
    <n v="0.75"/>
    <n v="1.5"/>
  </r>
  <r>
    <d v="2017-10-18T00:00:00"/>
    <x v="1"/>
    <s v="Gilles Lambert"/>
    <x v="0"/>
    <s v="Chardonnay"/>
    <x v="3"/>
    <s v="variétal"/>
    <s v="-"/>
    <m/>
    <s v="oui"/>
    <m/>
    <n v="2"/>
    <n v="0.75"/>
    <n v="1.5"/>
  </r>
  <r>
    <d v="2017-10-19T00:00:00"/>
    <x v="38"/>
    <s v="Murphy winecompany"/>
    <x v="1"/>
    <s v="Thau Rosé"/>
    <x v="3"/>
    <s v="Lot Prov"/>
    <s v="-"/>
    <m/>
    <s v="oui"/>
    <s v="Lot Rosé pâle défini le 19/10/2017"/>
    <n v="4"/>
    <n v="0.75"/>
    <n v="3"/>
  </r>
  <r>
    <d v="2017-10-19T00:00:00"/>
    <x v="5"/>
    <s v="-"/>
    <x v="0"/>
    <s v="Sauvignon"/>
    <x v="3"/>
    <s v="variétal"/>
    <n v="423"/>
    <m/>
    <s v="oui"/>
    <m/>
    <n v="2"/>
    <n v="0.75"/>
    <n v="1.5"/>
  </r>
  <r>
    <d v="2017-10-19T00:00:00"/>
    <x v="39"/>
    <s v="SP Wines"/>
    <x v="1"/>
    <s v="VDF Rosé"/>
    <x v="3"/>
    <s v="Lot Prov"/>
    <s v="-"/>
    <m/>
    <s v="oui"/>
    <s v="Lot Rosé pâle défini le 19/10/2017"/>
    <n v="2"/>
    <n v="0.75"/>
    <n v="1.5"/>
  </r>
  <r>
    <d v="2017-10-20T00:00:00"/>
    <x v="9"/>
    <s v="Jacques Woloviek"/>
    <x v="1"/>
    <s v="Rosé générique"/>
    <x v="3"/>
    <s v="Lot 1"/>
    <s v="-"/>
    <m/>
    <s v="oui"/>
    <s v="Lot Prov"/>
    <n v="6"/>
    <n v="0.75"/>
    <n v="4.5"/>
  </r>
  <r>
    <d v="2017-10-20T00:00:00"/>
    <x v="9"/>
    <s v="Jacques Woloviek"/>
    <x v="1"/>
    <s v="Rosé générique"/>
    <x v="3"/>
    <s v="Lot 2"/>
    <s v="-"/>
    <m/>
    <s v="oui"/>
    <s v="Lot Hérault"/>
    <n v="6"/>
    <n v="0.75"/>
    <n v="4.5"/>
  </r>
  <r>
    <d v="2017-10-23T00:00:00"/>
    <x v="9"/>
    <s v="Jacques Woloviek"/>
    <x v="0"/>
    <s v="Muscat"/>
    <x v="3"/>
    <s v="-"/>
    <n v="313"/>
    <m/>
    <s v="oui"/>
    <m/>
    <n v="6"/>
    <n v="0.75"/>
    <n v="4.5"/>
  </r>
  <r>
    <d v="2017-10-23T00:00:00"/>
    <x v="9"/>
    <s v="Jacques Woloviek"/>
    <x v="0"/>
    <s v="Muscat"/>
    <x v="3"/>
    <s v="-"/>
    <n v="79"/>
    <m/>
    <s v="oui"/>
    <m/>
    <n v="6"/>
    <n v="0.75"/>
    <n v="4.5"/>
  </r>
  <r>
    <d v="2017-10-23T00:00:00"/>
    <x v="4"/>
    <s v="-"/>
    <x v="0"/>
    <s v="Chardonnay"/>
    <x v="3"/>
    <s v="classique"/>
    <n v="14"/>
    <m/>
    <s v="oui"/>
    <m/>
    <n v="2"/>
    <n v="0.75"/>
    <n v="1.5"/>
  </r>
  <r>
    <d v="2017-10-23T00:00:00"/>
    <x v="4"/>
    <s v="-"/>
    <x v="0"/>
    <s v="Chardonnay"/>
    <x v="3"/>
    <s v="variétal"/>
    <s v="-"/>
    <m/>
    <s v="oui"/>
    <m/>
    <n v="2"/>
    <n v="0.75"/>
    <n v="1.5"/>
  </r>
  <r>
    <d v="2017-10-23T00:00:00"/>
    <x v="4"/>
    <s v="-"/>
    <x v="0"/>
    <s v="Chardonnay"/>
    <x v="3"/>
    <s v="supérieur"/>
    <s v="-"/>
    <m/>
    <s v="oui"/>
    <m/>
    <n v="2"/>
    <n v="0.75"/>
    <n v="1.5"/>
  </r>
  <r>
    <d v="2017-10-23T00:00:00"/>
    <x v="4"/>
    <s v="-"/>
    <x v="0"/>
    <s v="Sauvignon"/>
    <x v="3"/>
    <s v="classique"/>
    <s v="-"/>
    <m/>
    <s v="oui"/>
    <m/>
    <n v="2"/>
    <n v="0.75"/>
    <n v="1.5"/>
  </r>
  <r>
    <d v="2017-10-23T00:00:00"/>
    <x v="4"/>
    <s v="-"/>
    <x v="1"/>
    <s v="Rosé générique"/>
    <x v="3"/>
    <s v="Lot 1"/>
    <s v="-"/>
    <m/>
    <s v="oui"/>
    <s v="Lot Prov"/>
    <n v="2"/>
    <n v="0.75"/>
    <n v="1.5"/>
  </r>
  <r>
    <d v="2017-10-23T00:00:00"/>
    <x v="4"/>
    <s v="-"/>
    <x v="1"/>
    <s v="Rosé générique"/>
    <x v="3"/>
    <s v="Lot 2"/>
    <s v="-"/>
    <m/>
    <s v="oui"/>
    <s v="Lot Hérault"/>
    <n v="2"/>
    <n v="0.75"/>
    <n v="1.5"/>
  </r>
  <r>
    <d v="2017-10-23T00:00:00"/>
    <x v="3"/>
    <s v="-"/>
    <x v="0"/>
    <s v="Sauvignon"/>
    <x v="3"/>
    <s v="classique"/>
    <s v="-"/>
    <m/>
    <s v="oui"/>
    <m/>
    <n v="2"/>
    <n v="0.75"/>
    <n v="1.5"/>
  </r>
  <r>
    <d v="2017-10-23T00:00:00"/>
    <x v="3"/>
    <s v="-"/>
    <x v="0"/>
    <s v="Chardonnay"/>
    <x v="3"/>
    <s v="classique"/>
    <s v="-"/>
    <m/>
    <s v="oui"/>
    <m/>
    <n v="1"/>
    <n v="0.75"/>
    <n v="0.75"/>
  </r>
  <r>
    <d v="2017-10-23T00:00:00"/>
    <x v="3"/>
    <s v="-"/>
    <x v="0"/>
    <s v="Chardonnay"/>
    <x v="3"/>
    <s v="variétal"/>
    <s v="-"/>
    <m/>
    <s v="oui"/>
    <m/>
    <n v="2"/>
    <n v="0.75"/>
    <n v="1.5"/>
  </r>
  <r>
    <d v="2017-10-23T00:00:00"/>
    <x v="3"/>
    <s v="-"/>
    <x v="0"/>
    <s v="Muscat"/>
    <x v="3"/>
    <s v="-"/>
    <n v="313"/>
    <m/>
    <s v="oui"/>
    <m/>
    <n v="2"/>
    <n v="0.75"/>
    <n v="1.5"/>
  </r>
  <r>
    <d v="2017-10-23T00:00:00"/>
    <x v="3"/>
    <s v="-"/>
    <x v="0"/>
    <s v="Viognier"/>
    <x v="3"/>
    <s v="-"/>
    <s v="-"/>
    <m/>
    <s v="oui"/>
    <s v="400 hL 6 + 300 hL 78"/>
    <n v="2"/>
    <n v="0.75"/>
    <n v="1.5"/>
  </r>
  <r>
    <d v="2017-10-24T00:00:00"/>
    <x v="2"/>
    <s v="-"/>
    <x v="0"/>
    <s v="Chardonnay"/>
    <x v="3"/>
    <s v="classique"/>
    <n v="14"/>
    <m/>
    <s v="oui"/>
    <m/>
    <n v="4"/>
    <n v="0.75"/>
    <n v="3"/>
  </r>
  <r>
    <d v="2017-10-24T00:00:00"/>
    <x v="2"/>
    <s v="-"/>
    <x v="0"/>
    <s v="Chardonnay"/>
    <x v="3"/>
    <s v="variétal"/>
    <s v="-"/>
    <m/>
    <s v="oui"/>
    <m/>
    <n v="2"/>
    <n v="0.75"/>
    <n v="1.5"/>
  </r>
  <r>
    <d v="2017-10-24T00:00:00"/>
    <x v="2"/>
    <s v="-"/>
    <x v="0"/>
    <s v="Chardonnay"/>
    <x v="3"/>
    <s v="supérieur"/>
    <s v="-"/>
    <m/>
    <s v="oui"/>
    <m/>
    <n v="4"/>
    <n v="0.75"/>
    <n v="3"/>
  </r>
  <r>
    <d v="2017-10-24T00:00:00"/>
    <x v="2"/>
    <s v="-"/>
    <x v="0"/>
    <s v="Sauvignon"/>
    <x v="3"/>
    <s v="classique"/>
    <s v="-"/>
    <m/>
    <s v="oui"/>
    <m/>
    <n v="2"/>
    <n v="0.75"/>
    <n v="1.5"/>
  </r>
  <r>
    <d v="2017-10-24T00:00:00"/>
    <x v="2"/>
    <s v="-"/>
    <x v="0"/>
    <s v="Sauvignon"/>
    <x v="3"/>
    <s v="variétal"/>
    <n v="423"/>
    <m/>
    <s v="oui"/>
    <m/>
    <n v="2"/>
    <n v="0.75"/>
    <n v="1.5"/>
  </r>
  <r>
    <d v="2017-10-24T00:00:00"/>
    <x v="2"/>
    <s v="-"/>
    <x v="0"/>
    <s v="Viognier"/>
    <x v="3"/>
    <s v="boisé"/>
    <n v="318"/>
    <m/>
    <s v="oui"/>
    <m/>
    <n v="2"/>
    <n v="0.75"/>
    <n v="1.5"/>
  </r>
  <r>
    <d v="2017-10-24T00:00:00"/>
    <x v="2"/>
    <s v="-"/>
    <x v="0"/>
    <s v="Viognier"/>
    <x v="3"/>
    <s v="-"/>
    <n v="78"/>
    <m/>
    <s v="oui"/>
    <m/>
    <n v="1"/>
    <n v="0.75"/>
    <n v="0.75"/>
  </r>
  <r>
    <d v="2017-10-24T00:00:00"/>
    <x v="2"/>
    <s v="-"/>
    <x v="0"/>
    <s v="Viognier"/>
    <x v="3"/>
    <s v="-"/>
    <n v="6"/>
    <m/>
    <s v="oui"/>
    <m/>
    <n v="1"/>
    <n v="0.75"/>
    <n v="0.75"/>
  </r>
  <r>
    <d v="2017-10-24T00:00:00"/>
    <x v="2"/>
    <s v="-"/>
    <x v="0"/>
    <s v="Viognier"/>
    <x v="3"/>
    <s v="-"/>
    <n v="84"/>
    <m/>
    <s v="oui"/>
    <m/>
    <n v="1"/>
    <n v="0.75"/>
    <n v="0.75"/>
  </r>
  <r>
    <d v="2017-10-24T00:00:00"/>
    <x v="1"/>
    <s v="San Nicolas"/>
    <x v="0"/>
    <s v="Oc blanc"/>
    <x v="3"/>
    <s v="Oc Blanc"/>
    <s v="-"/>
    <m/>
    <s v="oui"/>
    <m/>
    <n v="1"/>
    <n v="0.75"/>
    <n v="0.75"/>
  </r>
  <r>
    <d v="2017-10-24T00:00:00"/>
    <x v="1"/>
    <s v="San Nicolas"/>
    <x v="0"/>
    <s v="Sauvignon"/>
    <x v="3"/>
    <s v="classique"/>
    <s v="-"/>
    <m/>
    <s v="oui"/>
    <m/>
    <n v="2"/>
    <n v="0.75"/>
    <n v="1.5"/>
  </r>
  <r>
    <d v="2017-10-24T00:00:00"/>
    <x v="1"/>
    <s v="San Nicolas"/>
    <x v="0"/>
    <s v="Chardonnay"/>
    <x v="3"/>
    <s v="classique"/>
    <s v="-"/>
    <m/>
    <s v="oui"/>
    <m/>
    <n v="2"/>
    <n v="0.75"/>
    <n v="1.5"/>
  </r>
  <r>
    <d v="2017-10-24T00:00:00"/>
    <x v="1"/>
    <s v="San Nicolas"/>
    <x v="0"/>
    <s v="Chardonnay"/>
    <x v="3"/>
    <s v="variétal"/>
    <s v="-"/>
    <m/>
    <s v="oui"/>
    <m/>
    <n v="2"/>
    <n v="0.75"/>
    <n v="1.5"/>
  </r>
  <r>
    <d v="2017-10-24T00:00:00"/>
    <x v="1"/>
    <s v="San Nicolas"/>
    <x v="0"/>
    <s v="Chardonnay"/>
    <x v="3"/>
    <s v="supérieur"/>
    <s v="-"/>
    <m/>
    <s v="oui"/>
    <m/>
    <n v="2"/>
    <n v="0.75"/>
    <n v="1.5"/>
  </r>
  <r>
    <d v="2017-10-24T00:00:00"/>
    <x v="1"/>
    <s v="San Nicolas"/>
    <x v="1"/>
    <s v="Rosé générique"/>
    <x v="3"/>
    <s v="Lot 1"/>
    <s v="-"/>
    <m/>
    <s v="oui"/>
    <m/>
    <n v="2"/>
    <n v="0.75"/>
    <n v="1.5"/>
  </r>
  <r>
    <d v="2017-10-25T00:00:00"/>
    <x v="7"/>
    <s v="-"/>
    <x v="0"/>
    <s v="Sauvignon"/>
    <x v="3"/>
    <s v="classique"/>
    <s v="-"/>
    <m/>
    <s v="oui"/>
    <m/>
    <n v="1"/>
    <n v="0.75"/>
    <n v="0.75"/>
  </r>
  <r>
    <d v="2017-10-25T00:00:00"/>
    <x v="7"/>
    <s v="-"/>
    <x v="0"/>
    <s v="Sauvignon"/>
    <x v="3"/>
    <s v="variétal"/>
    <n v="423"/>
    <m/>
    <s v="oui"/>
    <m/>
    <n v="1"/>
    <n v="0.75"/>
    <n v="0.75"/>
  </r>
  <r>
    <d v="2017-10-25T00:00:00"/>
    <x v="7"/>
    <s v="-"/>
    <x v="0"/>
    <s v="Sauvignon"/>
    <x v="3"/>
    <s v="supérieur"/>
    <s v="-"/>
    <m/>
    <s v="oui"/>
    <m/>
    <n v="1"/>
    <n v="0.75"/>
    <n v="0.75"/>
  </r>
  <r>
    <d v="2017-10-25T00:00:00"/>
    <x v="7"/>
    <s v="-"/>
    <x v="0"/>
    <s v="Blanc générique"/>
    <x v="3"/>
    <s v="Oc Blanc"/>
    <s v="-"/>
    <m/>
    <s v="oui"/>
    <m/>
    <n v="1"/>
    <n v="0.75"/>
    <n v="0.75"/>
  </r>
  <r>
    <d v="2017-10-25T00:00:00"/>
    <x v="7"/>
    <s v="-"/>
    <x v="1"/>
    <s v="Rosé générique"/>
    <x v="3"/>
    <s v="Lot 1"/>
    <s v="-"/>
    <m/>
    <s v="oui"/>
    <m/>
    <n v="1"/>
    <n v="0.75"/>
    <n v="0.75"/>
  </r>
  <r>
    <d v="2017-10-26T00:00:00"/>
    <x v="40"/>
    <s v="SP Wines"/>
    <x v="1"/>
    <s v="Rosé générique"/>
    <x v="3"/>
    <s v="Lot 1"/>
    <s v="-"/>
    <m/>
    <s v="oui"/>
    <m/>
    <n v="2"/>
    <n v="0.75"/>
    <n v="1.5"/>
  </r>
  <r>
    <d v="2017-10-26T00:00:00"/>
    <x v="40"/>
    <s v="SP Wines"/>
    <x v="0"/>
    <s v="Chardonnay"/>
    <x v="3"/>
    <s v="supérieur"/>
    <s v="-"/>
    <m/>
    <s v="oui"/>
    <m/>
    <n v="2"/>
    <n v="0.75"/>
    <n v="1.5"/>
  </r>
  <r>
    <d v="2017-10-26T00:00:00"/>
    <x v="40"/>
    <s v="SP Wines"/>
    <x v="0"/>
    <s v="Chardonnay"/>
    <x v="3"/>
    <s v="variétal"/>
    <s v="-"/>
    <m/>
    <s v="oui"/>
    <m/>
    <n v="2"/>
    <n v="0.75"/>
    <n v="1.5"/>
  </r>
  <r>
    <d v="2017-10-29T00:00:00"/>
    <x v="29"/>
    <s v="René Jeanjean"/>
    <x v="0"/>
    <s v="Sauvignon"/>
    <x v="3"/>
    <s v="variétal"/>
    <n v="423"/>
    <m/>
    <s v="oui"/>
    <m/>
    <n v="1"/>
    <n v="0.75"/>
    <n v="0.75"/>
  </r>
  <r>
    <d v="2017-10-29T00:00:00"/>
    <x v="29"/>
    <s v="René Jeanjean"/>
    <x v="0"/>
    <s v="Sauvignon"/>
    <x v="3"/>
    <s v="supérieur"/>
    <s v="-"/>
    <m/>
    <s v="oui"/>
    <m/>
    <n v="1"/>
    <n v="0.75"/>
    <n v="0.75"/>
  </r>
  <r>
    <d v="2017-10-29T00:00:00"/>
    <x v="29"/>
    <s v="René Jeanjean"/>
    <x v="0"/>
    <s v="Sauvignon"/>
    <x v="3"/>
    <s v="classique"/>
    <s v="-"/>
    <m/>
    <s v="oui"/>
    <m/>
    <n v="1"/>
    <n v="0.75"/>
    <n v="0.75"/>
  </r>
  <r>
    <d v="2017-10-29T00:00:00"/>
    <x v="29"/>
    <s v="René Jeanjean"/>
    <x v="0"/>
    <s v="Chardonnay"/>
    <x v="3"/>
    <s v="classique"/>
    <n v="14"/>
    <m/>
    <s v="oui"/>
    <m/>
    <n v="1"/>
    <n v="0.75"/>
    <n v="0.75"/>
  </r>
  <r>
    <d v="2017-10-29T00:00:00"/>
    <x v="29"/>
    <s v="René Jeanjean"/>
    <x v="0"/>
    <s v="Chardonnay"/>
    <x v="3"/>
    <s v="variétal"/>
    <s v="-"/>
    <m/>
    <s v="oui"/>
    <m/>
    <n v="1"/>
    <n v="0.75"/>
    <n v="0.75"/>
  </r>
  <r>
    <d v="2017-10-29T00:00:00"/>
    <x v="29"/>
    <s v="René Jeanjean"/>
    <x v="0"/>
    <s v="Chardonnay"/>
    <x v="3"/>
    <s v="supérieur"/>
    <s v="-"/>
    <m/>
    <s v="oui"/>
    <m/>
    <n v="1"/>
    <n v="0.75"/>
    <n v="0.75"/>
  </r>
  <r>
    <d v="2017-10-29T00:00:00"/>
    <x v="29"/>
    <s v="René Jeanjean"/>
    <x v="1"/>
    <s v="Hérault Rosé"/>
    <x v="3"/>
    <s v="Lot 2"/>
    <s v="-"/>
    <m/>
    <s v="oui"/>
    <m/>
    <n v="1"/>
    <n v="0.75"/>
    <n v="0.75"/>
  </r>
  <r>
    <d v="2017-10-29T00:00:00"/>
    <x v="29"/>
    <s v="René Jeanjean"/>
    <x v="1"/>
    <s v="Merlot"/>
    <x v="3"/>
    <s v="Lot"/>
    <s v="-"/>
    <m/>
    <s v="oui"/>
    <m/>
    <n v="1"/>
    <n v="0.75"/>
    <n v="0.75"/>
  </r>
  <r>
    <d v="2017-10-29T00:00:00"/>
    <x v="29"/>
    <s v="René Jeanjean"/>
    <x v="1"/>
    <s v="Cabernet"/>
    <x v="3"/>
    <s v="Lot"/>
    <s v="-"/>
    <m/>
    <s v="oui"/>
    <m/>
    <n v="1"/>
    <n v="0.75"/>
    <n v="0.75"/>
  </r>
  <r>
    <d v="2017-10-29T00:00:00"/>
    <x v="29"/>
    <s v="René Jeanjean"/>
    <x v="0"/>
    <s v="Blanc générique"/>
    <x v="3"/>
    <s v="Oc Blanc"/>
    <s v="-"/>
    <m/>
    <s v="oui"/>
    <m/>
    <n v="1"/>
    <n v="0.75"/>
    <n v="0.75"/>
  </r>
  <r>
    <d v="2017-10-30T00:00:00"/>
    <x v="2"/>
    <s v="-"/>
    <x v="0"/>
    <s v="Chardonnay"/>
    <x v="3"/>
    <s v="classique"/>
    <n v="14"/>
    <m/>
    <s v="oui"/>
    <m/>
    <n v="3"/>
    <n v="0.75"/>
    <n v="2.25"/>
  </r>
  <r>
    <d v="2017-10-30T00:00:00"/>
    <x v="2"/>
    <s v="-"/>
    <x v="0"/>
    <s v="Chardonnay"/>
    <x v="3"/>
    <s v="variétal"/>
    <s v="-"/>
    <m/>
    <s v="oui"/>
    <m/>
    <n v="3"/>
    <n v="0.75"/>
    <n v="2.25"/>
  </r>
  <r>
    <d v="2017-10-30T00:00:00"/>
    <x v="2"/>
    <s v="-"/>
    <x v="0"/>
    <s v="Chardonnay"/>
    <x v="3"/>
    <s v="supérieur"/>
    <s v="-"/>
    <m/>
    <s v="oui"/>
    <m/>
    <n v="3"/>
    <n v="0.75"/>
    <n v="2.25"/>
  </r>
  <r>
    <d v="2017-10-30T00:00:00"/>
    <x v="2"/>
    <s v="-"/>
    <x v="0"/>
    <s v="Muscat"/>
    <x v="3"/>
    <s v="-"/>
    <n v="313"/>
    <m/>
    <s v="oui"/>
    <m/>
    <n v="1"/>
    <n v="0.75"/>
    <n v="0.75"/>
  </r>
  <r>
    <d v="2017-10-31T00:00:00"/>
    <x v="19"/>
    <s v="Pasquetto"/>
    <x v="0"/>
    <s v="VDF Chardonnay"/>
    <x v="3"/>
    <s v="Lot 1"/>
    <s v="-"/>
    <m/>
    <s v="oui"/>
    <s v="Voir assemblage 2017"/>
    <n v="1"/>
    <n v="0.75"/>
    <n v="0.75"/>
  </r>
  <r>
    <d v="2017-10-31T00:00:00"/>
    <x v="19"/>
    <s v="Pasquetto"/>
    <x v="0"/>
    <s v="VDF Chardonnay"/>
    <x v="3"/>
    <s v="Lot 2"/>
    <s v="-"/>
    <m/>
    <s v="oui"/>
    <s v="Voir assemblage 2017"/>
    <n v="1"/>
    <n v="0.75"/>
    <n v="0.75"/>
  </r>
  <r>
    <d v="2017-10-31T00:00:00"/>
    <x v="19"/>
    <s v="Pasquetto"/>
    <x v="0"/>
    <s v="VDF Chardonnay"/>
    <x v="3"/>
    <s v="Lot 3"/>
    <s v="-"/>
    <m/>
    <s v="oui"/>
    <s v="Voir assemblage 2017"/>
    <n v="1"/>
    <n v="0.75"/>
    <n v="0.75"/>
  </r>
  <r>
    <d v="2017-10-31T00:00:00"/>
    <x v="1"/>
    <s v="San Nicolas"/>
    <x v="0"/>
    <s v="Chardonnay"/>
    <x v="3"/>
    <s v="variétal"/>
    <s v="-"/>
    <m/>
    <s v="oui"/>
    <m/>
    <n v="2"/>
    <n v="0.75"/>
    <n v="1.5"/>
  </r>
  <r>
    <d v="2017-10-31T00:00:00"/>
    <x v="1"/>
    <s v="San Nicolas"/>
    <x v="0"/>
    <s v="Chardonnay"/>
    <x v="3"/>
    <s v="supérieur"/>
    <s v="-"/>
    <m/>
    <s v="oui"/>
    <m/>
    <n v="2"/>
    <n v="0.75"/>
    <n v="1.5"/>
  </r>
  <r>
    <d v="2017-10-31T00:00:00"/>
    <x v="3"/>
    <s v="-"/>
    <x v="0"/>
    <s v="Sauvignon"/>
    <x v="3"/>
    <s v="classique"/>
    <s v="-"/>
    <m/>
    <s v="oui"/>
    <m/>
    <n v="3"/>
    <n v="10"/>
    <n v="30"/>
  </r>
  <r>
    <d v="2017-10-31T00:00:00"/>
    <x v="3"/>
    <s v="-"/>
    <x v="0"/>
    <s v="Viognier"/>
    <x v="3"/>
    <s v="Lot Viognier"/>
    <n v="417"/>
    <m/>
    <s v="oui"/>
    <m/>
    <n v="1"/>
    <n v="15"/>
    <n v="15"/>
  </r>
  <r>
    <d v="2017-11-02T00:00:00"/>
    <x v="12"/>
    <s v="San Nicolas"/>
    <x v="0"/>
    <s v="Chardonnay"/>
    <x v="3"/>
    <s v="classique"/>
    <n v="14"/>
    <m/>
    <s v="oui"/>
    <m/>
    <n v="2"/>
    <n v="0.75"/>
    <n v="1.5"/>
  </r>
  <r>
    <d v="2017-11-02T00:00:00"/>
    <x v="1"/>
    <s v="Lambert Gilles"/>
    <x v="0"/>
    <s v="Chardonnay"/>
    <x v="3"/>
    <s v="variétal"/>
    <s v="-"/>
    <m/>
    <s v="oui"/>
    <s v="Voir assemblage 2017"/>
    <n v="3"/>
    <n v="0.75"/>
    <n v="2.25"/>
  </r>
  <r>
    <d v="2017-11-06T00:00:00"/>
    <x v="1"/>
    <s v="TWS"/>
    <x v="0"/>
    <s v="Muscat"/>
    <x v="3"/>
    <s v="-"/>
    <n v="313"/>
    <m/>
    <s v="oui"/>
    <m/>
    <n v="6"/>
    <n v="0.75"/>
    <n v="4.5"/>
  </r>
  <r>
    <d v="2017-11-07T00:00:00"/>
    <x v="2"/>
    <s v="-"/>
    <x v="0"/>
    <s v="Chardonnay"/>
    <x v="3"/>
    <s v="classique"/>
    <n v="14"/>
    <m/>
    <s v="oui"/>
    <m/>
    <n v="4"/>
    <n v="0.75"/>
    <n v="3"/>
  </r>
  <r>
    <d v="2017-11-07T00:00:00"/>
    <x v="2"/>
    <s v="-"/>
    <x v="0"/>
    <s v="Chardonnay"/>
    <x v="3"/>
    <s v="variétal"/>
    <s v="-"/>
    <m/>
    <s v="oui"/>
    <m/>
    <n v="2"/>
    <n v="0.75"/>
    <n v="1.5"/>
  </r>
  <r>
    <d v="2017-11-07T00:00:00"/>
    <x v="2"/>
    <s v="-"/>
    <x v="0"/>
    <s v="Chardonnay"/>
    <x v="3"/>
    <s v="supérieur"/>
    <s v="-"/>
    <m/>
    <s v="oui"/>
    <m/>
    <n v="2"/>
    <n v="0.75"/>
    <n v="1.5"/>
  </r>
  <r>
    <d v="2017-11-07T00:00:00"/>
    <x v="2"/>
    <s v="-"/>
    <x v="0"/>
    <s v="Viognier"/>
    <x v="3"/>
    <s v="-"/>
    <n v="417"/>
    <m/>
    <s v="oui"/>
    <m/>
    <n v="2"/>
    <n v="0.75"/>
    <n v="1.5"/>
  </r>
  <r>
    <d v="2017-11-07T00:00:00"/>
    <x v="2"/>
    <s v="-"/>
    <x v="0"/>
    <s v="Viognier"/>
    <x v="3"/>
    <s v="boisé"/>
    <n v="318"/>
    <m/>
    <s v="oui"/>
    <m/>
    <n v="2"/>
    <n v="0.75"/>
    <n v="1.5"/>
  </r>
  <r>
    <d v="2017-11-07T00:00:00"/>
    <x v="2"/>
    <s v="-"/>
    <x v="0"/>
    <s v="Muscat"/>
    <x v="3"/>
    <s v="-"/>
    <n v="313"/>
    <m/>
    <s v="oui"/>
    <m/>
    <n v="3"/>
    <n v="0.75"/>
    <n v="2.25"/>
  </r>
  <r>
    <d v="2017-11-07T00:00:00"/>
    <x v="1"/>
    <s v="San Nicolas"/>
    <x v="1"/>
    <s v="Rosé générique"/>
    <x v="3"/>
    <s v="Lot 2"/>
    <s v="-"/>
    <m/>
    <s v="oui"/>
    <s v="Hérault Rosé"/>
    <n v="3"/>
    <n v="0.75"/>
    <n v="2.25"/>
  </r>
  <r>
    <d v="2017-11-08T00:00:00"/>
    <x v="1"/>
    <s v="Gilles Louvet"/>
    <x v="0"/>
    <s v="Marsanne"/>
    <x v="3"/>
    <s v="-"/>
    <n v="88"/>
    <m/>
    <s v="oui"/>
    <m/>
    <n v="2"/>
    <n v="0.75"/>
    <n v="1.5"/>
  </r>
  <r>
    <d v="2017-11-08T00:00:00"/>
    <x v="1"/>
    <s v="Gilles Louvet"/>
    <x v="0"/>
    <s v="Roussanne"/>
    <x v="3"/>
    <s v="-"/>
    <n v="98"/>
    <m/>
    <s v="oui"/>
    <m/>
    <n v="2"/>
    <n v="0.75"/>
    <n v="1.5"/>
  </r>
  <r>
    <d v="2017-11-08T00:00:00"/>
    <x v="1"/>
    <s v="Gilles Louvet"/>
    <x v="0"/>
    <s v="Chardonnay"/>
    <x v="3"/>
    <s v="variétal"/>
    <s v="-"/>
    <m/>
    <s v="oui"/>
    <m/>
    <n v="2"/>
    <n v="0.75"/>
    <n v="1.5"/>
  </r>
  <r>
    <d v="2017-11-08T00:00:00"/>
    <x v="1"/>
    <s v="Gilles Louvet"/>
    <x v="0"/>
    <s v="Chardonnay"/>
    <x v="3"/>
    <s v="supérieur"/>
    <s v="-"/>
    <m/>
    <s v="oui"/>
    <m/>
    <n v="2"/>
    <n v="0.75"/>
    <n v="1.5"/>
  </r>
  <r>
    <d v="2017-11-08T00:00:00"/>
    <x v="1"/>
    <s v="Gilles Louvet"/>
    <x v="1"/>
    <s v="Rosé générique"/>
    <x v="3"/>
    <s v="Lot 1"/>
    <s v="-"/>
    <m/>
    <s v="oui"/>
    <m/>
    <n v="2"/>
    <n v="0.75"/>
    <n v="1.5"/>
  </r>
  <r>
    <d v="2017-11-08T00:00:00"/>
    <x v="1"/>
    <s v="SP Wines"/>
    <x v="0"/>
    <s v="Chardonnay"/>
    <x v="3"/>
    <s v="variétal"/>
    <s v="-"/>
    <m/>
    <s v="oui"/>
    <m/>
    <n v="2"/>
    <n v="0.75"/>
    <n v="1.5"/>
  </r>
  <r>
    <d v="2017-11-08T00:00:00"/>
    <x v="1"/>
    <s v="SP Wines"/>
    <x v="0"/>
    <s v="Chardonnay"/>
    <x v="3"/>
    <s v="supérieur"/>
    <s v="-"/>
    <m/>
    <s v="oui"/>
    <m/>
    <n v="2"/>
    <n v="0.75"/>
    <n v="1.5"/>
  </r>
  <r>
    <d v="2017-11-08T00:00:00"/>
    <x v="1"/>
    <s v="SP Wines"/>
    <x v="0"/>
    <s v="VIognier"/>
    <x v="3"/>
    <s v="-"/>
    <n v="417"/>
    <m/>
    <s v="oui"/>
    <m/>
    <n v="2"/>
    <n v="0.75"/>
    <n v="1.5"/>
  </r>
  <r>
    <d v="2017-11-08T00:00:00"/>
    <x v="1"/>
    <s v="SP Wines"/>
    <x v="1"/>
    <s v="Grenache"/>
    <x v="3"/>
    <s v="Lot Grenache"/>
    <s v="-"/>
    <m/>
    <s v="oui"/>
    <m/>
    <n v="2"/>
    <n v="0.75"/>
    <n v="1.5"/>
  </r>
  <r>
    <d v="2017-11-08T00:00:00"/>
    <x v="1"/>
    <s v="SP Wines"/>
    <x v="1"/>
    <s v="Cabernet"/>
    <x v="3"/>
    <s v="Lot Cabernet"/>
    <s v="-"/>
    <m/>
    <s v="oui"/>
    <m/>
    <n v="2"/>
    <n v="0.75"/>
    <n v="1.5"/>
  </r>
  <r>
    <d v="2017-11-08T00:00:00"/>
    <x v="1"/>
    <s v="SP Wines"/>
    <x v="2"/>
    <s v="Cabernet"/>
    <x v="3"/>
    <s v="Lot Cabernet"/>
    <s v="-"/>
    <m/>
    <s v="oui"/>
    <m/>
    <n v="2"/>
    <n v="0.75"/>
    <n v="1.5"/>
  </r>
  <r>
    <d v="2017-11-08T00:00:00"/>
    <x v="1"/>
    <s v="JC Simon"/>
    <x v="0"/>
    <s v="Chardonnay"/>
    <x v="3"/>
    <s v="variétal"/>
    <s v="-"/>
    <m/>
    <s v="oui"/>
    <m/>
    <n v="4"/>
    <n v="0.75"/>
    <n v="3"/>
  </r>
  <r>
    <d v="2017-11-08T00:00:00"/>
    <x v="1"/>
    <s v="JC Simon"/>
    <x v="0"/>
    <s v="Chardonnay"/>
    <x v="3"/>
    <s v="supérieur"/>
    <s v="-"/>
    <m/>
    <s v="oui"/>
    <m/>
    <n v="4"/>
    <n v="0.75"/>
    <n v="3"/>
  </r>
  <r>
    <d v="2017-11-08T00:00:00"/>
    <x v="1"/>
    <s v="JC Simon"/>
    <x v="0"/>
    <s v="Viognier"/>
    <x v="3"/>
    <s v="-"/>
    <n v="417"/>
    <m/>
    <s v="oui"/>
    <m/>
    <n v="2"/>
    <n v="0.75"/>
    <n v="1.5"/>
  </r>
  <r>
    <d v="2017-11-08T00:00:00"/>
    <x v="1"/>
    <s v="JC Simon"/>
    <x v="0"/>
    <s v="Muscat"/>
    <x v="3"/>
    <s v="Lot"/>
    <s v="-"/>
    <m/>
    <s v="oui"/>
    <m/>
    <n v="2"/>
    <n v="0.75"/>
    <n v="1.5"/>
  </r>
  <r>
    <d v="2017-11-08T00:00:00"/>
    <x v="1"/>
    <s v="JC Simon"/>
    <x v="1"/>
    <s v="Rosé générique"/>
    <x v="3"/>
    <s v="Lot 1"/>
    <s v="-"/>
    <m/>
    <s v="oui"/>
    <m/>
    <n v="2"/>
    <n v="0.75"/>
    <n v="1.5"/>
  </r>
  <r>
    <d v="2017-11-08T00:00:00"/>
    <x v="1"/>
    <s v="Murphy winecompany"/>
    <x v="0"/>
    <s v="Chardonnay"/>
    <x v="3"/>
    <s v="variétal"/>
    <s v="-"/>
    <m/>
    <s v="oui"/>
    <m/>
    <n v="4"/>
    <n v="0.75"/>
    <n v="3"/>
  </r>
  <r>
    <d v="2017-11-08T00:00:00"/>
    <x v="1"/>
    <s v="Murphy winecompany"/>
    <x v="0"/>
    <s v="Chardonnay"/>
    <x v="3"/>
    <s v="supérieur"/>
    <s v="-"/>
    <m/>
    <s v="oui"/>
    <m/>
    <n v="4"/>
    <n v="0.75"/>
    <n v="3"/>
  </r>
  <r>
    <d v="2017-11-08T00:00:00"/>
    <x v="1"/>
    <s v="Murphy winecompany"/>
    <x v="0"/>
    <s v="Viognier"/>
    <x v="3"/>
    <s v="-"/>
    <n v="417"/>
    <m/>
    <s v="oui"/>
    <m/>
    <n v="4"/>
    <n v="0.75"/>
    <n v="3"/>
  </r>
  <r>
    <d v="2017-11-08T00:00:00"/>
    <x v="1"/>
    <s v="Murphy winecompany"/>
    <x v="1"/>
    <s v="Rosé générique"/>
    <x v="3"/>
    <s v="Lot 1"/>
    <s v="-"/>
    <m/>
    <s v="oui"/>
    <m/>
    <n v="4"/>
    <n v="0.75"/>
    <n v="3"/>
  </r>
  <r>
    <d v="2017-11-08T00:00:00"/>
    <x v="2"/>
    <s v="-"/>
    <x v="0"/>
    <s v="Blanc générique"/>
    <x v="3"/>
    <s v="-"/>
    <n v="201"/>
    <m/>
    <s v="oui"/>
    <m/>
    <n v="2"/>
    <n v="0.75"/>
    <n v="1.5"/>
  </r>
  <r>
    <d v="2017-11-09T00:00:00"/>
    <x v="2"/>
    <s v="-"/>
    <x v="0"/>
    <s v="Chardonnay"/>
    <x v="3"/>
    <s v="variétal"/>
    <s v="-"/>
    <m/>
    <s v="oui"/>
    <m/>
    <n v="1"/>
    <n v="10"/>
    <n v="10"/>
  </r>
  <r>
    <d v="2017-11-09T00:00:00"/>
    <x v="0"/>
    <s v="Olivier Castillo"/>
    <x v="1"/>
    <s v="Rosé générique"/>
    <x v="3"/>
    <s v="Lot 1"/>
    <s v="-"/>
    <m/>
    <s v="oui"/>
    <m/>
    <n v="2"/>
    <n v="0.75"/>
    <n v="1.5"/>
  </r>
  <r>
    <d v="2017-11-10T00:00:00"/>
    <x v="1"/>
    <s v="San Nicolas"/>
    <x v="0"/>
    <s v="Chardonnay"/>
    <x v="3"/>
    <s v="variétal"/>
    <s v="-"/>
    <m/>
    <s v="oui"/>
    <m/>
    <n v="2"/>
    <n v="0.75"/>
    <n v="1.5"/>
  </r>
  <r>
    <d v="2017-11-10T00:00:00"/>
    <x v="1"/>
    <s v="San Nicolas"/>
    <x v="0"/>
    <s v="Chardonnay"/>
    <x v="3"/>
    <s v="supérieur"/>
    <s v="-"/>
    <m/>
    <s v="oui"/>
    <m/>
    <n v="2"/>
    <n v="0.75"/>
    <n v="1.5"/>
  </r>
  <r>
    <d v="2017-11-10T00:00:00"/>
    <x v="41"/>
    <s v="San Nicolas"/>
    <x v="0"/>
    <s v="Chardonnay"/>
    <x v="3"/>
    <s v="variétal"/>
    <s v="-"/>
    <m/>
    <s v="oui"/>
    <m/>
    <n v="2"/>
    <n v="0.75"/>
    <n v="1.5"/>
  </r>
  <r>
    <d v="2017-11-10T00:00:00"/>
    <x v="41"/>
    <s v="San Nicolas"/>
    <x v="0"/>
    <s v="Chardonnay"/>
    <x v="3"/>
    <s v="supérieur"/>
    <s v="-"/>
    <m/>
    <s v="oui"/>
    <m/>
    <n v="2"/>
    <n v="0.75"/>
    <n v="1.5"/>
  </r>
  <r>
    <d v="2017-11-10T00:00:00"/>
    <x v="41"/>
    <s v="San Nicolas"/>
    <x v="0"/>
    <s v="Oc blanc"/>
    <x v="3"/>
    <s v="Oc Blanc"/>
    <s v="-"/>
    <m/>
    <s v="oui"/>
    <m/>
    <n v="2"/>
    <n v="0.75"/>
    <n v="1.5"/>
  </r>
  <r>
    <d v="2017-11-10T00:00:00"/>
    <x v="41"/>
    <s v="San Nicolas"/>
    <x v="1"/>
    <s v="Rosé générique"/>
    <x v="3"/>
    <s v="Lot 1"/>
    <s v="-"/>
    <m/>
    <s v="oui"/>
    <m/>
    <n v="1"/>
    <n v="0.75"/>
    <n v="0.75"/>
  </r>
  <r>
    <d v="2017-11-13T00:00:00"/>
    <x v="11"/>
    <s v="-"/>
    <x v="0"/>
    <s v="Chardonnay"/>
    <x v="3"/>
    <s v="variétal"/>
    <s v="-"/>
    <m/>
    <s v="oui"/>
    <m/>
    <n v="2"/>
    <n v="0.75"/>
    <n v="1.5"/>
  </r>
  <r>
    <d v="2017-11-13T00:00:00"/>
    <x v="11"/>
    <s v="-"/>
    <x v="0"/>
    <s v="Chardonnay"/>
    <x v="3"/>
    <s v="supérieur"/>
    <s v="-"/>
    <m/>
    <s v="oui"/>
    <m/>
    <n v="2"/>
    <n v="0.75"/>
    <n v="1.5"/>
  </r>
  <r>
    <d v="2017-11-13T00:00:00"/>
    <x v="11"/>
    <s v="-"/>
    <x v="0"/>
    <s v="Sauvignon"/>
    <x v="3"/>
    <s v="classique"/>
    <n v="26"/>
    <m/>
    <s v="oui"/>
    <m/>
    <n v="2"/>
    <n v="0.75"/>
    <n v="1.5"/>
  </r>
  <r>
    <d v="2017-11-13T00:00:00"/>
    <x v="11"/>
    <s v="-"/>
    <x v="0"/>
    <s v="Terret"/>
    <x v="3"/>
    <s v="Oc Blanc"/>
    <s v="-"/>
    <m/>
    <s v="oui"/>
    <m/>
    <n v="2"/>
    <n v="0.75"/>
    <n v="1.5"/>
  </r>
  <r>
    <d v="2017-11-13T00:00:00"/>
    <x v="11"/>
    <s v="-"/>
    <x v="1"/>
    <s v="Merlot"/>
    <x v="3"/>
    <s v="Lot Merlot"/>
    <s v="-"/>
    <m/>
    <s v="oui"/>
    <m/>
    <n v="2"/>
    <n v="0.75"/>
    <n v="1.5"/>
  </r>
  <r>
    <d v="2017-11-13T00:00:00"/>
    <x v="11"/>
    <s v="-"/>
    <x v="1"/>
    <s v="Pinot Noir"/>
    <x v="3"/>
    <s v="-"/>
    <n v="334"/>
    <m/>
    <s v="oui"/>
    <m/>
    <n v="2"/>
    <n v="0.75"/>
    <n v="1.5"/>
  </r>
  <r>
    <d v="2017-11-13T00:00:00"/>
    <x v="9"/>
    <s v="Jacques Woloviek"/>
    <x v="0"/>
    <s v="Muscat"/>
    <x v="3"/>
    <s v="Lot Muscat"/>
    <s v="-"/>
    <m/>
    <s v="oui"/>
    <m/>
    <n v="6"/>
    <n v="0.75"/>
    <n v="4.5"/>
  </r>
  <r>
    <d v="2017-11-13T00:00:00"/>
    <x v="2"/>
    <s v="-"/>
    <x v="0"/>
    <s v="Viognier"/>
    <x v="3"/>
    <s v="-"/>
    <n v="417"/>
    <m/>
    <s v="oui"/>
    <m/>
    <n v="6"/>
    <n v="0.75"/>
    <n v="4.5"/>
  </r>
  <r>
    <d v="2017-11-13T00:00:00"/>
    <x v="2"/>
    <s v="-"/>
    <x v="0"/>
    <s v="Chardonnay"/>
    <x v="3"/>
    <s v="variétal"/>
    <s v="-"/>
    <m/>
    <s v="oui"/>
    <m/>
    <n v="4"/>
    <n v="0.75"/>
    <n v="3"/>
  </r>
  <r>
    <d v="2017-11-13T00:00:00"/>
    <x v="2"/>
    <s v="-"/>
    <x v="0"/>
    <s v="Chardonnay"/>
    <x v="3"/>
    <s v="supérieur"/>
    <s v="-"/>
    <m/>
    <s v="oui"/>
    <m/>
    <n v="4"/>
    <n v="0.75"/>
    <n v="3"/>
  </r>
  <r>
    <d v="2017-11-13T00:00:00"/>
    <x v="1"/>
    <s v="JC Simon"/>
    <x v="0"/>
    <s v="Chardonnay"/>
    <x v="3"/>
    <s v="variétal"/>
    <s v="-"/>
    <m/>
    <s v="oui"/>
    <m/>
    <n v="2"/>
    <n v="0.75"/>
    <n v="1.5"/>
  </r>
  <r>
    <d v="2017-11-13T00:00:00"/>
    <x v="1"/>
    <s v="JC Simon"/>
    <x v="0"/>
    <s v="Chardonnay"/>
    <x v="3"/>
    <s v="supérieur"/>
    <s v="-"/>
    <m/>
    <s v="oui"/>
    <m/>
    <n v="2"/>
    <n v="0.75"/>
    <n v="1.5"/>
  </r>
  <r>
    <d v="2017-11-13T00:00:00"/>
    <x v="1"/>
    <s v="JC Simon"/>
    <x v="0"/>
    <s v="Viognier"/>
    <x v="3"/>
    <s v="-"/>
    <n v="417"/>
    <m/>
    <s v="oui"/>
    <m/>
    <n v="2"/>
    <n v="0.75"/>
    <n v="1.5"/>
  </r>
  <r>
    <d v="2017-11-13T00:00:00"/>
    <x v="1"/>
    <s v="JC Simon"/>
    <x v="1"/>
    <s v="Rosé générique"/>
    <x v="3"/>
    <s v="Lot 1"/>
    <s v="-"/>
    <m/>
    <s v="oui"/>
    <m/>
    <n v="2"/>
    <n v="0.75"/>
    <n v="1.5"/>
  </r>
  <r>
    <d v="2017-11-13T00:00:00"/>
    <x v="42"/>
    <s v="SP Wines"/>
    <x v="1"/>
    <s v="Rosé générique"/>
    <x v="3"/>
    <s v="Lot 1"/>
    <s v="-"/>
    <m/>
    <s v="oui"/>
    <m/>
    <n v="2"/>
    <n v="0.75"/>
    <n v="1.5"/>
  </r>
  <r>
    <d v="2017-11-13T00:00:00"/>
    <x v="42"/>
    <s v="SP Wines"/>
    <x v="0"/>
    <s v="Chardonnay"/>
    <x v="3"/>
    <s v="variétal"/>
    <s v="-"/>
    <m/>
    <s v="oui"/>
    <m/>
    <n v="2"/>
    <n v="0.75"/>
    <n v="1.5"/>
  </r>
  <r>
    <d v="2017-11-13T00:00:00"/>
    <x v="42"/>
    <s v="SP Wines"/>
    <x v="0"/>
    <s v="Chardonnay"/>
    <x v="3"/>
    <s v="supérieur"/>
    <s v="-"/>
    <m/>
    <s v="oui"/>
    <m/>
    <n v="2"/>
    <n v="0.75"/>
    <n v="1.5"/>
  </r>
  <r>
    <d v="2017-11-13T00:00:00"/>
    <x v="42"/>
    <s v="SP Wines"/>
    <x v="0"/>
    <s v="Oc blanc"/>
    <x v="3"/>
    <s v="Oc Blanc"/>
    <s v="-"/>
    <m/>
    <s v="oui"/>
    <m/>
    <n v="2"/>
    <n v="0.75"/>
    <n v="1.5"/>
  </r>
  <r>
    <d v="2017-11-13T00:00:00"/>
    <x v="4"/>
    <s v="-"/>
    <x v="0"/>
    <s v="Sauvignon"/>
    <x v="3"/>
    <s v="classique"/>
    <n v="26"/>
    <m/>
    <s v="oui"/>
    <m/>
    <n v="3"/>
    <n v="0.75"/>
    <n v="2.25"/>
  </r>
  <r>
    <d v="2017-11-13T00:00:00"/>
    <x v="4"/>
    <s v="-"/>
    <x v="0"/>
    <s v="Chardonnay"/>
    <x v="3"/>
    <s v="variétal"/>
    <s v="-"/>
    <m/>
    <s v="oui"/>
    <m/>
    <n v="3"/>
    <n v="0.75"/>
    <n v="2.25"/>
  </r>
  <r>
    <d v="2017-11-13T00:00:00"/>
    <x v="4"/>
    <s v="-"/>
    <x v="0"/>
    <s v="Sauvignon"/>
    <x v="0"/>
    <s v="-"/>
    <s v="-"/>
    <m/>
    <s v="oui"/>
    <s v="60% Sauv class + 40% chard riche"/>
    <n v="4"/>
    <n v="0.75"/>
    <n v="3"/>
  </r>
  <r>
    <d v="2017-11-16T00:00:00"/>
    <x v="2"/>
    <s v="-"/>
    <x v="0"/>
    <s v="Sauvignon"/>
    <x v="3"/>
    <s v="variétal"/>
    <n v="423"/>
    <m/>
    <s v="oui"/>
    <m/>
    <n v="2"/>
    <n v="0.75"/>
    <n v="1.5"/>
  </r>
  <r>
    <d v="2017-11-16T00:00:00"/>
    <x v="2"/>
    <s v="-"/>
    <x v="0"/>
    <s v="Sauvignon"/>
    <x v="3"/>
    <s v="supérieur"/>
    <n v="405"/>
    <m/>
    <s v="oui"/>
    <m/>
    <n v="2"/>
    <n v="0.75"/>
    <n v="1.5"/>
  </r>
  <r>
    <d v="2017-11-16T00:00:00"/>
    <x v="5"/>
    <s v="-"/>
    <x v="0"/>
    <s v="Sauvignon"/>
    <x v="3"/>
    <s v="classique"/>
    <n v="310"/>
    <m/>
    <s v="oui"/>
    <m/>
    <n v="3"/>
    <n v="0.75"/>
    <n v="2.25"/>
  </r>
  <r>
    <d v="2017-11-16T00:00:00"/>
    <x v="5"/>
    <s v="-"/>
    <x v="0"/>
    <s v="Cinsault"/>
    <x v="3"/>
    <s v="-"/>
    <n v="313"/>
    <m/>
    <s v="oui"/>
    <m/>
    <n v="3"/>
    <n v="0.75"/>
    <n v="2.25"/>
  </r>
  <r>
    <d v="2017-11-16T00:00:00"/>
    <x v="1"/>
    <s v="TWS"/>
    <x v="0"/>
    <s v="Muscat"/>
    <x v="3"/>
    <s v="Lot Muscat"/>
    <s v="-"/>
    <m/>
    <s v="oui"/>
    <m/>
    <n v="6"/>
    <n v="0.75"/>
    <n v="4.5"/>
  </r>
  <r>
    <d v="2017-11-16T00:00:00"/>
    <x v="12"/>
    <s v="René Jeanjean"/>
    <x v="0"/>
    <s v="Muscat"/>
    <x v="3"/>
    <s v="Lot Muscat"/>
    <s v="-"/>
    <m/>
    <s v="oui"/>
    <m/>
    <n v="2"/>
    <n v="0.75"/>
    <n v="1.5"/>
  </r>
  <r>
    <d v="2017-11-16T00:00:00"/>
    <x v="21"/>
    <s v="Conraads"/>
    <x v="0"/>
    <s v="Viognier"/>
    <x v="3"/>
    <s v="-"/>
    <n v="417"/>
    <m/>
    <s v="oui"/>
    <m/>
    <n v="2"/>
    <n v="0.75"/>
    <n v="1.5"/>
  </r>
  <r>
    <d v="2017-11-16T00:00:00"/>
    <x v="21"/>
    <s v="Conraads"/>
    <x v="0"/>
    <s v="Chardonnay"/>
    <x v="3"/>
    <s v="supérieur"/>
    <s v="-"/>
    <m/>
    <s v="oui"/>
    <m/>
    <n v="2"/>
    <n v="0.75"/>
    <n v="1.5"/>
  </r>
  <r>
    <d v="2017-11-16T00:00:00"/>
    <x v="21"/>
    <s v="Conraads"/>
    <x v="0"/>
    <s v="Chardonnay"/>
    <x v="3"/>
    <s v="variétal"/>
    <n v="199"/>
    <m/>
    <s v="oui"/>
    <m/>
    <n v="2"/>
    <n v="0.75"/>
    <n v="1.5"/>
  </r>
  <r>
    <d v="2017-11-16T00:00:00"/>
    <x v="29"/>
    <s v="René Jeanjean"/>
    <x v="0"/>
    <s v="Viognier"/>
    <x v="3"/>
    <s v="-"/>
    <n v="417"/>
    <m/>
    <s v="oui"/>
    <m/>
    <n v="1"/>
    <n v="0.75"/>
    <n v="0.75"/>
  </r>
  <r>
    <d v="2017-11-16T00:00:00"/>
    <x v="29"/>
    <s v="René Jeanjean"/>
    <x v="1"/>
    <s v="Rosé générique"/>
    <x v="3"/>
    <s v="Lot 2"/>
    <s v="-"/>
    <m/>
    <s v="oui"/>
    <m/>
    <n v="2"/>
    <n v="0.75"/>
    <n v="1.5"/>
  </r>
  <r>
    <d v="2017-11-16T00:00:00"/>
    <x v="29"/>
    <s v="René Jeanjean"/>
    <x v="1"/>
    <s v="Merlot"/>
    <x v="3"/>
    <s v="Lot Merlot"/>
    <s v="-"/>
    <m/>
    <s v="oui"/>
    <m/>
    <n v="2"/>
    <n v="0.75"/>
    <n v="1.5"/>
  </r>
  <r>
    <d v="2017-11-16T00:00:00"/>
    <x v="29"/>
    <s v="René Jeanjean"/>
    <x v="1"/>
    <s v="Cinsault"/>
    <x v="3"/>
    <s v="-"/>
    <n v="313"/>
    <m/>
    <s v="oui"/>
    <m/>
    <n v="2"/>
    <n v="0.75"/>
    <n v="1.5"/>
  </r>
  <r>
    <d v="2017-11-16T00:00:00"/>
    <x v="1"/>
    <s v="Ranvier"/>
    <x v="0"/>
    <s v="Marsanne"/>
    <x v="3"/>
    <s v="-"/>
    <n v="88"/>
    <m/>
    <s v="oui"/>
    <m/>
    <n v="1"/>
    <n v="0.75"/>
    <n v="0.75"/>
  </r>
  <r>
    <d v="2017-11-16T00:00:00"/>
    <x v="1"/>
    <s v="Ranvier"/>
    <x v="0"/>
    <s v="Roussanne"/>
    <x v="3"/>
    <s v="-"/>
    <n v="98"/>
    <m/>
    <s v="oui"/>
    <m/>
    <n v="1"/>
    <n v="0.75"/>
    <n v="0.75"/>
  </r>
  <r>
    <d v="2017-11-20T00:00:00"/>
    <x v="43"/>
    <s v="Vailhere Pascal"/>
    <x v="0"/>
    <s v="Muscat"/>
    <x v="3"/>
    <s v="Lot Muscat"/>
    <s v="-"/>
    <m/>
    <s v="oui"/>
    <m/>
    <n v="2"/>
    <n v="0.75"/>
    <n v="1.5"/>
  </r>
  <r>
    <d v="2017-11-20T00:00:00"/>
    <x v="43"/>
    <s v="Vailhere Pascal"/>
    <x v="2"/>
    <s v="Cabernet"/>
    <x v="3"/>
    <s v="Lot Cabernet"/>
    <s v="-"/>
    <m/>
    <s v="oui"/>
    <m/>
    <n v="2"/>
    <n v="0.75"/>
    <n v="1.5"/>
  </r>
  <r>
    <d v="2017-11-20T00:00:00"/>
    <x v="2"/>
    <s v="-"/>
    <x v="0"/>
    <s v="VIognier"/>
    <x v="3"/>
    <s v="-"/>
    <n v="417"/>
    <m/>
    <s v="oui"/>
    <m/>
    <n v="3"/>
    <n v="0.75"/>
    <n v="2.25"/>
  </r>
  <r>
    <d v="2017-11-20T00:00:00"/>
    <x v="2"/>
    <s v="-"/>
    <x v="0"/>
    <s v="Muscat"/>
    <x v="3"/>
    <s v="-"/>
    <n v="56"/>
    <m/>
    <s v="oui"/>
    <m/>
    <n v="3"/>
    <n v="0.75"/>
    <n v="2.25"/>
  </r>
  <r>
    <d v="2017-11-20T00:00:00"/>
    <x v="2"/>
    <s v="-"/>
    <x v="0"/>
    <s v="Chardonnay"/>
    <x v="3"/>
    <s v="variétal"/>
    <n v="199"/>
    <m/>
    <s v="oui"/>
    <m/>
    <n v="2"/>
    <n v="0.75"/>
    <n v="1.5"/>
  </r>
  <r>
    <d v="2017-11-20T00:00:00"/>
    <x v="2"/>
    <s v="-"/>
    <x v="0"/>
    <s v="Chardonnay"/>
    <x v="3"/>
    <s v="supérieur"/>
    <s v="-"/>
    <m/>
    <s v="oui"/>
    <m/>
    <n v="2"/>
    <n v="0.75"/>
    <n v="1.5"/>
  </r>
  <r>
    <d v="2017-11-21T00:00:00"/>
    <x v="31"/>
    <s v="Jacques Woloviek"/>
    <x v="0"/>
    <s v="Chardonnay"/>
    <x v="3"/>
    <s v="Petit degré"/>
    <n v="17"/>
    <m/>
    <s v="oui"/>
    <m/>
    <n v="3"/>
    <n v="0.75"/>
    <n v="2.25"/>
  </r>
  <r>
    <d v="2017-11-21T00:00:00"/>
    <x v="31"/>
    <s v="Jacques Woloviek"/>
    <x v="0"/>
    <s v="Terret"/>
    <x v="3"/>
    <s v="Oc Blanc"/>
    <s v="-"/>
    <m/>
    <s v="oui"/>
    <m/>
    <n v="3"/>
    <n v="0.75"/>
    <n v="2.25"/>
  </r>
  <r>
    <d v="2017-11-23T00:00:00"/>
    <x v="5"/>
    <s v="-"/>
    <x v="0"/>
    <s v="Sauvignon"/>
    <x v="3"/>
    <s v="classique"/>
    <n v="332"/>
    <m/>
    <s v="oui"/>
    <m/>
    <n v="6"/>
    <n v="0.75"/>
    <n v="4.5"/>
  </r>
  <r>
    <d v="2017-11-23T00:00:00"/>
    <x v="5"/>
    <s v="-"/>
    <x v="0"/>
    <s v="Chardonnay"/>
    <x v="3"/>
    <s v="variétal"/>
    <n v="16"/>
    <m/>
    <s v="oui"/>
    <m/>
    <n v="3"/>
    <n v="0.75"/>
    <n v="2.25"/>
  </r>
  <r>
    <d v="2017-11-23T00:00:00"/>
    <x v="20"/>
    <s v="-"/>
    <x v="2"/>
    <s v="Merlot"/>
    <x v="3"/>
    <s v="-"/>
    <n v="135"/>
    <m/>
    <s v="oui"/>
    <m/>
    <n v="3"/>
    <n v="0.75"/>
    <n v="2.25"/>
  </r>
  <r>
    <d v="2017-11-23T00:00:00"/>
    <x v="20"/>
    <s v="-"/>
    <x v="1"/>
    <s v="Pinot Noir"/>
    <x v="3"/>
    <s v="-"/>
    <n v="334"/>
    <m/>
    <s v="oui"/>
    <m/>
    <n v="1"/>
    <n v="0.75"/>
    <n v="0.75"/>
  </r>
  <r>
    <d v="2017-11-24T00:00:00"/>
    <x v="3"/>
    <s v="-"/>
    <x v="0"/>
    <s v="Viognier"/>
    <x v="3"/>
    <s v="-"/>
    <n v="417"/>
    <m/>
    <s v="oui"/>
    <m/>
    <n v="6"/>
    <n v="0.75"/>
    <n v="4.5"/>
  </r>
  <r>
    <d v="2017-11-27T00:00:00"/>
    <x v="2"/>
    <s v="-"/>
    <x v="0"/>
    <s v="Viognier"/>
    <x v="3"/>
    <s v="-"/>
    <n v="417"/>
    <m/>
    <s v="oui"/>
    <m/>
    <n v="6"/>
    <n v="0.75"/>
    <n v="4.5"/>
  </r>
  <r>
    <d v="2017-11-27T00:00:00"/>
    <x v="2"/>
    <s v="-"/>
    <x v="0"/>
    <s v="Sauvignon"/>
    <x v="3"/>
    <s v="variétal"/>
    <n v="423"/>
    <m/>
    <s v="oui"/>
    <m/>
    <n v="3"/>
    <n v="0.75"/>
    <n v="2.25"/>
  </r>
  <r>
    <d v="2017-11-27T00:00:00"/>
    <x v="2"/>
    <s v="-"/>
    <x v="0"/>
    <s v="Sauvignon"/>
    <x v="3"/>
    <s v="supérieur"/>
    <n v="86"/>
    <m/>
    <s v="oui"/>
    <m/>
    <n v="3"/>
    <n v="0.75"/>
    <n v="2.25"/>
  </r>
  <r>
    <d v="2017-11-27T00:00:00"/>
    <x v="29"/>
    <s v="René Jeanjean"/>
    <x v="0"/>
    <s v="Sauvignon"/>
    <x v="3"/>
    <s v="supérieur"/>
    <n v="405"/>
    <m/>
    <s v="oui"/>
    <m/>
    <n v="2"/>
    <n v="0.75"/>
    <n v="1.5"/>
  </r>
  <r>
    <d v="2017-11-27T00:00:00"/>
    <x v="29"/>
    <s v="René Jeanjean"/>
    <x v="0"/>
    <s v="Sauvignon"/>
    <x v="3"/>
    <s v="variétal"/>
    <n v="423"/>
    <m/>
    <s v="oui"/>
    <m/>
    <n v="2"/>
    <n v="0.75"/>
    <n v="1.5"/>
  </r>
  <r>
    <d v="2017-11-27T00:00:00"/>
    <x v="29"/>
    <s v="René Jeanjean"/>
    <x v="0"/>
    <s v="Chardonnay"/>
    <x v="3"/>
    <s v="variétal"/>
    <n v="421"/>
    <m/>
    <s v="oui"/>
    <m/>
    <n v="2"/>
    <n v="0.75"/>
    <n v="1.5"/>
  </r>
  <r>
    <d v="2017-11-27T00:00:00"/>
    <x v="29"/>
    <s v="René Jeanjean"/>
    <x v="0"/>
    <s v="Chardonnay"/>
    <x v="3"/>
    <s v="supérieur"/>
    <n v="414"/>
    <m/>
    <s v="oui"/>
    <m/>
    <n v="2"/>
    <n v="0.75"/>
    <n v="1.5"/>
  </r>
  <r>
    <d v="2017-11-27T00:00:00"/>
    <x v="29"/>
    <s v="René Jeanjean"/>
    <x v="0"/>
    <s v="Viognier"/>
    <x v="3"/>
    <s v="-"/>
    <n v="417"/>
    <m/>
    <s v="oui"/>
    <m/>
    <n v="2"/>
    <n v="0.75"/>
    <n v="1.5"/>
  </r>
  <r>
    <d v="2017-11-27T00:00:00"/>
    <x v="29"/>
    <s v="René Jeanjean"/>
    <x v="0"/>
    <s v="Hérault Blanc"/>
    <x v="3"/>
    <s v="Thau Blanc"/>
    <s v="-"/>
    <m/>
    <s v="oui"/>
    <m/>
    <n v="2"/>
    <n v="0.75"/>
    <n v="1.5"/>
  </r>
  <r>
    <d v="2017-11-29T00:00:00"/>
    <x v="0"/>
    <s v="Olivier Castillo"/>
    <x v="1"/>
    <s v="Rosé générique"/>
    <x v="3"/>
    <s v="Lot 1"/>
    <n v="413"/>
    <m/>
    <s v="oui"/>
    <m/>
    <n v="3"/>
    <n v="0.75"/>
    <n v="2.25"/>
  </r>
  <r>
    <d v="2017-11-29T00:00:00"/>
    <x v="1"/>
    <s v="Olivier Castillo"/>
    <x v="1"/>
    <s v="Pinot Noir"/>
    <x v="3"/>
    <s v="-"/>
    <n v="334"/>
    <m/>
    <s v="oui"/>
    <m/>
    <n v="2"/>
    <n v="0.75"/>
    <n v="1.5"/>
  </r>
  <r>
    <d v="2017-12-04T00:00:00"/>
    <x v="29"/>
    <s v="René Jeanjean"/>
    <x v="0"/>
    <s v="Viognier"/>
    <x v="3"/>
    <s v="-"/>
    <n v="417"/>
    <m/>
    <s v="oui"/>
    <m/>
    <n v="2"/>
    <n v="0.75"/>
    <n v="1.5"/>
  </r>
  <r>
    <d v="2017-12-04T00:00:00"/>
    <x v="29"/>
    <s v="René Jeanjean"/>
    <x v="0"/>
    <s v="Sauvignon"/>
    <x v="3"/>
    <s v="supérieur"/>
    <n v="86"/>
    <m/>
    <s v="oui"/>
    <m/>
    <n v="3"/>
    <n v="0.75"/>
    <n v="2.25"/>
  </r>
  <r>
    <d v="2017-12-04T00:00:00"/>
    <x v="11"/>
    <s v="-"/>
    <x v="0"/>
    <s v="Sauvignon"/>
    <x v="3"/>
    <s v="classique"/>
    <n v="310"/>
    <m/>
    <s v="oui"/>
    <s v="nommé variétal pour Skalli"/>
    <n v="2"/>
    <n v="0.75"/>
    <n v="1.5"/>
  </r>
  <r>
    <d v="2017-12-04T00:00:00"/>
    <x v="11"/>
    <s v="-"/>
    <x v="0"/>
    <s v="Oc blanc"/>
    <x v="3"/>
    <s v="Oc Blanc"/>
    <n v="301"/>
    <m/>
    <s v="oui"/>
    <m/>
    <n v="1"/>
    <n v="0.75"/>
    <n v="0.75"/>
  </r>
  <r>
    <d v="2017-12-04T00:00:00"/>
    <x v="11"/>
    <s v="-"/>
    <x v="0"/>
    <s v="Oc blanc"/>
    <x v="3"/>
    <s v="Thau Blanc"/>
    <s v="-"/>
    <m/>
    <s v="oui"/>
    <m/>
    <n v="1"/>
    <n v="0.75"/>
    <n v="0.75"/>
  </r>
  <r>
    <d v="2017-12-04T00:00:00"/>
    <x v="11"/>
    <s v="-"/>
    <x v="1"/>
    <s v="Merlot"/>
    <x v="3"/>
    <s v="-"/>
    <n v="206"/>
    <m/>
    <s v="oui"/>
    <m/>
    <n v="1"/>
    <n v="0.75"/>
    <n v="0.75"/>
  </r>
  <r>
    <d v="2017-12-04T00:00:00"/>
    <x v="2"/>
    <s v="-"/>
    <x v="0"/>
    <s v="Muscat"/>
    <x v="3"/>
    <s v="-"/>
    <n v="56"/>
    <m/>
    <s v="oui"/>
    <m/>
    <n v="3"/>
    <n v="0.75"/>
    <n v="2.25"/>
  </r>
  <r>
    <d v="2017-12-04T00:00:00"/>
    <x v="5"/>
    <s v="-"/>
    <x v="0"/>
    <s v="Chardonnay"/>
    <x v="3"/>
    <s v="variétal"/>
    <n v="421"/>
    <m/>
    <s v="oui"/>
    <m/>
    <n v="4"/>
    <n v="0.75"/>
    <n v="3"/>
  </r>
  <r>
    <d v="2017-12-04T00:00:00"/>
    <x v="5"/>
    <s v="-"/>
    <x v="0"/>
    <s v="Sauvignon"/>
    <x v="3"/>
    <s v="classique"/>
    <n v="332"/>
    <m/>
    <s v="oui"/>
    <m/>
    <n v="3"/>
    <n v="0.75"/>
    <n v="2.25"/>
  </r>
  <r>
    <d v="2017-12-05T00:00:00"/>
    <x v="43"/>
    <s v="Vailhere Pascal"/>
    <x v="0"/>
    <s v="Muscat"/>
    <x v="3"/>
    <s v="Lot 1"/>
    <s v="-"/>
    <m/>
    <s v="oui"/>
    <s v="C56+C49"/>
    <n v="2"/>
    <n v="0.75"/>
    <n v="1.5"/>
  </r>
  <r>
    <d v="2017-12-05T00:00:00"/>
    <x v="43"/>
    <s v="Vailhere Pascal"/>
    <x v="0"/>
    <s v="Muscat"/>
    <x v="3"/>
    <s v="Lot 2"/>
    <s v="-"/>
    <m/>
    <s v="oui"/>
    <s v="C56+C49+C79"/>
    <n v="2"/>
    <n v="0.75"/>
    <n v="1.5"/>
  </r>
  <r>
    <d v="2017-12-05T00:00:00"/>
    <x v="30"/>
    <s v="Vailhere Pascal"/>
    <x v="2"/>
    <s v="Merlot"/>
    <x v="0"/>
    <s v="-"/>
    <n v="147"/>
    <m/>
    <s v="oui"/>
    <m/>
    <n v="12"/>
    <n v="0.75"/>
    <n v="9"/>
  </r>
  <r>
    <d v="2017-12-05T00:00:00"/>
    <x v="1"/>
    <s v="San Nicolas"/>
    <x v="0"/>
    <s v="Chardonnay"/>
    <x v="3"/>
    <s v="supérieur"/>
    <n v="414"/>
    <m/>
    <s v="oui"/>
    <m/>
    <n v="4"/>
    <n v="0.75"/>
    <n v="3"/>
  </r>
  <r>
    <d v="2017-12-08T00:00:00"/>
    <x v="9"/>
    <s v="Jacques Woloviek"/>
    <x v="1"/>
    <s v="Merlot"/>
    <x v="3"/>
    <s v="Lot Merlot"/>
    <n v="325"/>
    <m/>
    <s v="oui"/>
    <m/>
    <n v="4"/>
    <n v="0.75"/>
    <n v="3"/>
  </r>
  <r>
    <d v="2017-12-08T00:00:00"/>
    <x v="9"/>
    <s v="Jacques Woloviek"/>
    <x v="1"/>
    <s v="Cabernet"/>
    <x v="3"/>
    <s v="Lot Cabernet"/>
    <n v="308"/>
    <m/>
    <s v="oui"/>
    <m/>
    <n v="4"/>
    <n v="0.75"/>
    <n v="3"/>
  </r>
  <r>
    <d v="2017-12-08T00:00:00"/>
    <x v="9"/>
    <s v="Jacques Woloviek"/>
    <x v="0"/>
    <s v="Chardonnay"/>
    <x v="3"/>
    <s v="-"/>
    <s v="-"/>
    <m/>
    <s v="oui"/>
    <s v="60% var + 40% sup"/>
    <n v="2"/>
    <n v="0.75"/>
    <n v="1.5"/>
  </r>
  <r>
    <d v="2017-12-08T00:00:00"/>
    <x v="31"/>
    <s v="Jacques Woloviek"/>
    <x v="0"/>
    <s v="Chardonnay"/>
    <x v="3"/>
    <s v="Petit degré"/>
    <n v="10"/>
    <m/>
    <s v="oui"/>
    <m/>
    <n v="2"/>
    <n v="0.75"/>
    <n v="1.5"/>
  </r>
  <r>
    <d v="2017-12-08T00:00:00"/>
    <x v="31"/>
    <s v="Jacques Woloviek"/>
    <x v="0"/>
    <s v="Terret"/>
    <x v="3"/>
    <s v="Lot Oc Blanc"/>
    <n v="332"/>
    <m/>
    <s v="oui"/>
    <m/>
    <n v="2"/>
    <n v="0.75"/>
    <n v="1.5"/>
  </r>
  <r>
    <d v="2017-12-08T00:00:00"/>
    <x v="1"/>
    <s v="TWS"/>
    <x v="0"/>
    <s v="Muscat"/>
    <x v="3"/>
    <s v="-"/>
    <n v="79"/>
    <m/>
    <s v="oui"/>
    <m/>
    <n v="2"/>
    <n v="0.75"/>
    <n v="1.5"/>
  </r>
  <r>
    <d v="2017-12-08T00:00:00"/>
    <x v="1"/>
    <s v="TWS"/>
    <x v="0"/>
    <s v="Muscat"/>
    <x v="3"/>
    <s v="-"/>
    <s v="-"/>
    <m/>
    <s v="oui"/>
    <s v="30% 328 + 70% 79"/>
    <n v="2"/>
    <n v="0.75"/>
    <n v="1.5"/>
  </r>
  <r>
    <d v="2017-12-11T00:00:00"/>
    <x v="11"/>
    <s v="-"/>
    <x v="0"/>
    <s v="Sauvignon"/>
    <x v="3"/>
    <s v="classique"/>
    <n v="310"/>
    <m/>
    <s v="oui"/>
    <s v="nommé variétal pour Skalli"/>
    <n v="4"/>
    <n v="0.75"/>
    <n v="3"/>
  </r>
  <r>
    <d v="2017-12-12T00:00:00"/>
    <x v="4"/>
    <s v="-"/>
    <x v="0"/>
    <s v="Muscat"/>
    <x v="3"/>
    <s v="-"/>
    <n v="79"/>
    <m/>
    <s v="oui"/>
    <m/>
    <n v="4"/>
    <n v="0.75"/>
    <n v="3"/>
  </r>
  <r>
    <d v="2017-12-12T00:00:00"/>
    <x v="20"/>
    <s v="-"/>
    <x v="0"/>
    <s v="Chardonnay"/>
    <x v="3"/>
    <s v="Bouteille"/>
    <s v="FK07"/>
    <m/>
    <s v="oui"/>
    <m/>
    <n v="3"/>
    <n v="0.75"/>
    <n v="2.25"/>
  </r>
  <r>
    <d v="2017-12-14T00:00:00"/>
    <x v="1"/>
    <s v="Jacques Woloviek"/>
    <x v="0"/>
    <s v="Muscat"/>
    <x v="3"/>
    <s v="-"/>
    <n v="79"/>
    <m/>
    <s v="oui"/>
    <m/>
    <n v="6"/>
    <n v="0.75"/>
    <n v="4.5"/>
  </r>
  <r>
    <d v="2017-12-14T00:00:00"/>
    <x v="2"/>
    <s v="-"/>
    <x v="0"/>
    <s v="Viognier"/>
    <x v="3"/>
    <s v="-"/>
    <n v="69"/>
    <m/>
    <s v="oui"/>
    <m/>
    <n v="2"/>
    <n v="0.75"/>
    <n v="1.5"/>
  </r>
  <r>
    <d v="2017-12-14T00:00:00"/>
    <x v="0"/>
    <s v="Olivier Castillo"/>
    <x v="1"/>
    <s v="Rosé générique"/>
    <x v="3"/>
    <s v="Lot 1"/>
    <n v="413"/>
    <m/>
    <s v="oui"/>
    <s v="Cap d'Agde"/>
    <n v="3"/>
    <n v="0.75"/>
    <n v="2.25"/>
  </r>
  <r>
    <d v="2017-12-18T00:00:00"/>
    <x v="5"/>
    <s v="-"/>
    <x v="0"/>
    <s v="Chardonnay"/>
    <x v="3"/>
    <s v="variétal"/>
    <n v="421"/>
    <m/>
    <s v="oui"/>
    <m/>
    <n v="1"/>
    <n v="0.75"/>
    <n v="0.75"/>
  </r>
  <r>
    <d v="2017-12-18T00:00:00"/>
    <x v="5"/>
    <s v="-"/>
    <x v="0"/>
    <s v="Sauvignon"/>
    <x v="3"/>
    <s v="classique"/>
    <n v="310"/>
    <m/>
    <s v="oui"/>
    <m/>
    <n v="1"/>
    <n v="0.75"/>
    <n v="0.75"/>
  </r>
  <r>
    <d v="2017-12-18T00:00:00"/>
    <x v="5"/>
    <s v="-"/>
    <x v="0"/>
    <s v="Piquepoul Sauvignon"/>
    <x v="3"/>
    <s v="50% Piquepoul + 50% Sauvignon supérieur"/>
    <s v="-"/>
    <m/>
    <s v="oui"/>
    <m/>
    <n v="1"/>
    <n v="0.75"/>
    <n v="0.75"/>
  </r>
  <r>
    <d v="2017-12-18T00:00:00"/>
    <x v="5"/>
    <s v="-"/>
    <x v="0"/>
    <s v="Thau blanc"/>
    <x v="3"/>
    <s v="Thau Blanc"/>
    <n v="199"/>
    <m/>
    <s v="oui"/>
    <m/>
    <n v="1"/>
    <n v="0.75"/>
    <n v="0.75"/>
  </r>
  <r>
    <d v="2017-12-18T00:00:00"/>
    <x v="5"/>
    <s v="-"/>
    <x v="1"/>
    <s v="Merlot"/>
    <x v="3"/>
    <s v="Lot Merlot"/>
    <n v="202"/>
    <m/>
    <s v="oui"/>
    <m/>
    <n v="1"/>
    <n v="0.75"/>
    <n v="0.75"/>
  </r>
  <r>
    <d v="2017-12-18T00:00:00"/>
    <x v="5"/>
    <s v="-"/>
    <x v="1"/>
    <s v="Cinsault"/>
    <x v="3"/>
    <s v="Lot Cinsault"/>
    <n v="313"/>
    <m/>
    <s v="oui"/>
    <m/>
    <n v="1"/>
    <n v="0.75"/>
    <n v="0.75"/>
  </r>
  <r>
    <d v="2017-12-18T00:00:00"/>
    <x v="5"/>
    <s v="-"/>
    <x v="1"/>
    <s v="Grenache"/>
    <x v="3"/>
    <s v="Lot Grenache"/>
    <n v="322"/>
    <m/>
    <s v="oui"/>
    <m/>
    <n v="1"/>
    <n v="0.75"/>
    <n v="0.75"/>
  </r>
  <r>
    <d v="2017-12-18T00:00:00"/>
    <x v="5"/>
    <s v="-"/>
    <x v="1"/>
    <s v="Rosé générique"/>
    <x v="3"/>
    <s v="Lot 2"/>
    <n v="416"/>
    <m/>
    <s v="oui"/>
    <m/>
    <n v="1"/>
    <n v="0.75"/>
    <n v="0.75"/>
  </r>
  <r>
    <d v="2017-12-19T00:00:00"/>
    <x v="19"/>
    <s v="Pasquetto"/>
    <x v="0"/>
    <s v="VDF Blanc"/>
    <x v="3"/>
    <s v="Lot Solis"/>
    <n v="14"/>
    <m/>
    <s v="oui"/>
    <m/>
    <n v="2"/>
    <n v="0.75"/>
    <n v="1.5"/>
  </r>
  <r>
    <d v="2017-12-19T00:00:00"/>
    <x v="21"/>
    <s v="Conraads"/>
    <x v="2"/>
    <s v="Cabernet"/>
    <x v="3"/>
    <s v="Bouteille"/>
    <s v="-"/>
    <m/>
    <s v="oui"/>
    <s v="4 g/L sucre  + 20 cL/hL Stabivin SP"/>
    <n v="3"/>
    <n v="0.75"/>
    <n v="2.25"/>
  </r>
  <r>
    <d v="2018-01-03T00:00:00"/>
    <x v="2"/>
    <s v="-"/>
    <x v="0"/>
    <s v="Sauvignon"/>
    <x v="3"/>
    <s v="variétal"/>
    <n v="9"/>
    <m/>
    <s v="oui"/>
    <m/>
    <n v="2"/>
    <n v="0.75"/>
    <n v="1.5"/>
  </r>
  <r>
    <d v="2018-01-03T00:00:00"/>
    <x v="2"/>
    <s v="-"/>
    <x v="0"/>
    <s v="Sauvignon"/>
    <x v="3"/>
    <s v="supérieur"/>
    <n v="33"/>
    <m/>
    <s v="oui"/>
    <m/>
    <n v="2"/>
    <n v="0.75"/>
    <n v="1.5"/>
  </r>
  <r>
    <d v="2018-01-03T00:00:00"/>
    <x v="43"/>
    <s v="Vailhere Pascal"/>
    <x v="0"/>
    <s v="Muscat"/>
    <x v="3"/>
    <s v="Petit degré"/>
    <s v="NP78"/>
    <m/>
    <s v="oui"/>
    <m/>
    <n v="1"/>
    <n v="5"/>
    <n v="5"/>
  </r>
  <r>
    <d v="2018-01-03T00:00:00"/>
    <x v="43"/>
    <s v="Vailhere Pascal"/>
    <x v="2"/>
    <s v="Cabernet"/>
    <x v="3"/>
    <s v="Lot Cabernet"/>
    <n v="201"/>
    <m/>
    <s v="oui"/>
    <m/>
    <n v="1"/>
    <n v="5"/>
    <n v="5"/>
  </r>
  <r>
    <d v="2018-01-03T00:00:00"/>
    <x v="2"/>
    <s v="-"/>
    <x v="0"/>
    <s v="Viognier"/>
    <x v="3"/>
    <s v="Boisé"/>
    <n v="318"/>
    <m/>
    <s v="oui"/>
    <m/>
    <n v="3"/>
    <n v="0.75"/>
    <n v="2.25"/>
  </r>
  <r>
    <d v="2018-01-08T00:00:00"/>
    <x v="2"/>
    <s v="-"/>
    <x v="0"/>
    <s v="Muscat"/>
    <x v="3"/>
    <s v="-"/>
    <s v="CF4"/>
    <m/>
    <s v="oui"/>
    <m/>
    <n v="2"/>
    <n v="0.75"/>
    <n v="1.5"/>
  </r>
  <r>
    <d v="2018-01-08T00:00:00"/>
    <x v="11"/>
    <s v="-"/>
    <x v="0"/>
    <s v="Sauvignon"/>
    <x v="3"/>
    <s v="classique"/>
    <n v="11"/>
    <m/>
    <s v="oui"/>
    <s v="nommé variétal pour Skalli"/>
    <n v="6"/>
    <n v="0.75"/>
    <n v="4.5"/>
  </r>
  <r>
    <d v="2018-01-09T00:00:00"/>
    <x v="31"/>
    <s v="Jacques Woloviek"/>
    <x v="0"/>
    <s v="Chardonnay"/>
    <x v="0"/>
    <s v="-"/>
    <s v="-"/>
    <m/>
    <s v="oui"/>
    <s v="60% Chardo riche 2016 + 40% Terret Oc"/>
    <n v="3"/>
    <n v="0.75"/>
    <n v="2.25"/>
  </r>
  <r>
    <d v="2018-01-09T00:00:00"/>
    <x v="31"/>
    <s v="Jacques Woloviek"/>
    <x v="0"/>
    <s v="Chardonnay"/>
    <x v="0"/>
    <s v="-"/>
    <s v="-"/>
    <m/>
    <s v="oui"/>
    <s v="70% Chardo riche 2016 + 30% Terret Oc"/>
    <n v="3"/>
    <n v="0.75"/>
    <n v="2.25"/>
  </r>
  <r>
    <d v="2018-01-09T00:00:00"/>
    <x v="5"/>
    <s v="-"/>
    <x v="0"/>
    <s v="Sauvignon"/>
    <x v="3"/>
    <s v="classique"/>
    <n v="310"/>
    <m/>
    <s v="oui"/>
    <m/>
    <n v="2"/>
    <n v="0.75"/>
    <n v="1.5"/>
  </r>
  <r>
    <d v="2018-01-09T00:00:00"/>
    <x v="5"/>
    <s v="-"/>
    <x v="1"/>
    <s v="Grenache"/>
    <x v="3"/>
    <s v="Lot Grenache"/>
    <n v="322"/>
    <m/>
    <s v="oui"/>
    <m/>
    <n v="2"/>
    <n v="0.75"/>
    <n v="1.5"/>
  </r>
  <r>
    <d v="2018-01-09T00:00:00"/>
    <x v="5"/>
    <s v="-"/>
    <x v="1"/>
    <s v="Cinsault"/>
    <x v="3"/>
    <s v="Lot Cinsault"/>
    <n v="205"/>
    <m/>
    <s v="oui"/>
    <m/>
    <n v="2"/>
    <n v="0.75"/>
    <n v="1.5"/>
  </r>
  <r>
    <d v="2018-01-09T00:00:00"/>
    <x v="5"/>
    <s v="-"/>
    <x v="1"/>
    <s v="Merlot"/>
    <x v="3"/>
    <s v="Lot Merlot"/>
    <n v="202"/>
    <m/>
    <s v="oui"/>
    <m/>
    <n v="2"/>
    <n v="0.75"/>
    <n v="1.5"/>
  </r>
  <r>
    <d v="2018-01-11T00:00:00"/>
    <x v="31"/>
    <s v="-"/>
    <x v="0"/>
    <s v="Chardonnay"/>
    <x v="3"/>
    <s v="Petit degré"/>
    <n v="10"/>
    <m/>
    <s v="oui"/>
    <m/>
    <n v="1"/>
    <n v="0.75"/>
    <n v="0.75"/>
  </r>
  <r>
    <d v="2018-01-11T00:00:00"/>
    <x v="31"/>
    <s v="-"/>
    <x v="0"/>
    <s v="Chardonnay"/>
    <x v="3"/>
    <s v="variétal"/>
    <n v="421"/>
    <m/>
    <s v="oui"/>
    <m/>
    <n v="1"/>
    <n v="0.75"/>
    <n v="0.75"/>
  </r>
  <r>
    <d v="2018-01-11T00:00:00"/>
    <x v="31"/>
    <s v="-"/>
    <x v="0"/>
    <s v="Chardonnay"/>
    <x v="0"/>
    <s v="riche"/>
    <n v="21"/>
    <m/>
    <s v="oui"/>
    <m/>
    <n v="1"/>
    <n v="0.75"/>
    <n v="0.75"/>
  </r>
  <r>
    <d v="2018-01-11T00:00:00"/>
    <x v="31"/>
    <s v="-"/>
    <x v="0"/>
    <s v="Terret"/>
    <x v="3"/>
    <s v="Lot Oc Blanc"/>
    <n v="331"/>
    <m/>
    <s v="oui"/>
    <m/>
    <n v="1"/>
    <n v="0.75"/>
    <n v="0.75"/>
  </r>
  <r>
    <d v="2018-01-11T00:00:00"/>
    <x v="1"/>
    <s v="TWS"/>
    <x v="0"/>
    <s v="Muscat"/>
    <x v="3"/>
    <s v="-"/>
    <n v="84"/>
    <m/>
    <s v="oui"/>
    <m/>
    <n v="4"/>
    <n v="0.75"/>
    <n v="3"/>
  </r>
  <r>
    <d v="2018-01-12T00:00:00"/>
    <x v="1"/>
    <s v="TWS"/>
    <x v="0"/>
    <s v="Muscat"/>
    <x v="3"/>
    <s v="-"/>
    <n v="84"/>
    <m/>
    <s v="oui"/>
    <m/>
    <n v="2"/>
    <n v="0.75"/>
    <n v="1.5"/>
  </r>
  <r>
    <d v="2018-01-12T00:00:00"/>
    <x v="1"/>
    <s v="TWS"/>
    <x v="0"/>
    <s v="Chardonnay"/>
    <x v="3"/>
    <s v="Lot Solis"/>
    <n v="420"/>
    <m/>
    <s v="oui"/>
    <m/>
    <n v="2"/>
    <n v="0.75"/>
    <n v="1.5"/>
  </r>
  <r>
    <d v="2018-01-15T00:00:00"/>
    <x v="2"/>
    <s v="-"/>
    <x v="0"/>
    <s v="Chardonnay"/>
    <x v="3"/>
    <s v="supérieur"/>
    <n v="414"/>
    <m/>
    <s v="oui"/>
    <m/>
    <n v="2"/>
    <n v="0.75"/>
    <n v="1.5"/>
  </r>
  <r>
    <d v="2018-01-15T00:00:00"/>
    <x v="2"/>
    <s v="-"/>
    <x v="0"/>
    <s v="Chardonnay"/>
    <x v="3"/>
    <s v="variétal"/>
    <n v="421"/>
    <m/>
    <s v="oui"/>
    <m/>
    <n v="2"/>
    <n v="0.75"/>
    <n v="1.5"/>
  </r>
  <r>
    <d v="2018-01-15T00:00:00"/>
    <x v="2"/>
    <s v="-"/>
    <x v="0"/>
    <s v="Terret"/>
    <x v="3"/>
    <s v="-"/>
    <n v="196"/>
    <m/>
    <s v="oui"/>
    <m/>
    <n v="3"/>
    <n v="0.75"/>
    <n v="2.25"/>
  </r>
  <r>
    <d v="2018-01-15T00:00:00"/>
    <x v="20"/>
    <s v="-"/>
    <x v="0"/>
    <s v="Chardonnay"/>
    <x v="3"/>
    <s v="Bouteille"/>
    <n v="29"/>
    <m/>
    <s v="oui"/>
    <m/>
    <n v="6"/>
    <n v="0.75"/>
    <n v="4.5"/>
  </r>
  <r>
    <d v="2018-01-15T00:00:00"/>
    <x v="20"/>
    <s v="-"/>
    <x v="0"/>
    <s v="Sauvignon"/>
    <x v="3"/>
    <s v="Bouteille"/>
    <n v="19"/>
    <m/>
    <s v="oui"/>
    <m/>
    <n v="6"/>
    <n v="0.75"/>
    <n v="4.5"/>
  </r>
  <r>
    <d v="2018-01-15T00:00:00"/>
    <x v="20"/>
    <s v="-"/>
    <x v="0"/>
    <s v="Terret"/>
    <x v="3"/>
    <s v="Bouteille"/>
    <n v="38"/>
    <m/>
    <s v="oui"/>
    <m/>
    <n v="6"/>
    <n v="0.75"/>
    <n v="4.5"/>
  </r>
  <r>
    <d v="2018-01-15T00:00:00"/>
    <x v="20"/>
    <s v="-"/>
    <x v="0"/>
    <s v="Cave du Port"/>
    <x v="3"/>
    <s v="Bouteille"/>
    <s v="FK05"/>
    <m/>
    <s v="oui"/>
    <m/>
    <n v="6"/>
    <n v="0.75"/>
    <n v="4.5"/>
  </r>
  <r>
    <d v="2018-01-15T00:00:00"/>
    <x v="20"/>
    <s v="-"/>
    <x v="1"/>
    <s v="Grenache Cinsault"/>
    <x v="3"/>
    <s v="Bouteille"/>
    <n v="82"/>
    <m/>
    <s v="oui"/>
    <m/>
    <n v="6"/>
    <n v="0.75"/>
    <n v="4.5"/>
  </r>
  <r>
    <d v="2018-01-15T00:00:00"/>
    <x v="20"/>
    <s v="-"/>
    <x v="1"/>
    <s v="Marselan"/>
    <x v="3"/>
    <s v="Bouteille"/>
    <n v="70"/>
    <m/>
    <s v="oui"/>
    <m/>
    <n v="1"/>
    <n v="0.75"/>
    <n v="0.75"/>
  </r>
  <r>
    <d v="2018-01-15T00:00:00"/>
    <x v="20"/>
    <s v="-"/>
    <x v="1"/>
    <s v="Pinot Noir"/>
    <x v="3"/>
    <s v="-"/>
    <n v="334"/>
    <m/>
    <s v="oui"/>
    <m/>
    <n v="1"/>
    <n v="0.75"/>
    <n v="0.75"/>
  </r>
  <r>
    <d v="2018-01-15T00:00:00"/>
    <x v="20"/>
    <s v="-"/>
    <x v="2"/>
    <s v="Cabernet"/>
    <x v="3"/>
    <s v="Bouteille"/>
    <n v="418"/>
    <m/>
    <s v="oui"/>
    <m/>
    <n v="6"/>
    <n v="0.75"/>
    <n v="4.5"/>
  </r>
  <r>
    <d v="2018-01-15T00:00:00"/>
    <x v="20"/>
    <s v="-"/>
    <x v="2"/>
    <s v="Maraval"/>
    <x v="3"/>
    <s v="Bouteille"/>
    <s v="FK10"/>
    <m/>
    <s v="oui"/>
    <m/>
    <n v="6"/>
    <n v="0.75"/>
    <n v="4.5"/>
  </r>
  <r>
    <d v="2018-01-16T00:00:00"/>
    <x v="10"/>
    <s v="René Jeanjean"/>
    <x v="0"/>
    <s v="Oc Blanc"/>
    <x v="3"/>
    <s v="Oc Blanc"/>
    <n v="331"/>
    <m/>
    <s v="oui"/>
    <m/>
    <n v="6"/>
    <n v="0.75"/>
    <n v="4.5"/>
  </r>
  <r>
    <d v="2018-01-16T00:00:00"/>
    <x v="29"/>
    <s v="René Jeanjean"/>
    <x v="0"/>
    <s v="Sauvignon"/>
    <x v="3"/>
    <s v="supérieur"/>
    <n v="405"/>
    <m/>
    <s v="oui"/>
    <m/>
    <n v="2"/>
    <n v="0.75"/>
    <n v="1.5"/>
  </r>
  <r>
    <d v="2018-01-16T00:00:00"/>
    <x v="29"/>
    <s v="René Jeanjean"/>
    <x v="0"/>
    <s v="Viognier"/>
    <x v="3"/>
    <s v="-"/>
    <n v="88"/>
    <m/>
    <s v="oui"/>
    <m/>
    <n v="1"/>
    <n v="0.75"/>
    <n v="0.75"/>
  </r>
  <r>
    <d v="2018-01-18T00:00:00"/>
    <x v="27"/>
    <s v="San Nicolas"/>
    <x v="0"/>
    <s v="Chardonnay"/>
    <x v="3"/>
    <s v="supérieur"/>
    <n v="414"/>
    <m/>
    <s v="oui"/>
    <m/>
    <n v="4"/>
    <n v="0.75"/>
    <n v="3"/>
  </r>
  <r>
    <d v="2018-01-18T00:00:00"/>
    <x v="27"/>
    <s v="San Nicolas"/>
    <x v="0"/>
    <s v="Chardonnay"/>
    <x v="0"/>
    <s v="Lot Solis"/>
    <n v="306"/>
    <m/>
    <s v="oui"/>
    <m/>
    <n v="4"/>
    <n v="0.75"/>
    <n v="3"/>
  </r>
  <r>
    <d v="2018-01-18T00:00:00"/>
    <x v="44"/>
    <s v="San Nicolas"/>
    <x v="0"/>
    <s v="Rosé générique"/>
    <x v="3"/>
    <s v="Lot 1"/>
    <n v="413"/>
    <m/>
    <s v="oui"/>
    <m/>
    <n v="4"/>
    <n v="0.75"/>
    <n v="3"/>
  </r>
  <r>
    <d v="2018-01-18T00:00:00"/>
    <x v="44"/>
    <s v="San Nicolas"/>
    <x v="0"/>
    <s v="Rosé générique"/>
    <x v="3"/>
    <s v="Lot 2"/>
    <n v="416"/>
    <m/>
    <s v="oui"/>
    <m/>
    <n v="4"/>
    <n v="0.75"/>
    <n v="3"/>
  </r>
  <r>
    <d v="2018-01-18T00:00:00"/>
    <x v="45"/>
    <s v="-"/>
    <x v="0"/>
    <s v="Oc blanc"/>
    <x v="3"/>
    <s v="Lot Ranvier"/>
    <s v="-"/>
    <m/>
    <s v="oui"/>
    <m/>
    <n v="6"/>
    <n v="0.75"/>
    <n v="4.5"/>
  </r>
  <r>
    <d v="2018-01-22T00:00:00"/>
    <x v="2"/>
    <s v="-"/>
    <x v="0"/>
    <s v="Viognier"/>
    <x v="3"/>
    <s v="Boisé"/>
    <n v="318"/>
    <m/>
    <s v="oui"/>
    <m/>
    <n v="3"/>
    <n v="0.75"/>
    <n v="2.25"/>
  </r>
  <r>
    <d v="2018-01-23T00:00:00"/>
    <x v="5"/>
    <s v="-"/>
    <x v="0"/>
    <s v="Thau blanc"/>
    <x v="3"/>
    <s v="Thau Blanc"/>
    <n v="199"/>
    <m/>
    <s v="oui"/>
    <m/>
    <n v="4"/>
    <n v="0.75"/>
    <n v="3"/>
  </r>
  <r>
    <d v="2018-01-23T00:00:00"/>
    <x v="5"/>
    <s v="-"/>
    <x v="1"/>
    <s v="Merlot"/>
    <x v="3"/>
    <s v="Lot Merlot"/>
    <n v="326"/>
    <m/>
    <s v="oui"/>
    <m/>
    <n v="4"/>
    <n v="0.75"/>
    <n v="3"/>
  </r>
  <r>
    <d v="2018-01-23T00:00:00"/>
    <x v="5"/>
    <s v="-"/>
    <x v="0"/>
    <s v="Chardonnay"/>
    <x v="3"/>
    <s v="supérieur"/>
    <n v="414"/>
    <m/>
    <s v="oui"/>
    <m/>
    <n v="1"/>
    <n v="0.75"/>
    <n v="0.75"/>
  </r>
  <r>
    <d v="2018-01-24T00:00:00"/>
    <x v="10"/>
    <s v="René Jeanjean"/>
    <x v="0"/>
    <s v="Viognier"/>
    <x v="3"/>
    <s v="-"/>
    <n v="88"/>
    <m/>
    <s v="oui"/>
    <s v="ex 78"/>
    <n v="1"/>
    <n v="0.75"/>
    <n v="0.75"/>
  </r>
  <r>
    <d v="2018-01-26T00:00:00"/>
    <x v="2"/>
    <s v="-"/>
    <x v="0"/>
    <s v="Sauvignon"/>
    <x v="3"/>
    <s v="variétal"/>
    <n v="21"/>
    <m/>
    <s v="oui"/>
    <m/>
    <n v="2"/>
    <n v="0.75"/>
    <n v="1.5"/>
  </r>
  <r>
    <d v="2018-01-26T00:00:00"/>
    <x v="2"/>
    <s v="-"/>
    <x v="0"/>
    <s v="Sauvignon"/>
    <x v="3"/>
    <s v="supérieur"/>
    <n v="77"/>
    <m/>
    <s v="oui"/>
    <m/>
    <n v="2"/>
    <n v="0.75"/>
    <n v="1.5"/>
  </r>
  <r>
    <d v="2018-01-26T00:00:00"/>
    <x v="11"/>
    <s v="-"/>
    <x v="0"/>
    <s v="Chardonnay"/>
    <x v="3"/>
    <s v="supérieur"/>
    <n v="414"/>
    <m/>
    <s v="oui"/>
    <m/>
    <n v="1"/>
    <n v="0.75"/>
    <n v="0.75"/>
  </r>
  <r>
    <d v="2018-01-29T00:00:00"/>
    <x v="9"/>
    <s v="Jacques Woloviek"/>
    <x v="0"/>
    <s v="Chardonnay"/>
    <x v="3"/>
    <s v="Lot ADVINI"/>
    <n v="23"/>
    <m/>
    <s v="oui"/>
    <m/>
    <n v="4"/>
    <n v="0.75"/>
    <n v="3"/>
  </r>
  <r>
    <d v="2018-01-29T00:00:00"/>
    <x v="31"/>
    <s v="Jacques Woloviek"/>
    <x v="0"/>
    <s v="Chardonnay"/>
    <x v="3"/>
    <s v="Petit degré"/>
    <n v="28"/>
    <m/>
    <s v="oui"/>
    <m/>
    <n v="4"/>
    <n v="0.75"/>
    <n v="3"/>
  </r>
  <r>
    <d v="2018-01-29T00:00:00"/>
    <x v="5"/>
    <s v="-"/>
    <x v="0"/>
    <s v="Thau blanc"/>
    <x v="3"/>
    <s v="Thau Blanc"/>
    <n v="409"/>
    <m/>
    <s v="oui"/>
    <m/>
    <n v="2"/>
    <n v="0.75"/>
    <n v="1.5"/>
  </r>
  <r>
    <d v="2018-01-29T00:00:00"/>
    <x v="20"/>
    <s v="-"/>
    <x v="0"/>
    <s v="Chardonnay"/>
    <x v="3"/>
    <s v="Bouteille"/>
    <n v="29"/>
    <m/>
    <s v="oui"/>
    <m/>
    <n v="3"/>
    <n v="0.75"/>
    <n v="2.25"/>
  </r>
  <r>
    <d v="2018-01-29T00:00:00"/>
    <x v="20"/>
    <s v="-"/>
    <x v="0"/>
    <s v="Sauvignon"/>
    <x v="3"/>
    <s v="Bouteille"/>
    <n v="19"/>
    <m/>
    <s v="oui"/>
    <m/>
    <n v="3"/>
    <n v="0.75"/>
    <n v="2.25"/>
  </r>
  <r>
    <d v="2018-01-29T00:00:00"/>
    <x v="20"/>
    <s v="-"/>
    <x v="1"/>
    <s v="Grenache Cinsault"/>
    <x v="3"/>
    <s v="Bouteille"/>
    <n v="82"/>
    <m/>
    <s v="oui"/>
    <m/>
    <n v="3"/>
    <n v="0.75"/>
    <n v="2.25"/>
  </r>
  <r>
    <d v="2018-01-29T00:00:00"/>
    <x v="20"/>
    <s v="-"/>
    <x v="2"/>
    <s v="Merlot"/>
    <x v="3"/>
    <s v="Bouteille"/>
    <n v="120"/>
    <m/>
    <s v="oui"/>
    <m/>
    <n v="3"/>
    <n v="0.75"/>
    <n v="2.25"/>
  </r>
  <r>
    <d v="2018-01-31T00:00:00"/>
    <x v="46"/>
    <s v="-"/>
    <x v="0"/>
    <s v="Terret"/>
    <x v="3"/>
    <s v="Thau Blanc"/>
    <n v="409"/>
    <m/>
    <s v="oui"/>
    <m/>
    <n v="2"/>
    <n v="0.75"/>
    <n v="1.5"/>
  </r>
  <r>
    <d v="2018-01-31T00:00:00"/>
    <x v="43"/>
    <s v="Vailhere Pascal"/>
    <x v="0"/>
    <s v="Muscat"/>
    <x v="3"/>
    <s v="Petit degré"/>
    <s v="NP78"/>
    <m/>
    <s v="oui"/>
    <m/>
    <n v="3"/>
    <n v="0.75"/>
    <n v="2.25"/>
  </r>
  <r>
    <d v="2018-02-05T00:00:00"/>
    <x v="29"/>
    <s v="René Jeanjean"/>
    <x v="1"/>
    <s v="Cinsault"/>
    <x v="3"/>
    <s v="Lot Cinsault"/>
    <n v="313"/>
    <m/>
    <s v="oui"/>
    <m/>
    <n v="2"/>
    <n v="0.75"/>
    <n v="1.5"/>
  </r>
  <r>
    <d v="2018-02-05T00:00:00"/>
    <x v="29"/>
    <s v="René Jeanjean"/>
    <x v="1"/>
    <s v="Cinsault"/>
    <x v="0"/>
    <s v="-"/>
    <s v="FK10"/>
    <m/>
    <s v="oui"/>
    <s v="Cinsault 2016 à rafraichir"/>
    <n v="2"/>
    <n v="0.75"/>
    <n v="1.5"/>
  </r>
  <r>
    <d v="2018-02-05T00:00:00"/>
    <x v="29"/>
    <s v="René Jeanjean"/>
    <x v="0"/>
    <s v="Muscat"/>
    <x v="3"/>
    <s v="-"/>
    <n v="100"/>
    <m/>
    <s v="oui"/>
    <m/>
    <n v="2"/>
    <n v="0.75"/>
    <n v="1.5"/>
  </r>
  <r>
    <d v="2018-02-05T00:00:00"/>
    <x v="2"/>
    <s v="-"/>
    <x v="0"/>
    <s v="Chardonnay"/>
    <x v="3"/>
    <s v="supérieur"/>
    <n v="414"/>
    <m/>
    <s v="oui"/>
    <m/>
    <n v="1"/>
    <n v="0.75"/>
    <n v="0.75"/>
  </r>
  <r>
    <d v="2018-02-05T00:00:00"/>
    <x v="2"/>
    <s v="-"/>
    <x v="0"/>
    <s v="Chardonnay"/>
    <x v="3"/>
    <s v="variétal"/>
    <n v="421"/>
    <m/>
    <s v="oui"/>
    <m/>
    <n v="1"/>
    <n v="0.75"/>
    <n v="0.75"/>
  </r>
  <r>
    <d v="2018-02-05T00:00:00"/>
    <x v="28"/>
    <s v="-"/>
    <x v="2"/>
    <s v="Merlot"/>
    <x v="3"/>
    <s v="bouteille"/>
    <n v="120"/>
    <m/>
    <s v="oui"/>
    <m/>
    <n v="1"/>
    <n v="0.75"/>
    <n v="0.75"/>
  </r>
  <r>
    <d v="2018-02-05T00:00:00"/>
    <x v="32"/>
    <s v="-"/>
    <x v="2"/>
    <s v="Pinot Noir"/>
    <x v="3"/>
    <s v="Lot PN"/>
    <s v="-"/>
    <m/>
    <s v="oui"/>
    <s v="50% 44 + 50% 40"/>
    <n v="2"/>
    <n v="0.75"/>
    <n v="1.5"/>
  </r>
  <r>
    <d v="2018-02-07T00:00:00"/>
    <x v="11"/>
    <s v="-"/>
    <x v="0"/>
    <s v="Sauvignon"/>
    <x v="3"/>
    <s v="classique"/>
    <n v="310"/>
    <m/>
    <s v="oui"/>
    <s v="Nommé variétal pour Skalli"/>
    <n v="3"/>
    <n v="0.75"/>
    <n v="2.25"/>
  </r>
  <r>
    <d v="2018-02-15T00:00:00"/>
    <x v="11"/>
    <s v="-"/>
    <x v="0"/>
    <s v="Sauvignon"/>
    <x v="3"/>
    <s v="supérieur"/>
    <n v="310"/>
    <m/>
    <s v="oui"/>
    <s v="Nommé variétal pour Skalli"/>
    <n v="2"/>
    <n v="0.75"/>
    <n v="1.5"/>
  </r>
  <r>
    <d v="2018-02-15T00:00:00"/>
    <x v="11"/>
    <s v="-"/>
    <x v="0"/>
    <s v="Chardonnay"/>
    <x v="3"/>
    <s v="variétal"/>
    <n v="403"/>
    <m/>
    <s v="oui"/>
    <m/>
    <n v="4"/>
    <n v="0.75"/>
    <n v="3"/>
  </r>
  <r>
    <d v="2018-02-15T00:00:00"/>
    <x v="11"/>
    <s v="-"/>
    <x v="0"/>
    <s v="Chardonnay"/>
    <x v="3"/>
    <s v="supérieur"/>
    <n v="87"/>
    <m/>
    <s v="oui"/>
    <m/>
    <n v="4"/>
    <n v="0.75"/>
    <n v="3"/>
  </r>
  <r>
    <d v="2018-02-15T00:00:00"/>
    <x v="11"/>
    <s v="-"/>
    <x v="1"/>
    <s v="Merlot"/>
    <x v="3"/>
    <s v="Lot Merlot"/>
    <n v="326"/>
    <m/>
    <s v="oui"/>
    <m/>
    <n v="2"/>
    <n v="0.75"/>
    <n v="1.5"/>
  </r>
  <r>
    <d v="2018-02-15T00:00:00"/>
    <x v="9"/>
    <s v="Jacques Woloviek"/>
    <x v="0"/>
    <s v="Chardonnay"/>
    <x v="3"/>
    <s v="Boisé"/>
    <n v="123"/>
    <m/>
    <s v="oui"/>
    <m/>
    <n v="3"/>
    <n v="0.75"/>
    <n v="2.25"/>
  </r>
  <r>
    <d v="2018-02-19T00:00:00"/>
    <x v="2"/>
    <s v="-"/>
    <x v="0"/>
    <s v="Sauvignon"/>
    <x v="3"/>
    <s v="variétal"/>
    <n v="37"/>
    <m/>
    <s v="oui"/>
    <m/>
    <n v="1"/>
    <n v="0.75"/>
    <n v="0.75"/>
  </r>
  <r>
    <d v="2018-02-19T00:00:00"/>
    <x v="2"/>
    <s v="-"/>
    <x v="0"/>
    <s v="Sauvignon"/>
    <x v="3"/>
    <s v="supérieur"/>
    <n v="11"/>
    <m/>
    <s v="oui"/>
    <m/>
    <n v="1"/>
    <n v="0.75"/>
    <n v="0.75"/>
  </r>
  <r>
    <d v="2018-02-20T00:00:00"/>
    <x v="31"/>
    <s v="Jacques Woloviek"/>
    <x v="0"/>
    <s v="Terret"/>
    <x v="3"/>
    <s v="Lot Oc Blanc"/>
    <n v="81"/>
    <m/>
    <s v="oui"/>
    <m/>
    <n v="3"/>
    <n v="0.75"/>
    <n v="2.25"/>
  </r>
  <r>
    <d v="2018-02-20T00:00:00"/>
    <x v="1"/>
    <s v="Jacques Woloviek"/>
    <x v="0"/>
    <s v="Sauvignon"/>
    <x v="3"/>
    <s v="supérieur"/>
    <n v="11"/>
    <m/>
    <s v="oui"/>
    <m/>
    <n v="1"/>
    <n v="0.75"/>
    <n v="0.75"/>
  </r>
  <r>
    <d v="2018-02-22T00:00:00"/>
    <x v="9"/>
    <s v="Jacques Woloviek"/>
    <x v="0"/>
    <s v="Chardonnay"/>
    <x v="3"/>
    <s v="Lot ADVINI"/>
    <n v="7"/>
    <m/>
    <s v="oui"/>
    <m/>
    <n v="3"/>
    <n v="0.75"/>
    <n v="2.25"/>
  </r>
  <r>
    <d v="2018-02-22T00:00:00"/>
    <x v="9"/>
    <s v="Jacques Woloviek"/>
    <x v="0"/>
    <s v="Chardonnay"/>
    <x v="3"/>
    <s v="boisé"/>
    <s v="-"/>
    <m/>
    <s v="oui"/>
    <s v="20% Chardo Advini (7) + 10% Vio boisé (318) + 70 % Chardo bourgui (123)"/>
    <n v="6"/>
    <n v="0.75"/>
    <n v="4.5"/>
  </r>
  <r>
    <d v="2018-02-22T00:00:00"/>
    <x v="20"/>
    <s v="-"/>
    <x v="0"/>
    <s v="Chardonnay"/>
    <x v="3"/>
    <s v="variétal"/>
    <n v="403"/>
    <m/>
    <s v="oui"/>
    <m/>
    <n v="1"/>
    <n v="0.75"/>
    <n v="0.75"/>
  </r>
  <r>
    <d v="2018-02-22T00:00:00"/>
    <x v="20"/>
    <s v="-"/>
    <x v="0"/>
    <s v="Chardonnay"/>
    <x v="3"/>
    <s v="supérieur"/>
    <n v="8"/>
    <m/>
    <s v="oui"/>
    <m/>
    <n v="1"/>
    <n v="0.75"/>
    <n v="0.75"/>
  </r>
  <r>
    <d v="2018-02-22T00:00:00"/>
    <x v="20"/>
    <s v="-"/>
    <x v="2"/>
    <s v="Cabernet"/>
    <x v="3"/>
    <s v="bouteille"/>
    <n v="94"/>
    <m/>
    <s v="oui"/>
    <m/>
    <n v="3"/>
    <n v="0.75"/>
    <n v="2.25"/>
  </r>
  <r>
    <d v="2018-02-22T00:00:00"/>
    <x v="20"/>
    <s v="-"/>
    <x v="2"/>
    <s v="Merlot"/>
    <x v="3"/>
    <s v="bouteille"/>
    <s v="CF4"/>
    <m/>
    <s v="oui"/>
    <m/>
    <n v="6"/>
    <n v="0.75"/>
    <n v="4.5"/>
  </r>
  <r>
    <d v="2018-02-22T00:00:00"/>
    <x v="20"/>
    <s v="-"/>
    <x v="1"/>
    <s v="Grenache Cinsault"/>
    <x v="3"/>
    <s v="bouteille"/>
    <s v="-"/>
    <m/>
    <s v="oui"/>
    <m/>
    <n v="6"/>
    <n v="0.75"/>
    <n v="4.5"/>
  </r>
  <r>
    <d v="2018-02-22T00:00:00"/>
    <x v="20"/>
    <s v="-"/>
    <x v="0"/>
    <s v="Chardonnay"/>
    <x v="3"/>
    <s v="Bouteille"/>
    <s v="-"/>
    <m/>
    <s v="oui"/>
    <m/>
    <n v="6"/>
    <n v="0.75"/>
    <n v="4.5"/>
  </r>
  <r>
    <d v="2018-02-22T00:00:00"/>
    <x v="20"/>
    <s v="-"/>
    <x v="0"/>
    <s v="Sauvignon"/>
    <x v="3"/>
    <s v="bouteille"/>
    <s v="-"/>
    <m/>
    <s v="oui"/>
    <m/>
    <n v="6"/>
    <n v="0.75"/>
    <n v="4.5"/>
  </r>
  <r>
    <d v="2018-02-22T00:00:00"/>
    <x v="20"/>
    <s v="-"/>
    <x v="0"/>
    <s v="Muscat"/>
    <x v="3"/>
    <s v="bouteille"/>
    <s v="-"/>
    <m/>
    <s v="oui"/>
    <m/>
    <n v="6"/>
    <n v="0.75"/>
    <n v="4.5"/>
  </r>
  <r>
    <d v="2018-02-27T00:00:00"/>
    <x v="9"/>
    <s v="Jacques Woloviek"/>
    <x v="1"/>
    <s v="Merlot"/>
    <x v="3"/>
    <s v="Lot Merlot"/>
    <n v="326"/>
    <m/>
    <s v="oui"/>
    <m/>
    <n v="4"/>
    <n v="0.75"/>
    <n v="3"/>
  </r>
  <r>
    <d v="2018-02-27T00:00:00"/>
    <x v="5"/>
    <s v="-"/>
    <x v="0"/>
    <s v="Thau blanc"/>
    <x v="3"/>
    <s v="Thau Blanc"/>
    <n v="198"/>
    <m/>
    <s v="oui"/>
    <m/>
    <n v="7"/>
    <n v="0.75"/>
    <n v="5.25"/>
  </r>
  <r>
    <d v="2018-02-27T00:00:00"/>
    <x v="5"/>
    <s v="-"/>
    <x v="1"/>
    <s v="HippoCap"/>
    <x v="3"/>
    <s v="Bouteille"/>
    <s v="-"/>
    <m/>
    <s v="oui"/>
    <m/>
    <n v="2"/>
    <n v="0.75"/>
    <n v="1.5"/>
  </r>
  <r>
    <d v="2018-02-27T00:00:00"/>
    <x v="5"/>
    <s v="-"/>
    <x v="1"/>
    <s v="Terre et Mer Rosé"/>
    <x v="3"/>
    <s v="Bouteille"/>
    <s v="-"/>
    <m/>
    <s v="oui"/>
    <m/>
    <n v="2"/>
    <n v="0.75"/>
    <n v="1.5"/>
  </r>
  <r>
    <d v="2018-02-27T00:00:00"/>
    <x v="5"/>
    <s v="-"/>
    <x v="1"/>
    <s v="Marselan"/>
    <x v="3"/>
    <s v="Bouteille"/>
    <s v="-"/>
    <m/>
    <s v="oui"/>
    <m/>
    <n v="2"/>
    <n v="0.75"/>
    <n v="1.5"/>
  </r>
  <r>
    <d v="2018-02-27T00:00:00"/>
    <x v="47"/>
    <s v="Gilles Lambert"/>
    <x v="0"/>
    <s v="Chardonnay"/>
    <x v="3"/>
    <s v="Supérieur"/>
    <n v="8"/>
    <m/>
    <s v="oui"/>
    <m/>
    <n v="2"/>
    <n v="0.75"/>
    <n v="1.5"/>
  </r>
  <r>
    <d v="2018-02-27T00:00:00"/>
    <x v="2"/>
    <s v="-"/>
    <x v="0"/>
    <s v="Sauvignon"/>
    <x v="3"/>
    <s v="variétal"/>
    <n v="31"/>
    <m/>
    <s v="oui"/>
    <m/>
    <n v="2"/>
    <n v="0.75"/>
    <n v="1.5"/>
  </r>
  <r>
    <d v="2018-02-27T00:00:00"/>
    <x v="2"/>
    <s v="-"/>
    <x v="0"/>
    <s v="Sauvignon"/>
    <x v="3"/>
    <s v="supérieur"/>
    <n v="33"/>
    <m/>
    <s v="oui"/>
    <m/>
    <n v="2"/>
    <n v="0.75"/>
    <n v="1.5"/>
  </r>
  <r>
    <d v="2018-03-05T00:00:00"/>
    <x v="5"/>
    <s v="-"/>
    <x v="0"/>
    <s v="Thau blanc"/>
    <x v="3"/>
    <s v="Thau Blanc"/>
    <n v="409"/>
    <m/>
    <s v="oui"/>
    <m/>
    <n v="3"/>
    <n v="0.75"/>
    <n v="2.25"/>
  </r>
  <r>
    <d v="2018-03-05T00:00:00"/>
    <x v="43"/>
    <s v="Vailhere Pascal"/>
    <x v="2"/>
    <s v="Cabernet"/>
    <x v="3"/>
    <s v="Lot Cabernet"/>
    <n v="201"/>
    <m/>
    <s v="oui"/>
    <m/>
    <n v="2"/>
    <n v="0.75"/>
    <n v="1.5"/>
  </r>
  <r>
    <d v="2018-03-05T00:00:00"/>
    <x v="30"/>
    <s v="Vailhere Pascal"/>
    <x v="2"/>
    <s v="Merlot"/>
    <x v="3"/>
    <s v="Lot Buvette"/>
    <n v="405"/>
    <m/>
    <s v="oui"/>
    <m/>
    <n v="2"/>
    <n v="0.75"/>
    <n v="1.5"/>
  </r>
  <r>
    <d v="2018-03-06T00:00:00"/>
    <x v="2"/>
    <s v="-"/>
    <x v="0"/>
    <s v="Blanc générique"/>
    <x v="3"/>
    <s v="Lot Oc Blanc"/>
    <n v="81"/>
    <m/>
    <s v="oui"/>
    <m/>
    <n v="2"/>
    <n v="0.75"/>
    <n v="1.5"/>
  </r>
  <r>
    <d v="2018-03-06T00:00:00"/>
    <x v="2"/>
    <s v="-"/>
    <x v="0"/>
    <s v="Viognier"/>
    <x v="3"/>
    <s v="-"/>
    <n v="97"/>
    <m/>
    <s v="oui"/>
    <m/>
    <n v="2"/>
    <n v="0.75"/>
    <n v="1.5"/>
  </r>
  <r>
    <d v="2018-03-06T00:00:00"/>
    <x v="29"/>
    <s v="René Jeanjean"/>
    <x v="2"/>
    <s v="Cabernet"/>
    <x v="3"/>
    <s v="Lot Cabernet"/>
    <n v="201"/>
    <m/>
    <s v="oui"/>
    <m/>
    <n v="2"/>
    <n v="0.75"/>
    <n v="1.5"/>
  </r>
  <r>
    <d v="2018-03-09T00:00:00"/>
    <x v="1"/>
    <s v="Murphy winecompany"/>
    <x v="2"/>
    <s v="Cabernet"/>
    <x v="3"/>
    <s v="Lot Cabernet"/>
    <n v="201"/>
    <m/>
    <s v="oui"/>
    <m/>
    <n v="2"/>
    <n v="0.75"/>
    <n v="1.5"/>
  </r>
  <r>
    <d v="2018-03-12T00:00:00"/>
    <x v="11"/>
    <s v="-"/>
    <x v="0"/>
    <s v="Terret"/>
    <x v="3"/>
    <s v="Thau Blanc"/>
    <n v="409"/>
    <m/>
    <s v="oui"/>
    <m/>
    <n v="2"/>
    <n v="0.75"/>
    <n v="1.5"/>
  </r>
  <r>
    <d v="2018-03-13T00:00:00"/>
    <x v="20"/>
    <s v="-"/>
    <x v="0"/>
    <s v="Chardonnay"/>
    <x v="3"/>
    <s v="Variétal"/>
    <n v="403"/>
    <m/>
    <s v="oui"/>
    <m/>
    <n v="3"/>
    <n v="0.75"/>
    <n v="2.25"/>
  </r>
  <r>
    <d v="2018-03-13T00:00:00"/>
    <x v="20"/>
    <s v="-"/>
    <x v="0"/>
    <s v="Chardonnay"/>
    <x v="3"/>
    <s v="Bouteille"/>
    <s v="-"/>
    <m/>
    <s v="oui"/>
    <m/>
    <n v="6"/>
    <n v="0.75"/>
    <n v="4.5"/>
  </r>
  <r>
    <d v="2018-03-13T00:00:00"/>
    <x v="20"/>
    <s v="-"/>
    <x v="0"/>
    <s v="Sauvignon"/>
    <x v="3"/>
    <s v="Bouteille"/>
    <s v="-"/>
    <m/>
    <s v="oui"/>
    <m/>
    <n v="6"/>
    <n v="0.75"/>
    <n v="4.5"/>
  </r>
  <r>
    <d v="2018-03-13T00:00:00"/>
    <x v="20"/>
    <s v="-"/>
    <x v="1"/>
    <s v="Grenache Cinsault"/>
    <x v="3"/>
    <s v="Bouteille"/>
    <n v="82"/>
    <m/>
    <s v="oui"/>
    <s v="Nommé Oc Rosé "/>
    <n v="2"/>
    <n v="0.75"/>
    <n v="1.5"/>
  </r>
  <r>
    <d v="2018-03-13T00:00:00"/>
    <x v="20"/>
    <s v="-"/>
    <x v="1"/>
    <s v="Pinot Noir"/>
    <x v="3"/>
    <s v="-"/>
    <s v="-"/>
    <m/>
    <s v="oui"/>
    <s v="65% Pinot Rosé 334 + 35% Grenache Cinsault 82"/>
    <n v="2"/>
    <n v="0.75"/>
    <n v="1.5"/>
  </r>
  <r>
    <d v="2018-03-13T00:00:00"/>
    <x v="20"/>
    <s v="-"/>
    <x v="2"/>
    <s v="Oc Rouge"/>
    <x v="0"/>
    <s v="-"/>
    <s v="-"/>
    <m/>
    <s v="oui"/>
    <s v="Assemblage solde 2015 + 2016 + thermo 2017"/>
    <n v="2"/>
    <n v="0.75"/>
    <n v="1.5"/>
  </r>
  <r>
    <d v="2018-03-15T00:00:00"/>
    <x v="2"/>
    <s v="-"/>
    <x v="0"/>
    <s v="Viognier"/>
    <x v="3"/>
    <s v="Boisé"/>
    <n v="318"/>
    <m/>
    <s v="oui"/>
    <m/>
    <n v="2"/>
    <n v="0.75"/>
    <n v="1.5"/>
  </r>
  <r>
    <d v="2018-03-21T00:00:00"/>
    <x v="2"/>
    <s v="-"/>
    <x v="0"/>
    <s v="Chardonnay"/>
    <x v="3"/>
    <s v="Lot Celliers du Vent"/>
    <n v="417"/>
    <m/>
    <s v="oui"/>
    <m/>
    <n v="3"/>
    <n v="0.75"/>
    <n v="2.25"/>
  </r>
  <r>
    <d v="2018-03-22T00:00:00"/>
    <x v="46"/>
    <s v="-"/>
    <x v="0"/>
    <s v="Terret"/>
    <x v="3"/>
    <s v="Thau Blanc"/>
    <n v="409"/>
    <m/>
    <s v="oui"/>
    <m/>
    <n v="1"/>
    <n v="0.75"/>
    <n v="0.75"/>
  </r>
  <r>
    <d v="2018-03-22T00:00:00"/>
    <x v="10"/>
    <s v="-"/>
    <x v="0"/>
    <s v="Chardonnay"/>
    <x v="3"/>
    <s v="variétal"/>
    <n v="403"/>
    <m/>
    <s v="oui"/>
    <m/>
    <n v="1"/>
    <n v="0.75"/>
    <n v="0.75"/>
  </r>
  <r>
    <d v="2018-03-22T00:00:00"/>
    <x v="48"/>
    <s v="-"/>
    <x v="1"/>
    <s v="Rosé générique"/>
    <x v="3"/>
    <s v="Lot 2"/>
    <n v="416"/>
    <m/>
    <s v="oui"/>
    <m/>
    <n v="1"/>
    <n v="0.75"/>
    <n v="0.75"/>
  </r>
  <r>
    <d v="2018-03-28T00:00:00"/>
    <x v="27"/>
    <s v="San Nicolas"/>
    <x v="0"/>
    <s v="Chardonnay"/>
    <x v="0"/>
    <s v="Lot Solis"/>
    <n v="81"/>
    <m/>
    <s v="oui"/>
    <m/>
    <n v="2"/>
    <n v="0.75"/>
    <n v="1.5"/>
  </r>
  <r>
    <d v="2018-03-28T00:00:00"/>
    <x v="43"/>
    <s v="-"/>
    <x v="0"/>
    <s v="Chardonnay"/>
    <x v="3"/>
    <s v="Bouteille"/>
    <n v="70"/>
    <m/>
    <s v="oui"/>
    <m/>
    <n v="2"/>
    <n v="0.75"/>
    <n v="1.5"/>
  </r>
  <r>
    <d v="2018-03-28T00:00:00"/>
    <x v="29"/>
    <s v="René Jeanjean"/>
    <x v="1"/>
    <s v="Thau Rosé"/>
    <x v="3"/>
    <s v="Lot 1"/>
    <n v="76"/>
    <m/>
    <s v="oui"/>
    <m/>
    <n v="3"/>
    <n v="0.75"/>
    <n v="2.25"/>
  </r>
  <r>
    <d v="2018-04-04T00:00:00"/>
    <x v="20"/>
    <s v="-"/>
    <x v="0"/>
    <s v="Chardonnay"/>
    <x v="3"/>
    <s v="variétal"/>
    <n v="27"/>
    <m/>
    <s v="oui"/>
    <m/>
    <n v="3"/>
    <n v="0.75"/>
    <n v="2.25"/>
  </r>
  <r>
    <d v="2018-04-05T00:00:00"/>
    <x v="10"/>
    <s v="René Jeanjean"/>
    <x v="0"/>
    <s v="Terret"/>
    <x v="3"/>
    <s v="Terre et Mer Sec"/>
    <n v="69"/>
    <m/>
    <s v="oui"/>
    <m/>
    <n v="1"/>
    <n v="0.75"/>
    <n v="0.75"/>
  </r>
  <r>
    <d v="2018-04-05T00:00:00"/>
    <x v="10"/>
    <s v="René Jeanjean"/>
    <x v="0"/>
    <s v="Chardonnay Roussanne"/>
    <x v="3"/>
    <s v="Maraval Blanc"/>
    <s v="FK04"/>
    <m/>
    <s v="oui"/>
    <m/>
    <n v="1"/>
    <n v="0.75"/>
    <n v="0.75"/>
  </r>
  <r>
    <d v="2018-04-05T00:00:00"/>
    <x v="10"/>
    <s v="René Jeanjean"/>
    <x v="2"/>
    <s v="Merlot"/>
    <x v="3"/>
    <s v="Bouteille"/>
    <s v="CF04"/>
    <m/>
    <s v="oui"/>
    <m/>
    <n v="1"/>
    <n v="0.75"/>
    <n v="0.75"/>
  </r>
  <r>
    <d v="2018-04-05T00:00:00"/>
    <x v="10"/>
    <s v="René Jeanjean"/>
    <x v="2"/>
    <s v="Syrah"/>
    <x v="3"/>
    <s v="Bouteille"/>
    <s v="CF03"/>
    <m/>
    <s v="oui"/>
    <m/>
    <n v="1"/>
    <n v="0.75"/>
    <n v="0.75"/>
  </r>
  <r>
    <d v="2018-04-05T00:00:00"/>
    <x v="31"/>
    <s v="Jacques Woloviek"/>
    <x v="0"/>
    <s v="Chardonnay"/>
    <x v="3"/>
    <s v="Petit degré"/>
    <n v="25"/>
    <m/>
    <s v="oui"/>
    <m/>
    <n v="4"/>
    <n v="0.75"/>
    <n v="3"/>
  </r>
  <r>
    <d v="2018-04-11T00:00:00"/>
    <x v="2"/>
    <s v="-"/>
    <x v="0"/>
    <s v="Viognier"/>
    <x v="3"/>
    <s v="Non boisé"/>
    <s v="FK15"/>
    <m/>
    <s v="oui"/>
    <m/>
    <n v="2"/>
    <n v="0.75"/>
    <n v="1.5"/>
  </r>
  <r>
    <d v="2018-04-11T00:00:00"/>
    <x v="11"/>
    <s v="-"/>
    <x v="0"/>
    <s v="Chardonnay"/>
    <x v="3"/>
    <s v="variétal"/>
    <n v="38"/>
    <m/>
    <s v="oui"/>
    <m/>
    <n v="1"/>
    <n v="0.75"/>
    <n v="0.75"/>
  </r>
  <r>
    <d v="2018-04-11T00:00:00"/>
    <x v="11"/>
    <s v="-"/>
    <x v="0"/>
    <s v="Sauvignon"/>
    <x v="3"/>
    <s v="variétal"/>
    <n v="78"/>
    <m/>
    <s v="oui"/>
    <m/>
    <n v="1"/>
    <n v="0.75"/>
    <n v="0.75"/>
  </r>
  <r>
    <d v="2018-04-11T00:00:00"/>
    <x v="11"/>
    <s v="-"/>
    <x v="0"/>
    <s v="Terret"/>
    <x v="3"/>
    <s v="Thau Blanc"/>
    <n v="409"/>
    <m/>
    <s v="oui"/>
    <m/>
    <n v="1"/>
    <n v="0.75"/>
    <n v="0.75"/>
  </r>
  <r>
    <d v="2018-04-11T00:00:00"/>
    <x v="11"/>
    <s v="-"/>
    <x v="1"/>
    <s v="Merlot"/>
    <x v="3"/>
    <s v="Lot Merlot"/>
    <n v="326"/>
    <m/>
    <s v="oui"/>
    <m/>
    <n v="1"/>
    <n v="0.75"/>
    <n v="0.75"/>
  </r>
  <r>
    <d v="2018-04-12T00:00:00"/>
    <x v="9"/>
    <s v="Jacques Woloviek"/>
    <x v="0"/>
    <s v="Chardonnay"/>
    <x v="0"/>
    <s v="Lot ADVINI"/>
    <n v="84"/>
    <m/>
    <s v="oui"/>
    <m/>
    <n v="3"/>
    <n v="0.75"/>
    <n v="2.25"/>
  </r>
  <r>
    <d v="2018-04-12T00:00:00"/>
    <x v="2"/>
    <s v="-"/>
    <x v="0"/>
    <s v="Viognier"/>
    <x v="3"/>
    <s v="Boisé"/>
    <n v="318"/>
    <m/>
    <s v="oui"/>
    <m/>
    <n v="3"/>
    <n v="0.75"/>
    <n v="2.25"/>
  </r>
  <r>
    <d v="2018-04-13T00:00:00"/>
    <x v="2"/>
    <s v="-"/>
    <x v="0"/>
    <s v="Viognier"/>
    <x v="3"/>
    <s v="Boisé"/>
    <n v="318"/>
    <m/>
    <s v="oui"/>
    <m/>
    <n v="2"/>
    <n v="0.75"/>
    <n v="1.5"/>
  </r>
  <r>
    <d v="2018-04-13T00:00:00"/>
    <x v="5"/>
    <s v="-"/>
    <x v="0"/>
    <s v="Thau blanc"/>
    <x v="3"/>
    <s v="Lot 85/15"/>
    <s v="-"/>
    <m/>
    <s v="oui"/>
    <s v="85% 409 + 15%80"/>
    <n v="2"/>
    <n v="0.75"/>
    <n v="1.5"/>
  </r>
  <r>
    <d v="2018-04-27T00:00:00"/>
    <x v="49"/>
    <s v="JC Simon"/>
    <x v="0"/>
    <s v="Chardonnay"/>
    <x v="3"/>
    <s v="Boisé"/>
    <s v="FK2"/>
    <m/>
    <s v="oui"/>
    <s v="Lot Boisé 1"/>
    <n v="1"/>
    <n v="0.75"/>
    <n v="0.75"/>
  </r>
  <r>
    <d v="2018-04-27T00:00:00"/>
    <x v="49"/>
    <s v="JC Simon"/>
    <x v="0"/>
    <s v="Chardonnay"/>
    <x v="3"/>
    <s v="Boisé"/>
    <s v="-"/>
    <m/>
    <s v="oui"/>
    <s v="Lot Boisé 2 - 50% FK1 + 50% FK2"/>
    <n v="1"/>
    <n v="0.75"/>
    <n v="0.75"/>
  </r>
  <r>
    <d v="2018-04-27T00:00:00"/>
    <x v="47"/>
    <s v="Gilles Lambert"/>
    <x v="0"/>
    <s v="Chardonnay"/>
    <x v="3"/>
    <s v="Bouteille"/>
    <n v="44"/>
    <m/>
    <s v="oui"/>
    <m/>
    <n v="2"/>
    <n v="0.75"/>
    <n v="1.5"/>
  </r>
  <r>
    <d v="2018-05-14T00:00:00"/>
    <x v="31"/>
    <s v="Jacques Woloviek"/>
    <x v="0"/>
    <s v="Chardonnay"/>
    <x v="3"/>
    <s v="Lot ADVINI"/>
    <n v="7"/>
    <m/>
    <s v="oui"/>
    <m/>
    <n v="3"/>
    <n v="0.75"/>
    <n v="2.25"/>
  </r>
  <r>
    <d v="2018-05-14T00:00:00"/>
    <x v="31"/>
    <s v="Jacques Woloviek"/>
    <x v="0"/>
    <s v="Chardonnay"/>
    <x v="3"/>
    <s v="Petit degré"/>
    <n v="71"/>
    <m/>
    <s v="oui"/>
    <m/>
    <n v="3"/>
    <n v="0.75"/>
    <n v="2.25"/>
  </r>
  <r>
    <d v="2018-05-16T00:00:00"/>
    <x v="10"/>
    <s v="René Jeanjean"/>
    <x v="0"/>
    <s v="Chardonnay"/>
    <x v="3"/>
    <s v="Variétal"/>
    <n v="38"/>
    <m/>
    <s v="oui"/>
    <m/>
    <n v="2"/>
    <n v="0.75"/>
    <n v="1.5"/>
  </r>
  <r>
    <d v="2018-06-14T00:00:00"/>
    <x v="5"/>
    <s v="-"/>
    <x v="0"/>
    <s v="Sauvignon"/>
    <x v="3"/>
    <s v="Classique"/>
    <n v="310"/>
    <m/>
    <s v="oui"/>
    <m/>
    <n v="4"/>
    <n v="0.75"/>
    <n v="3"/>
  </r>
  <r>
    <d v="2018-06-15T00:00:00"/>
    <x v="31"/>
    <s v="Jacques Woloviek"/>
    <x v="0"/>
    <s v="Chardonnay"/>
    <x v="3"/>
    <s v="Petit degré"/>
    <n v="71"/>
    <m/>
    <s v="oui"/>
    <m/>
    <n v="3"/>
    <n v="0.75"/>
    <n v="2.25"/>
  </r>
  <r>
    <d v="2018-06-21T00:00:00"/>
    <x v="2"/>
    <s v="-"/>
    <x v="0"/>
    <s v="Chardonnay"/>
    <x v="3"/>
    <s v="supérieur Variétal"/>
    <n v="417"/>
    <m/>
    <s v="oui"/>
    <m/>
    <n v="3"/>
    <n v="0.75"/>
    <n v="2.25"/>
  </r>
  <r>
    <d v="2018-06-26T00:00:00"/>
    <x v="50"/>
    <s v="Gilles Louvet"/>
    <x v="0"/>
    <s v="Chardonnay"/>
    <x v="3"/>
    <s v="-"/>
    <s v="-"/>
    <m/>
    <s v="oui"/>
    <s v="61,4% chardonnay sup + 38,6% Chardonnay bouteille"/>
    <n v="2"/>
    <n v="0.75"/>
    <n v="1.5"/>
  </r>
  <r>
    <d v="2018-07-03T00:00:00"/>
    <x v="9"/>
    <s v="Jacques Woloviek"/>
    <x v="0"/>
    <s v="Chardonnay"/>
    <x v="3"/>
    <s v="Lot ADVINI"/>
    <n v="308"/>
    <m/>
    <s v="oui"/>
    <m/>
    <n v="4"/>
    <n v="0.75"/>
    <n v="3"/>
  </r>
  <r>
    <d v="2018-07-03T00:00:00"/>
    <x v="51"/>
    <s v="-"/>
    <x v="1"/>
    <s v="Grenache Cinsault"/>
    <x v="3"/>
    <s v="Bouteille"/>
    <n v="12"/>
    <m/>
    <s v="oui"/>
    <m/>
    <n v="2"/>
    <n v="0.75"/>
    <n v="1.5"/>
  </r>
  <r>
    <d v="2018-07-05T00:00:00"/>
    <x v="9"/>
    <s v="Jacques Woloviek"/>
    <x v="0"/>
    <s v="Chardonnay"/>
    <x v="3"/>
    <s v="Lot ADVINI"/>
    <n v="308"/>
    <m/>
    <s v="oui"/>
    <m/>
    <n v="5"/>
    <n v="0.75"/>
    <n v="3.75"/>
  </r>
  <r>
    <d v="2018-07-09T00:00:00"/>
    <x v="1"/>
    <s v="JC Simon"/>
    <x v="0"/>
    <s v="Chardonnay"/>
    <x v="3"/>
    <s v="Lot Boisé"/>
    <n v="317"/>
    <m/>
    <s v="oui"/>
    <m/>
    <n v="3"/>
    <n v="0.75"/>
    <n v="2.25"/>
  </r>
  <r>
    <d v="2018-07-09T00:00:00"/>
    <x v="1"/>
    <s v="JC Simon"/>
    <x v="2"/>
    <s v="Pinot Noir"/>
    <x v="3"/>
    <s v="PNR"/>
    <s v="-"/>
    <m/>
    <s v="oui"/>
    <s v="126 + FK11"/>
    <n v="3"/>
    <n v="0.75"/>
    <n v="2.25"/>
  </r>
  <r>
    <d v="2018-07-09T00:00:00"/>
    <x v="1"/>
    <s v="Gilles Louvet"/>
    <x v="0"/>
    <s v="Chardonnay"/>
    <x v="3"/>
    <s v="-"/>
    <s v="-"/>
    <m/>
    <s v="oui"/>
    <s v="61,4% chardonnay sup + 38,6% Chardonnay bouteille"/>
    <n v="3"/>
    <n v="0.75"/>
    <n v="2.25"/>
  </r>
  <r>
    <d v="2018-07-09T00:00:00"/>
    <x v="1"/>
    <s v="Gilles Louvet"/>
    <x v="2"/>
    <s v="Cabernet"/>
    <x v="3"/>
    <s v="Lot vrac"/>
    <n v="302"/>
    <m/>
    <s v="oui"/>
    <m/>
    <n v="3"/>
    <n v="0.75"/>
    <n v="2.25"/>
  </r>
  <r>
    <d v="2018-07-16T00:00:00"/>
    <x v="2"/>
    <s v="-"/>
    <x v="0"/>
    <s v="Chardonnay"/>
    <x v="3"/>
    <s v="Lot Celliers du Vent"/>
    <n v="332"/>
    <m/>
    <s v="oui"/>
    <m/>
    <n v="2"/>
    <n v="0.75"/>
    <n v="1.5"/>
  </r>
  <r>
    <d v="2018-07-24T00:00:00"/>
    <x v="2"/>
    <s v="-"/>
    <x v="0"/>
    <s v="Chardonnay"/>
    <x v="3"/>
    <s v="Lot Celliers du Vent"/>
    <n v="9"/>
    <m/>
    <s v="oui"/>
    <m/>
    <n v="2"/>
    <n v="0.75"/>
    <n v="1.5"/>
  </r>
  <r>
    <d v="2018-08-07T00:00:00"/>
    <x v="29"/>
    <s v="René Jeanjean"/>
    <x v="1"/>
    <s v="Cabernet"/>
    <x v="3"/>
    <s v="Lot Cabernet"/>
    <n v="87"/>
    <m/>
    <s v="oui"/>
    <m/>
    <n v="2"/>
    <n v="0.75"/>
    <n v="1.5"/>
  </r>
  <r>
    <d v="2018-08-07T00:00:00"/>
    <x v="29"/>
    <s v="René Jeanjean"/>
    <x v="1"/>
    <s v="Merlot"/>
    <x v="3"/>
    <s v="Lot Merlot"/>
    <n v="28"/>
    <m/>
    <s v="oui"/>
    <m/>
    <n v="2"/>
    <n v="0.75"/>
    <n v="1.5"/>
  </r>
  <r>
    <d v="2018-08-07T00:00:00"/>
    <x v="29"/>
    <s v="René Jeanjean"/>
    <x v="1"/>
    <s v="Cinsault"/>
    <x v="3"/>
    <s v="Lot Cinsault"/>
    <n v="306"/>
    <m/>
    <s v="oui"/>
    <m/>
    <n v="2"/>
    <n v="0.75"/>
    <n v="1.5"/>
  </r>
  <r>
    <d v="2018-08-07T00:00:00"/>
    <x v="10"/>
    <s v="René Jeanjean"/>
    <x v="0"/>
    <s v="Chardonnay"/>
    <x v="3"/>
    <s v="variétal"/>
    <n v="310"/>
    <m/>
    <s v="oui"/>
    <m/>
    <n v="2"/>
    <n v="0.75"/>
    <n v="1.5"/>
  </r>
  <r>
    <d v="2018-08-23T00:00:00"/>
    <x v="5"/>
    <s v="-"/>
    <x v="1"/>
    <s v="HippoCap"/>
    <x v="3"/>
    <s v="Bouteille"/>
    <s v="-"/>
    <m/>
    <s v="oui"/>
    <m/>
    <n v="3"/>
    <n v="0.75"/>
    <n v="2.25"/>
  </r>
  <r>
    <d v="2018-08-23T00:00:00"/>
    <x v="5"/>
    <s v="-"/>
    <x v="1"/>
    <s v="Terre et Mer Rosé"/>
    <x v="3"/>
    <s v="Bouteille"/>
    <s v="-"/>
    <m/>
    <s v="oui"/>
    <m/>
    <n v="3"/>
    <n v="0.75"/>
    <n v="2.25"/>
  </r>
  <r>
    <d v="2018-08-23T00:00:00"/>
    <x v="5"/>
    <s v="-"/>
    <x v="1"/>
    <s v="Marselan"/>
    <x v="3"/>
    <s v="Bouteille"/>
    <s v="-"/>
    <m/>
    <s v="oui"/>
    <m/>
    <n v="3"/>
    <n v="0.75"/>
    <n v="2.25"/>
  </r>
  <r>
    <d v="2018-08-23T00:00:00"/>
    <x v="5"/>
    <s v="-"/>
    <x v="0"/>
    <s v="Thau blanc"/>
    <x v="3"/>
    <s v="Thau Blanc"/>
    <n v="414"/>
    <m/>
    <s v="oui"/>
    <m/>
    <n v="3"/>
    <n v="0.75"/>
    <n v="2.25"/>
  </r>
  <r>
    <d v="2018-10-02T00:00:00"/>
    <x v="2"/>
    <s v="-"/>
    <x v="0"/>
    <s v="Viognier"/>
    <x v="4"/>
    <s v="-"/>
    <n v="206"/>
    <m/>
    <s v="oui"/>
    <m/>
    <n v="2"/>
    <n v="0.75"/>
    <n v="1.5"/>
  </r>
  <r>
    <d v="2018-10-02T00:00:00"/>
    <x v="2"/>
    <s v="-"/>
    <x v="0"/>
    <s v="VIognier"/>
    <x v="4"/>
    <s v="-"/>
    <n v="307"/>
    <m/>
    <s v="oui"/>
    <m/>
    <n v="2"/>
    <n v="0.75"/>
    <n v="1.5"/>
  </r>
  <r>
    <d v="2018-10-02T00:00:00"/>
    <x v="2"/>
    <s v="-"/>
    <x v="0"/>
    <s v="Viognier"/>
    <x v="4"/>
    <s v="-"/>
    <n v="309"/>
    <m/>
    <s v="oui"/>
    <m/>
    <n v="2"/>
    <n v="0.75"/>
    <n v="1.5"/>
  </r>
  <r>
    <d v="2018-10-02T00:00:00"/>
    <x v="2"/>
    <s v="-"/>
    <x v="0"/>
    <s v="Viognier"/>
    <x v="4"/>
    <s v="-"/>
    <n v="37"/>
    <m/>
    <s v="oui"/>
    <m/>
    <n v="2"/>
    <n v="0.75"/>
    <n v="1.5"/>
  </r>
  <r>
    <d v="2018-10-08T00:00:00"/>
    <x v="2"/>
    <s v="-"/>
    <x v="0"/>
    <s v="Chardonnay"/>
    <x v="4"/>
    <s v="classique"/>
    <s v="Ag305"/>
    <m/>
    <s v="oui"/>
    <m/>
    <n v="5"/>
    <n v="0.75"/>
    <n v="3.75"/>
  </r>
  <r>
    <d v="2018-10-08T00:00:00"/>
    <x v="2"/>
    <s v="-"/>
    <x v="0"/>
    <s v="Chardonnay"/>
    <x v="4"/>
    <s v="variétal"/>
    <s v="-"/>
    <m/>
    <s v="oui"/>
    <m/>
    <n v="5"/>
    <n v="0.75"/>
    <n v="3.75"/>
  </r>
  <r>
    <d v="2018-10-08T00:00:00"/>
    <x v="2"/>
    <s v="-"/>
    <x v="0"/>
    <s v="Chardonnay"/>
    <x v="4"/>
    <s v="supérieur"/>
    <s v="Ag303"/>
    <m/>
    <s v="oui"/>
    <m/>
    <n v="5"/>
    <n v="0.75"/>
    <n v="3.75"/>
  </r>
  <r>
    <d v="2018-10-08T00:00:00"/>
    <x v="2"/>
    <s v="-"/>
    <x v="0"/>
    <s v="Sauvignon"/>
    <x v="4"/>
    <s v="classique"/>
    <s v="-"/>
    <m/>
    <s v="oui"/>
    <m/>
    <n v="5"/>
    <n v="0.75"/>
    <n v="3.75"/>
  </r>
  <r>
    <d v="2018-10-08T00:00:00"/>
    <x v="2"/>
    <s v="-"/>
    <x v="0"/>
    <s v="Sauvignon"/>
    <x v="4"/>
    <s v="variétal"/>
    <s v="-"/>
    <m/>
    <s v="oui"/>
    <m/>
    <n v="5"/>
    <n v="0.75"/>
    <n v="3.75"/>
  </r>
  <r>
    <d v="2018-10-08T00:00:00"/>
    <x v="2"/>
    <s v="-"/>
    <x v="0"/>
    <s v="Sauvignon"/>
    <x v="4"/>
    <s v="supérieur"/>
    <s v="-"/>
    <m/>
    <s v="oui"/>
    <m/>
    <n v="5"/>
    <n v="0.75"/>
    <n v="3.75"/>
  </r>
  <r>
    <d v="2018-10-08T00:00:00"/>
    <x v="2"/>
    <s v="-"/>
    <x v="0"/>
    <s v="Viognier"/>
    <x v="4"/>
    <s v="-"/>
    <n v="307"/>
    <m/>
    <s v="oui"/>
    <m/>
    <n v="5"/>
    <n v="0.75"/>
    <n v="3.75"/>
  </r>
  <r>
    <d v="2018-10-08T00:00:00"/>
    <x v="2"/>
    <s v="-"/>
    <x v="0"/>
    <s v="Viognier"/>
    <x v="4"/>
    <s v="-"/>
    <n v="309"/>
    <m/>
    <s v="oui"/>
    <m/>
    <n v="5"/>
    <n v="0.75"/>
    <n v="3.75"/>
  </r>
  <r>
    <d v="2018-10-08T00:00:00"/>
    <x v="2"/>
    <s v="-"/>
    <x v="0"/>
    <s v="Viognier"/>
    <x v="4"/>
    <s v="-"/>
    <n v="37"/>
    <m/>
    <s v="oui"/>
    <m/>
    <n v="5"/>
    <n v="0.75"/>
    <n v="3.75"/>
  </r>
  <r>
    <d v="2018-10-10T00:00:00"/>
    <x v="2"/>
    <s v="-"/>
    <x v="0"/>
    <s v="Muscat"/>
    <x v="4"/>
    <s v="-"/>
    <n v="14"/>
    <m/>
    <s v="oui"/>
    <m/>
    <n v="2"/>
    <n v="0.75"/>
    <n v="1.5"/>
  </r>
  <r>
    <d v="2018-10-10T00:00:00"/>
    <x v="2"/>
    <s v="-"/>
    <x v="0"/>
    <s v="Muscat"/>
    <x v="4"/>
    <s v="-"/>
    <n v="33"/>
    <m/>
    <s v="oui"/>
    <m/>
    <n v="4"/>
    <n v="0.75"/>
    <n v="3"/>
  </r>
  <r>
    <d v="2018-10-10T00:00:00"/>
    <x v="2"/>
    <s v="-"/>
    <x v="0"/>
    <s v="Muscat"/>
    <x v="4"/>
    <s v="-"/>
    <n v="302"/>
    <m/>
    <s v="oui"/>
    <m/>
    <n v="4"/>
    <n v="0.75"/>
    <n v="3"/>
  </r>
  <r>
    <d v="2018-10-10T00:00:00"/>
    <x v="52"/>
    <s v="JC Simon"/>
    <x v="0"/>
    <s v="Viognier"/>
    <x v="4"/>
    <s v="supérieur"/>
    <s v="-"/>
    <m/>
    <s v="oui"/>
    <m/>
    <n v="2"/>
    <n v="0.75"/>
    <n v="1.5"/>
  </r>
  <r>
    <d v="2018-10-10T00:00:00"/>
    <x v="52"/>
    <s v="JC Simon"/>
    <x v="0"/>
    <s v="VIognier"/>
    <x v="4"/>
    <s v="standard"/>
    <s v="-"/>
    <m/>
    <s v="oui"/>
    <m/>
    <n v="2"/>
    <n v="0.75"/>
    <n v="1.5"/>
  </r>
  <r>
    <d v="2018-10-10T00:00:00"/>
    <x v="52"/>
    <s v="JC Simon"/>
    <x v="0"/>
    <s v="Chardonnay"/>
    <x v="4"/>
    <s v="supérieur"/>
    <s v="Ag303"/>
    <m/>
    <s v="oui"/>
    <m/>
    <n v="2"/>
    <n v="0.75"/>
    <n v="1.5"/>
  </r>
  <r>
    <d v="2018-10-10T00:00:00"/>
    <x v="52"/>
    <s v="JC Simon"/>
    <x v="0"/>
    <s v="Chardonnay"/>
    <x v="4"/>
    <s v="variétal"/>
    <s v="-"/>
    <m/>
    <s v="oui"/>
    <m/>
    <n v="2"/>
    <n v="0.75"/>
    <n v="1.5"/>
  </r>
  <r>
    <d v="2018-10-10T00:00:00"/>
    <x v="1"/>
    <s v="JC Simon"/>
    <x v="0"/>
    <s v="Chardonnay"/>
    <x v="4"/>
    <s v="-"/>
    <n v="204"/>
    <m/>
    <s v="oui"/>
    <s v="échantillon boisage"/>
    <n v="2"/>
    <n v="0.75"/>
    <n v="1.5"/>
  </r>
  <r>
    <d v="2018-10-10T00:00:00"/>
    <x v="52"/>
    <s v="JC Simon"/>
    <x v="1"/>
    <s v="Rosé générique"/>
    <x v="4"/>
    <s v="Thau Rosé"/>
    <s v="-"/>
    <m/>
    <s v="oui"/>
    <m/>
    <n v="2"/>
    <n v="0.75"/>
    <n v="1.5"/>
  </r>
  <r>
    <d v="2018-10-11T00:00:00"/>
    <x v="3"/>
    <s v="-"/>
    <x v="0"/>
    <s v="Sauvignon"/>
    <x v="4"/>
    <s v="supérieur"/>
    <s v="-"/>
    <m/>
    <s v="oui"/>
    <m/>
    <n v="4"/>
    <n v="0.75"/>
    <n v="3"/>
  </r>
  <r>
    <d v="2018-10-11T00:00:00"/>
    <x v="3"/>
    <s v="-"/>
    <x v="0"/>
    <s v="Sauvignon"/>
    <x v="4"/>
    <s v="variétal"/>
    <s v="-"/>
    <m/>
    <s v="oui"/>
    <m/>
    <n v="4"/>
    <n v="0.75"/>
    <n v="3"/>
  </r>
  <r>
    <d v="2018-10-11T00:00:00"/>
    <x v="3"/>
    <s v="-"/>
    <x v="0"/>
    <s v="Chardonnay"/>
    <x v="4"/>
    <s v="classique"/>
    <s v="Ag305"/>
    <m/>
    <s v="oui"/>
    <m/>
    <n v="3"/>
    <n v="0.75"/>
    <n v="2.25"/>
  </r>
  <r>
    <d v="2018-10-11T00:00:00"/>
    <x v="3"/>
    <s v="-"/>
    <x v="0"/>
    <s v="Chardonnay"/>
    <x v="4"/>
    <s v="Supérieur"/>
    <s v="Ag303"/>
    <m/>
    <s v="oui"/>
    <m/>
    <n v="1"/>
    <n v="0.75"/>
    <n v="0.75"/>
  </r>
  <r>
    <d v="2018-10-11T00:00:00"/>
    <x v="3"/>
    <s v="-"/>
    <x v="0"/>
    <s v="Chardonnay"/>
    <x v="4"/>
    <s v="variétal"/>
    <s v="-"/>
    <m/>
    <s v="oui"/>
    <m/>
    <n v="2"/>
    <n v="0.75"/>
    <n v="1.5"/>
  </r>
  <r>
    <d v="2018-10-11T00:00:00"/>
    <x v="3"/>
    <s v="-"/>
    <x v="0"/>
    <s v="Viognier"/>
    <x v="4"/>
    <s v="Supérieur"/>
    <s v="-"/>
    <m/>
    <s v="oui"/>
    <m/>
    <n v="2"/>
    <n v="0.75"/>
    <n v="1.5"/>
  </r>
  <r>
    <d v="2018-10-11T00:00:00"/>
    <x v="3"/>
    <s v="-"/>
    <x v="0"/>
    <s v="Muscat"/>
    <x v="4"/>
    <s v="-"/>
    <n v="14"/>
    <m/>
    <s v="oui"/>
    <m/>
    <n v="2"/>
    <n v="0.75"/>
    <n v="1.5"/>
  </r>
  <r>
    <d v="2018-10-11T00:00:00"/>
    <x v="1"/>
    <s v="Olivier Castillo"/>
    <x v="0"/>
    <s v="Sauvignon"/>
    <x v="4"/>
    <s v="Supérieur"/>
    <s v="-"/>
    <m/>
    <s v="oui"/>
    <m/>
    <n v="1"/>
    <n v="0.75"/>
    <n v="0.75"/>
  </r>
  <r>
    <d v="2018-10-11T00:00:00"/>
    <x v="1"/>
    <s v="Olivier Castillo"/>
    <x v="0"/>
    <s v="Sauvignon"/>
    <x v="4"/>
    <s v="classique"/>
    <s v="-"/>
    <m/>
    <s v="oui"/>
    <m/>
    <n v="3"/>
    <n v="0.75"/>
    <n v="2.25"/>
  </r>
  <r>
    <d v="2018-10-11T00:00:00"/>
    <x v="1"/>
    <s v="Olivier Castillo"/>
    <x v="1"/>
    <s v="Rosé générique"/>
    <x v="4"/>
    <s v="Thau Rosé"/>
    <s v="-"/>
    <m/>
    <s v="oui"/>
    <m/>
    <n v="3"/>
    <n v="0.75"/>
    <n v="2.25"/>
  </r>
  <r>
    <d v="2018-10-11T00:00:00"/>
    <x v="4"/>
    <s v="-"/>
    <x v="0"/>
    <s v="Chardonnay"/>
    <x v="4"/>
    <s v="classique"/>
    <s v="Ag305"/>
    <m/>
    <s v="oui"/>
    <m/>
    <n v="3"/>
    <n v="0.75"/>
    <n v="2.25"/>
  </r>
  <r>
    <d v="2018-10-11T00:00:00"/>
    <x v="4"/>
    <s v="-"/>
    <x v="0"/>
    <s v="Chardonnay"/>
    <x v="4"/>
    <s v="variétal"/>
    <s v="-"/>
    <m/>
    <s v="oui"/>
    <m/>
    <n v="3"/>
    <n v="0.75"/>
    <n v="2.25"/>
  </r>
  <r>
    <d v="2018-10-11T00:00:00"/>
    <x v="4"/>
    <s v="-"/>
    <x v="0"/>
    <s v="Chardonnay"/>
    <x v="4"/>
    <s v="supérieur"/>
    <s v="Ag303"/>
    <m/>
    <s v="oui"/>
    <m/>
    <n v="3"/>
    <n v="0.75"/>
    <n v="2.25"/>
  </r>
  <r>
    <d v="2018-10-11T00:00:00"/>
    <x v="4"/>
    <s v="-"/>
    <x v="0"/>
    <s v="Sauvignon"/>
    <x v="4"/>
    <s v="classique"/>
    <s v="-"/>
    <m/>
    <s v="oui"/>
    <m/>
    <n v="3"/>
    <n v="0.75"/>
    <n v="2.25"/>
  </r>
  <r>
    <d v="2018-10-11T00:00:00"/>
    <x v="4"/>
    <s v="-"/>
    <x v="0"/>
    <s v="Sauvignon"/>
    <x v="4"/>
    <s v="variétal"/>
    <s v="-"/>
    <m/>
    <s v="oui"/>
    <m/>
    <n v="3"/>
    <n v="0.75"/>
    <n v="2.25"/>
  </r>
  <r>
    <d v="2018-10-11T00:00:00"/>
    <x v="4"/>
    <s v="-"/>
    <x v="0"/>
    <s v="Sauvignon"/>
    <x v="4"/>
    <s v="supérieur"/>
    <s v="-"/>
    <m/>
    <s v="oui"/>
    <m/>
    <n v="3"/>
    <n v="0.75"/>
    <n v="2.25"/>
  </r>
  <r>
    <d v="2018-10-11T00:00:00"/>
    <x v="4"/>
    <s v="-"/>
    <x v="0"/>
    <s v="Viognier"/>
    <x v="4"/>
    <s v="supérieur"/>
    <s v="-"/>
    <m/>
    <s v="oui"/>
    <m/>
    <n v="3"/>
    <n v="0.75"/>
    <n v="2.25"/>
  </r>
  <r>
    <d v="2018-10-11T00:00:00"/>
    <x v="4"/>
    <s v="-"/>
    <x v="0"/>
    <s v="Viognier"/>
    <x v="4"/>
    <s v="classique"/>
    <s v="-"/>
    <m/>
    <s v="oui"/>
    <m/>
    <n v="3"/>
    <n v="0.75"/>
    <n v="2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2">
  <r>
    <d v="2016-01-10T00:00:00"/>
    <x v="0"/>
    <s v="Olivier Castillo"/>
    <x v="0"/>
    <x v="0"/>
    <x v="0"/>
    <s v="supérieur"/>
    <n v="27"/>
    <m/>
    <s v="oui"/>
    <m/>
    <n v="2"/>
    <n v="0.75"/>
    <n v="1.5"/>
  </r>
  <r>
    <d v="2016-01-16T00:00:00"/>
    <x v="1"/>
    <s v="JC Simon"/>
    <x v="0"/>
    <x v="0"/>
    <x v="0"/>
    <s v="flatteur"/>
    <n v="14"/>
    <m/>
    <s v="oui"/>
    <m/>
    <n v="3"/>
    <n v="0.75"/>
    <n v="2.25"/>
  </r>
  <r>
    <d v="2016-10-17T00:00:00"/>
    <x v="2"/>
    <m/>
    <x v="0"/>
    <x v="1"/>
    <x v="0"/>
    <s v="Classique"/>
    <s v="-"/>
    <m/>
    <s v="oui"/>
    <m/>
    <n v="3"/>
    <n v="0.75"/>
    <n v="2.25"/>
  </r>
  <r>
    <d v="2016-10-17T00:00:00"/>
    <x v="2"/>
    <m/>
    <x v="0"/>
    <x v="1"/>
    <x v="0"/>
    <s v="Variétal"/>
    <s v="-"/>
    <m/>
    <s v="oui"/>
    <m/>
    <n v="3"/>
    <n v="0.75"/>
    <n v="2.25"/>
  </r>
  <r>
    <d v="2016-10-17T00:00:00"/>
    <x v="2"/>
    <m/>
    <x v="0"/>
    <x v="1"/>
    <x v="0"/>
    <s v="supérieur"/>
    <s v="-"/>
    <m/>
    <s v="oui"/>
    <m/>
    <n v="3"/>
    <n v="0.75"/>
    <n v="2.25"/>
  </r>
  <r>
    <d v="2016-10-17T00:00:00"/>
    <x v="2"/>
    <m/>
    <x v="0"/>
    <x v="0"/>
    <x v="0"/>
    <s v="flatteur"/>
    <s v="-"/>
    <m/>
    <s v="oui"/>
    <m/>
    <n v="3"/>
    <n v="0.75"/>
    <n v="2.25"/>
  </r>
  <r>
    <d v="2016-10-17T00:00:00"/>
    <x v="2"/>
    <m/>
    <x v="0"/>
    <x v="0"/>
    <x v="0"/>
    <s v="riche"/>
    <s v="-"/>
    <m/>
    <s v="oui"/>
    <m/>
    <n v="3"/>
    <n v="0.75"/>
    <n v="2.25"/>
  </r>
  <r>
    <d v="2016-10-17T00:00:00"/>
    <x v="2"/>
    <m/>
    <x v="0"/>
    <x v="0"/>
    <x v="0"/>
    <s v="supérieur"/>
    <s v="-"/>
    <m/>
    <s v="oui"/>
    <m/>
    <n v="3"/>
    <n v="0.75"/>
    <n v="2.25"/>
  </r>
  <r>
    <d v="2016-10-17T00:00:00"/>
    <x v="2"/>
    <m/>
    <x v="0"/>
    <x v="2"/>
    <x v="0"/>
    <m/>
    <n v="424"/>
    <m/>
    <s v="oui"/>
    <m/>
    <n v="3"/>
    <n v="0.75"/>
    <n v="2.25"/>
  </r>
  <r>
    <d v="2016-10-17T00:00:00"/>
    <x v="2"/>
    <m/>
    <x v="0"/>
    <x v="3"/>
    <x v="0"/>
    <s v="hyper ox"/>
    <n v="184"/>
    <m/>
    <s v="oui"/>
    <m/>
    <n v="3"/>
    <n v="0.75"/>
    <n v="2.25"/>
  </r>
  <r>
    <d v="2016-10-17T00:00:00"/>
    <x v="2"/>
    <m/>
    <x v="0"/>
    <x v="3"/>
    <x v="0"/>
    <s v="Petit degré"/>
    <n v="195"/>
    <m/>
    <s v="oui"/>
    <m/>
    <n v="3"/>
    <n v="0.75"/>
    <n v="2.25"/>
  </r>
  <r>
    <d v="2016-10-17T00:00:00"/>
    <x v="2"/>
    <m/>
    <x v="0"/>
    <x v="3"/>
    <x v="0"/>
    <s v="Petit degré"/>
    <n v="30"/>
    <m/>
    <s v="oui"/>
    <m/>
    <n v="3"/>
    <n v="0.75"/>
    <n v="2.25"/>
  </r>
  <r>
    <d v="2016-10-17T00:00:00"/>
    <x v="3"/>
    <m/>
    <x v="0"/>
    <x v="1"/>
    <x v="0"/>
    <s v="Classique"/>
    <s v="-"/>
    <m/>
    <s v="oui"/>
    <m/>
    <n v="3"/>
    <n v="0.75"/>
    <n v="2.25"/>
  </r>
  <r>
    <d v="2016-10-17T00:00:00"/>
    <x v="3"/>
    <m/>
    <x v="0"/>
    <x v="1"/>
    <x v="0"/>
    <s v="Variétal"/>
    <s v="-"/>
    <m/>
    <s v="oui"/>
    <m/>
    <n v="3"/>
    <n v="0.75"/>
    <n v="2.25"/>
  </r>
  <r>
    <d v="2016-10-17T00:00:00"/>
    <x v="3"/>
    <m/>
    <x v="0"/>
    <x v="1"/>
    <x v="0"/>
    <s v="supérieur"/>
    <s v="-"/>
    <m/>
    <s v="oui"/>
    <m/>
    <n v="3"/>
    <n v="0.75"/>
    <n v="2.25"/>
  </r>
  <r>
    <d v="2016-10-17T00:00:00"/>
    <x v="3"/>
    <m/>
    <x v="0"/>
    <x v="0"/>
    <x v="0"/>
    <s v="flatteur"/>
    <s v="-"/>
    <m/>
    <s v="oui"/>
    <m/>
    <n v="3"/>
    <n v="0.75"/>
    <n v="2.25"/>
  </r>
  <r>
    <d v="2016-10-17T00:00:00"/>
    <x v="3"/>
    <m/>
    <x v="0"/>
    <x v="0"/>
    <x v="0"/>
    <s v="riche"/>
    <s v="-"/>
    <m/>
    <s v="oui"/>
    <m/>
    <n v="3"/>
    <n v="0.75"/>
    <n v="2.25"/>
  </r>
  <r>
    <d v="2016-10-17T00:00:00"/>
    <x v="3"/>
    <m/>
    <x v="0"/>
    <x v="0"/>
    <x v="0"/>
    <s v="supérieur"/>
    <s v="-"/>
    <m/>
    <s v="oui"/>
    <m/>
    <n v="3"/>
    <n v="0.75"/>
    <n v="2.25"/>
  </r>
  <r>
    <d v="2016-10-17T00:00:00"/>
    <x v="4"/>
    <s v="-"/>
    <x v="0"/>
    <x v="1"/>
    <x v="0"/>
    <s v="Classique"/>
    <s v="-"/>
    <m/>
    <s v="oui"/>
    <m/>
    <n v="3"/>
    <n v="0.75"/>
    <n v="2.25"/>
  </r>
  <r>
    <d v="2016-10-17T00:00:00"/>
    <x v="4"/>
    <s v="-"/>
    <x v="0"/>
    <x v="1"/>
    <x v="0"/>
    <s v="Variétal"/>
    <s v="-"/>
    <m/>
    <s v="oui"/>
    <m/>
    <n v="3"/>
    <n v="0.75"/>
    <n v="2.25"/>
  </r>
  <r>
    <d v="2016-10-17T00:00:00"/>
    <x v="4"/>
    <s v="-"/>
    <x v="0"/>
    <x v="1"/>
    <x v="0"/>
    <s v="supérieur"/>
    <s v="-"/>
    <m/>
    <s v="oui"/>
    <m/>
    <n v="3"/>
    <n v="0.75"/>
    <n v="2.25"/>
  </r>
  <r>
    <d v="2016-10-17T00:00:00"/>
    <x v="5"/>
    <m/>
    <x v="0"/>
    <x v="1"/>
    <x v="0"/>
    <s v="Classique"/>
    <s v="-"/>
    <m/>
    <s v="oui"/>
    <s v="Pas d'indication client"/>
    <n v="3"/>
    <n v="0.75"/>
    <n v="2.25"/>
  </r>
  <r>
    <d v="2016-10-17T00:00:00"/>
    <x v="5"/>
    <m/>
    <x v="1"/>
    <x v="4"/>
    <x v="0"/>
    <s v="-"/>
    <n v="334"/>
    <m/>
    <s v="oui"/>
    <m/>
    <n v="1"/>
    <n v="0.75"/>
    <n v="0.75"/>
  </r>
  <r>
    <d v="2016-10-17T00:00:00"/>
    <x v="2"/>
    <m/>
    <x v="2"/>
    <x v="5"/>
    <x v="0"/>
    <m/>
    <n v="41"/>
    <m/>
    <s v="oui"/>
    <m/>
    <n v="3"/>
    <n v="0.75"/>
    <n v="2.25"/>
  </r>
  <r>
    <d v="2016-10-17T00:00:00"/>
    <x v="2"/>
    <m/>
    <x v="1"/>
    <x v="5"/>
    <x v="0"/>
    <m/>
    <n v="129"/>
    <m/>
    <s v="oui"/>
    <m/>
    <n v="3"/>
    <n v="0.75"/>
    <n v="2.25"/>
  </r>
  <r>
    <d v="2016-10-18T00:00:00"/>
    <x v="6"/>
    <m/>
    <x v="0"/>
    <x v="3"/>
    <x v="0"/>
    <s v="-"/>
    <n v="180"/>
    <m/>
    <s v="oui"/>
    <s v="haut de cuve"/>
    <n v="1"/>
    <n v="0.75"/>
    <n v="0.75"/>
  </r>
  <r>
    <d v="2016-10-18T00:00:00"/>
    <x v="6"/>
    <m/>
    <x v="0"/>
    <x v="3"/>
    <x v="0"/>
    <s v="-"/>
    <n v="180"/>
    <m/>
    <s v="oui"/>
    <s v="bas de cuve"/>
    <n v="1"/>
    <n v="0.75"/>
    <n v="0.75"/>
  </r>
  <r>
    <d v="2016-10-18T00:00:00"/>
    <x v="6"/>
    <m/>
    <x v="0"/>
    <x v="3"/>
    <x v="0"/>
    <s v="-"/>
    <n v="195"/>
    <m/>
    <s v="oui"/>
    <s v="haut de cuve"/>
    <n v="1"/>
    <n v="0.75"/>
    <n v="0.75"/>
  </r>
  <r>
    <d v="2016-10-18T00:00:00"/>
    <x v="6"/>
    <m/>
    <x v="0"/>
    <x v="3"/>
    <x v="0"/>
    <s v="-"/>
    <n v="195"/>
    <m/>
    <s v="oui"/>
    <s v="bas de cuve"/>
    <n v="1"/>
    <n v="0.75"/>
    <n v="0.75"/>
  </r>
  <r>
    <d v="2016-10-18T00:00:00"/>
    <x v="6"/>
    <m/>
    <x v="0"/>
    <x v="3"/>
    <x v="0"/>
    <s v="-"/>
    <n v="30"/>
    <m/>
    <s v="oui"/>
    <s v="haut de cuve"/>
    <n v="1"/>
    <n v="0.75"/>
    <n v="0.75"/>
  </r>
  <r>
    <d v="2016-10-18T00:00:00"/>
    <x v="6"/>
    <m/>
    <x v="0"/>
    <x v="3"/>
    <x v="0"/>
    <s v="-"/>
    <n v="30"/>
    <m/>
    <s v="oui"/>
    <s v="bas de cuve"/>
    <n v="1"/>
    <n v="0.75"/>
    <n v="0.75"/>
  </r>
  <r>
    <d v="2016-10-18T00:00:00"/>
    <x v="1"/>
    <s v="SP Wines"/>
    <x v="0"/>
    <x v="1"/>
    <x v="0"/>
    <s v="Variétal"/>
    <s v="-"/>
    <m/>
    <s v="oui"/>
    <m/>
    <n v="2"/>
    <n v="0.75"/>
    <n v="1.5"/>
  </r>
  <r>
    <d v="2016-10-18T00:00:00"/>
    <x v="1"/>
    <s v="SP Wines"/>
    <x v="0"/>
    <x v="1"/>
    <x v="0"/>
    <s v="Classique"/>
    <s v="-"/>
    <m/>
    <s v="oui"/>
    <m/>
    <n v="2"/>
    <n v="0.75"/>
    <n v="1.5"/>
  </r>
  <r>
    <d v="2016-10-18T00:00:00"/>
    <x v="1"/>
    <s v="SP Wines"/>
    <x v="0"/>
    <x v="0"/>
    <x v="0"/>
    <s v="flatteur"/>
    <s v="-"/>
    <m/>
    <s v="oui"/>
    <m/>
    <n v="1"/>
    <n v="0.75"/>
    <n v="0.75"/>
  </r>
  <r>
    <d v="2016-10-18T00:00:00"/>
    <x v="1"/>
    <s v="SP Wines"/>
    <x v="0"/>
    <x v="0"/>
    <x v="0"/>
    <s v="riche"/>
    <s v="-"/>
    <m/>
    <s v="oui"/>
    <m/>
    <n v="1"/>
    <n v="0.75"/>
    <n v="0.75"/>
  </r>
  <r>
    <d v="2016-10-18T00:00:00"/>
    <x v="1"/>
    <s v="SP Wines"/>
    <x v="0"/>
    <x v="0"/>
    <x v="0"/>
    <s v="supérieur"/>
    <s v="-"/>
    <m/>
    <s v="oui"/>
    <m/>
    <n v="1"/>
    <n v="0.75"/>
    <n v="0.75"/>
  </r>
  <r>
    <d v="2016-10-19T00:00:00"/>
    <x v="2"/>
    <s v="-"/>
    <x v="0"/>
    <x v="2"/>
    <x v="0"/>
    <s v="-"/>
    <n v="424"/>
    <m/>
    <s v="oui"/>
    <m/>
    <n v="3"/>
    <n v="0.75"/>
    <n v="2.25"/>
  </r>
  <r>
    <d v="2016-10-19T00:00:00"/>
    <x v="1"/>
    <s v="TWS"/>
    <x v="0"/>
    <x v="6"/>
    <x v="1"/>
    <s v="Lot 3"/>
    <n v="310"/>
    <m/>
    <s v="oui"/>
    <m/>
    <n v="3"/>
    <n v="0.75"/>
    <n v="2.25"/>
  </r>
  <r>
    <d v="2016-10-19T00:00:00"/>
    <x v="2"/>
    <s v="-"/>
    <x v="0"/>
    <x v="2"/>
    <x v="1"/>
    <s v="supérieur"/>
    <n v="196"/>
    <m/>
    <s v="oui"/>
    <m/>
    <n v="2"/>
    <n v="0.75"/>
    <n v="1.5"/>
  </r>
  <r>
    <d v="2016-10-20T00:00:00"/>
    <x v="1"/>
    <s v="TWS"/>
    <x v="0"/>
    <x v="1"/>
    <x v="0"/>
    <s v="Classique"/>
    <s v="-"/>
    <m/>
    <s v="oui"/>
    <m/>
    <n v="3"/>
    <n v="0.75"/>
    <n v="2.25"/>
  </r>
  <r>
    <d v="2016-10-20T00:00:00"/>
    <x v="1"/>
    <s v="TWS"/>
    <x v="0"/>
    <x v="1"/>
    <x v="0"/>
    <s v="supérieur"/>
    <s v="-"/>
    <m/>
    <s v="oui"/>
    <m/>
    <n v="1"/>
    <n v="0.75"/>
    <n v="0.75"/>
  </r>
  <r>
    <d v="2016-10-20T00:00:00"/>
    <x v="1"/>
    <s v="TWS"/>
    <x v="0"/>
    <x v="0"/>
    <x v="0"/>
    <s v="flatteur"/>
    <s v="-"/>
    <m/>
    <s v="oui"/>
    <m/>
    <n v="3"/>
    <n v="0.75"/>
    <n v="2.25"/>
  </r>
  <r>
    <d v="2016-10-20T00:00:00"/>
    <x v="1"/>
    <s v="TWS"/>
    <x v="0"/>
    <x v="0"/>
    <x v="0"/>
    <s v="riche"/>
    <s v="-"/>
    <m/>
    <s v="oui"/>
    <m/>
    <n v="3"/>
    <n v="0.75"/>
    <n v="2.25"/>
  </r>
  <r>
    <d v="2016-10-20T00:00:00"/>
    <x v="1"/>
    <s v="TWS"/>
    <x v="0"/>
    <x v="0"/>
    <x v="0"/>
    <s v="supérieur"/>
    <s v="-"/>
    <m/>
    <s v="oui"/>
    <m/>
    <n v="3"/>
    <n v="0.75"/>
    <n v="2.25"/>
  </r>
  <r>
    <d v="2016-10-20T00:00:00"/>
    <x v="1"/>
    <s v="TWS"/>
    <x v="0"/>
    <x v="3"/>
    <x v="0"/>
    <s v="-"/>
    <n v="184"/>
    <m/>
    <s v="oui"/>
    <m/>
    <n v="3"/>
    <n v="0.75"/>
    <n v="2.25"/>
  </r>
  <r>
    <d v="2016-10-20T00:00:00"/>
    <x v="1"/>
    <s v="TWS"/>
    <x v="0"/>
    <x v="3"/>
    <x v="0"/>
    <s v="-"/>
    <n v="30"/>
    <m/>
    <s v="oui"/>
    <m/>
    <n v="3"/>
    <n v="0.75"/>
    <n v="2.25"/>
  </r>
  <r>
    <d v="2016-10-20T00:00:00"/>
    <x v="1"/>
    <s v="TWS"/>
    <x v="0"/>
    <x v="2"/>
    <x v="0"/>
    <s v="-"/>
    <n v="424"/>
    <m/>
    <s v="oui"/>
    <m/>
    <n v="3"/>
    <n v="0.75"/>
    <n v="2.25"/>
  </r>
  <r>
    <d v="2016-10-20T00:00:00"/>
    <x v="1"/>
    <s v="Gilles Lambert"/>
    <x v="0"/>
    <x v="2"/>
    <x v="0"/>
    <s v="-"/>
    <n v="424"/>
    <m/>
    <s v="oui"/>
    <m/>
    <n v="2"/>
    <n v="0.75"/>
    <n v="1.5"/>
  </r>
  <r>
    <d v="2016-10-20T00:00:00"/>
    <x v="1"/>
    <s v="Gilles Lambert"/>
    <x v="2"/>
    <x v="5"/>
    <x v="1"/>
    <s v="-"/>
    <n v="69"/>
    <m/>
    <s v="oui"/>
    <m/>
    <n v="3"/>
    <n v="0.75"/>
    <n v="2.25"/>
  </r>
  <r>
    <d v="2016-10-20T00:00:00"/>
    <x v="1"/>
    <s v="Gilles Lambert"/>
    <x v="0"/>
    <x v="1"/>
    <x v="0"/>
    <s v="Classique"/>
    <s v="-"/>
    <m/>
    <s v="oui"/>
    <m/>
    <n v="2"/>
    <n v="0.75"/>
    <n v="1.5"/>
  </r>
  <r>
    <d v="2016-10-20T00:00:00"/>
    <x v="1"/>
    <s v="Gilles Lambert"/>
    <x v="0"/>
    <x v="1"/>
    <x v="0"/>
    <s v="Variétal"/>
    <s v="-"/>
    <m/>
    <s v="oui"/>
    <m/>
    <n v="2"/>
    <n v="0.75"/>
    <n v="1.5"/>
  </r>
  <r>
    <d v="2016-10-20T00:00:00"/>
    <x v="1"/>
    <s v="Gilles Lambert"/>
    <x v="0"/>
    <x v="1"/>
    <x v="0"/>
    <s v="supérieur"/>
    <s v="-"/>
    <m/>
    <s v="oui"/>
    <m/>
    <n v="2"/>
    <n v="0.75"/>
    <n v="1.5"/>
  </r>
  <r>
    <d v="2016-10-20T00:00:00"/>
    <x v="1"/>
    <s v="Gilles Lambert"/>
    <x v="0"/>
    <x v="0"/>
    <x v="0"/>
    <s v="flatteur"/>
    <s v="-"/>
    <m/>
    <s v="oui"/>
    <m/>
    <n v="2"/>
    <n v="0.75"/>
    <n v="1.5"/>
  </r>
  <r>
    <d v="2016-10-20T00:00:00"/>
    <x v="1"/>
    <s v="Gilles Lambert"/>
    <x v="0"/>
    <x v="0"/>
    <x v="0"/>
    <s v="riche"/>
    <s v="-"/>
    <m/>
    <s v="oui"/>
    <m/>
    <n v="2"/>
    <n v="0.75"/>
    <n v="1.5"/>
  </r>
  <r>
    <d v="2016-10-20T00:00:00"/>
    <x v="1"/>
    <s v="Gilles Lambert"/>
    <x v="0"/>
    <x v="0"/>
    <x v="0"/>
    <s v="supérieur"/>
    <s v="-"/>
    <m/>
    <s v="oui"/>
    <m/>
    <n v="2"/>
    <n v="0.75"/>
    <n v="1.5"/>
  </r>
  <r>
    <d v="2016-10-21T00:00:00"/>
    <x v="2"/>
    <s v="-"/>
    <x v="0"/>
    <x v="1"/>
    <x v="0"/>
    <s v="Classique"/>
    <s v="-"/>
    <m/>
    <s v="oui"/>
    <m/>
    <n v="3"/>
    <n v="0.75"/>
    <n v="2.25"/>
  </r>
  <r>
    <d v="2016-10-21T00:00:00"/>
    <x v="2"/>
    <s v="-"/>
    <x v="0"/>
    <x v="1"/>
    <x v="0"/>
    <s v="Variétal"/>
    <s v="-"/>
    <m/>
    <s v="oui"/>
    <m/>
    <n v="3"/>
    <n v="0.75"/>
    <n v="2.25"/>
  </r>
  <r>
    <d v="2016-10-21T00:00:00"/>
    <x v="2"/>
    <s v="-"/>
    <x v="0"/>
    <x v="1"/>
    <x v="0"/>
    <s v="supérieur"/>
    <s v="-"/>
    <m/>
    <s v="oui"/>
    <m/>
    <n v="3"/>
    <n v="0.75"/>
    <n v="2.25"/>
  </r>
  <r>
    <d v="2016-10-21T00:00:00"/>
    <x v="2"/>
    <s v="-"/>
    <x v="0"/>
    <x v="0"/>
    <x v="0"/>
    <s v="flatteur"/>
    <s v="-"/>
    <m/>
    <s v="oui"/>
    <m/>
    <n v="3"/>
    <n v="0.75"/>
    <n v="2.25"/>
  </r>
  <r>
    <d v="2016-10-21T00:00:00"/>
    <x v="2"/>
    <s v="-"/>
    <x v="0"/>
    <x v="0"/>
    <x v="0"/>
    <s v="riche"/>
    <s v="-"/>
    <m/>
    <s v="oui"/>
    <m/>
    <n v="3"/>
    <n v="0.75"/>
    <n v="2.25"/>
  </r>
  <r>
    <d v="2016-10-21T00:00:00"/>
    <x v="2"/>
    <s v="-"/>
    <x v="0"/>
    <x v="0"/>
    <x v="0"/>
    <s v="supérieur"/>
    <s v="-"/>
    <m/>
    <s v="oui"/>
    <m/>
    <n v="3"/>
    <n v="0.75"/>
    <n v="2.25"/>
  </r>
  <r>
    <d v="2016-10-24T00:00:00"/>
    <x v="2"/>
    <s v="-"/>
    <x v="0"/>
    <x v="1"/>
    <x v="0"/>
    <s v="Classique"/>
    <s v="-"/>
    <m/>
    <s v="oui"/>
    <m/>
    <n v="3"/>
    <n v="0.75"/>
    <n v="2.25"/>
  </r>
  <r>
    <d v="2016-10-24T00:00:00"/>
    <x v="2"/>
    <s v="-"/>
    <x v="0"/>
    <x v="1"/>
    <x v="0"/>
    <s v="Variétal"/>
    <s v="-"/>
    <m/>
    <s v="oui"/>
    <m/>
    <n v="3"/>
    <n v="0.75"/>
    <n v="2.25"/>
  </r>
  <r>
    <d v="2016-10-24T00:00:00"/>
    <x v="2"/>
    <s v="-"/>
    <x v="0"/>
    <x v="1"/>
    <x v="0"/>
    <s v="supérieur"/>
    <s v="-"/>
    <m/>
    <s v="oui"/>
    <m/>
    <n v="3"/>
    <n v="0.75"/>
    <n v="2.25"/>
  </r>
  <r>
    <d v="2016-10-24T00:00:00"/>
    <x v="2"/>
    <s v="-"/>
    <x v="0"/>
    <x v="0"/>
    <x v="0"/>
    <s v="flatteur"/>
    <s v="-"/>
    <m/>
    <s v="oui"/>
    <m/>
    <n v="3"/>
    <n v="0.75"/>
    <n v="2.25"/>
  </r>
  <r>
    <d v="2016-10-24T00:00:00"/>
    <x v="2"/>
    <s v="-"/>
    <x v="0"/>
    <x v="0"/>
    <x v="0"/>
    <s v="riche"/>
    <s v="-"/>
    <m/>
    <s v="oui"/>
    <m/>
    <n v="3"/>
    <n v="0.75"/>
    <n v="2.25"/>
  </r>
  <r>
    <d v="2016-10-24T00:00:00"/>
    <x v="2"/>
    <s v="-"/>
    <x v="0"/>
    <x v="0"/>
    <x v="0"/>
    <s v="supérieur"/>
    <s v="-"/>
    <m/>
    <s v="oui"/>
    <m/>
    <n v="3"/>
    <n v="0.75"/>
    <n v="2.25"/>
  </r>
  <r>
    <d v="2016-10-24T00:00:00"/>
    <x v="2"/>
    <s v="-"/>
    <x v="0"/>
    <x v="3"/>
    <x v="0"/>
    <s v="--"/>
    <n v="36"/>
    <m/>
    <s v="oui"/>
    <m/>
    <n v="3"/>
    <n v="0.75"/>
    <n v="2.25"/>
  </r>
  <r>
    <d v="2016-10-24T00:00:00"/>
    <x v="2"/>
    <s v="-"/>
    <x v="0"/>
    <x v="3"/>
    <x v="0"/>
    <s v="Petit degré"/>
    <n v="30"/>
    <m/>
    <s v="oui"/>
    <m/>
    <n v="3"/>
    <n v="0.75"/>
    <n v="2.25"/>
  </r>
  <r>
    <d v="2016-10-24T00:00:00"/>
    <x v="2"/>
    <s v="-"/>
    <x v="0"/>
    <x v="2"/>
    <x v="0"/>
    <s v="-"/>
    <n v="424"/>
    <m/>
    <s v="oui"/>
    <m/>
    <n v="3"/>
    <n v="0.75"/>
    <n v="2.25"/>
  </r>
  <r>
    <d v="2016-10-24T00:00:00"/>
    <x v="7"/>
    <s v="-"/>
    <x v="0"/>
    <x v="1"/>
    <x v="0"/>
    <s v="Variétal"/>
    <n v="423"/>
    <m/>
    <s v="oui"/>
    <m/>
    <n v="1"/>
    <n v="0.75"/>
    <n v="0.75"/>
  </r>
  <r>
    <d v="2016-10-24T00:00:00"/>
    <x v="7"/>
    <s v="-"/>
    <x v="0"/>
    <x v="1"/>
    <x v="0"/>
    <s v="supérieur"/>
    <s v="-"/>
    <m/>
    <s v="oui"/>
    <m/>
    <n v="2"/>
    <n v="0.75"/>
    <n v="1.5"/>
  </r>
  <r>
    <d v="2016-10-24T00:00:00"/>
    <x v="7"/>
    <s v="-"/>
    <x v="0"/>
    <x v="1"/>
    <x v="0"/>
    <s v="Classique"/>
    <s v="-"/>
    <m/>
    <s v="oui"/>
    <m/>
    <n v="1"/>
    <n v="0.75"/>
    <n v="0.75"/>
  </r>
  <r>
    <d v="2016-10-25T00:00:00"/>
    <x v="1"/>
    <s v="Olivier Castillo"/>
    <x v="0"/>
    <x v="1"/>
    <x v="0"/>
    <s v="supérieur"/>
    <s v="-"/>
    <m/>
    <s v="oui"/>
    <m/>
    <n v="1"/>
    <n v="0.75"/>
    <n v="0.75"/>
  </r>
  <r>
    <d v="2016-10-25T00:00:00"/>
    <x v="1"/>
    <s v="Romain Duvernay"/>
    <x v="0"/>
    <x v="1"/>
    <x v="0"/>
    <s v="Classique"/>
    <s v="-"/>
    <m/>
    <s v="oui"/>
    <m/>
    <n v="3"/>
    <n v="0.75"/>
    <n v="2.25"/>
  </r>
  <r>
    <d v="2016-10-25T00:00:00"/>
    <x v="1"/>
    <s v="Romain Duvernay"/>
    <x v="0"/>
    <x v="1"/>
    <x v="0"/>
    <s v="Variétal"/>
    <n v="423"/>
    <m/>
    <s v="oui"/>
    <m/>
    <n v="3"/>
    <n v="0.75"/>
    <n v="2.25"/>
  </r>
  <r>
    <d v="2016-10-25T00:00:00"/>
    <x v="1"/>
    <s v="Romain Duvernay"/>
    <x v="0"/>
    <x v="1"/>
    <x v="0"/>
    <s v="supérieur"/>
    <s v="-"/>
    <m/>
    <s v="oui"/>
    <m/>
    <n v="3"/>
    <n v="0.75"/>
    <n v="2.25"/>
  </r>
  <r>
    <d v="2016-10-25T00:00:00"/>
    <x v="1"/>
    <s v="Romain Duvernay"/>
    <x v="0"/>
    <x v="0"/>
    <x v="0"/>
    <s v="flatteur"/>
    <s v="-"/>
    <m/>
    <s v="oui"/>
    <m/>
    <n v="3"/>
    <n v="0.75"/>
    <n v="2.25"/>
  </r>
  <r>
    <d v="2016-10-25T00:00:00"/>
    <x v="1"/>
    <s v="Romain Duvernay"/>
    <x v="0"/>
    <x v="0"/>
    <x v="0"/>
    <s v="riche"/>
    <s v="-"/>
    <m/>
    <s v="oui"/>
    <m/>
    <n v="3"/>
    <n v="0.75"/>
    <n v="2.25"/>
  </r>
  <r>
    <d v="2016-10-25T00:00:00"/>
    <x v="1"/>
    <s v="Romain Duvernay"/>
    <x v="0"/>
    <x v="0"/>
    <x v="0"/>
    <s v="supérieur"/>
    <s v="-"/>
    <m/>
    <s v="oui"/>
    <m/>
    <n v="3"/>
    <n v="0.75"/>
    <n v="2.25"/>
  </r>
  <r>
    <d v="2016-10-25T00:00:00"/>
    <x v="1"/>
    <s v="Romain Duvernay"/>
    <x v="0"/>
    <x v="2"/>
    <x v="0"/>
    <s v="-"/>
    <n v="424"/>
    <m/>
    <s v="oui"/>
    <m/>
    <n v="3"/>
    <n v="0.75"/>
    <n v="2.25"/>
  </r>
  <r>
    <d v="2016-10-26T00:00:00"/>
    <x v="2"/>
    <s v="-"/>
    <x v="1"/>
    <x v="7"/>
    <x v="0"/>
    <s v="profil expé"/>
    <n v="209"/>
    <m/>
    <s v="oui"/>
    <m/>
    <n v="3"/>
    <n v="0.75"/>
    <n v="2.25"/>
  </r>
  <r>
    <d v="2016-10-26T00:00:00"/>
    <x v="1"/>
    <s v="SP Wines"/>
    <x v="1"/>
    <x v="8"/>
    <x v="0"/>
    <s v="Assemblage Agde"/>
    <s v="-"/>
    <m/>
    <s v="oui"/>
    <m/>
    <n v="2"/>
    <n v="0.75"/>
    <n v="1.5"/>
  </r>
  <r>
    <d v="2016-10-26T00:00:00"/>
    <x v="1"/>
    <s v="SP Wines"/>
    <x v="0"/>
    <x v="1"/>
    <x v="0"/>
    <s v="supérieur"/>
    <s v="-"/>
    <m/>
    <s v="oui"/>
    <m/>
    <n v="2"/>
    <n v="0.75"/>
    <n v="1.5"/>
  </r>
  <r>
    <d v="2016-10-26T00:00:00"/>
    <x v="1"/>
    <s v="SP Wines"/>
    <x v="0"/>
    <x v="1"/>
    <x v="0"/>
    <s v="Variétal"/>
    <n v="423"/>
    <m/>
    <s v="oui"/>
    <m/>
    <n v="2"/>
    <n v="0.75"/>
    <n v="1.5"/>
  </r>
  <r>
    <d v="2016-10-26T00:00:00"/>
    <x v="1"/>
    <s v="SP Wines"/>
    <x v="0"/>
    <x v="1"/>
    <x v="0"/>
    <s v="supérieur"/>
    <s v="-"/>
    <m/>
    <s v="oui"/>
    <m/>
    <n v="2"/>
    <n v="0.75"/>
    <n v="1.5"/>
  </r>
  <r>
    <d v="2016-10-27T00:00:00"/>
    <x v="4"/>
    <s v="-"/>
    <x v="0"/>
    <x v="9"/>
    <x v="0"/>
    <s v="-"/>
    <n v="87"/>
    <m/>
    <s v="oui"/>
    <m/>
    <n v="2"/>
    <n v="0.75"/>
    <n v="1.5"/>
  </r>
  <r>
    <d v="2016-10-27T00:00:00"/>
    <x v="4"/>
    <s v="-"/>
    <x v="0"/>
    <x v="1"/>
    <x v="0"/>
    <s v="Variétal"/>
    <n v="423"/>
    <m/>
    <s v="oui"/>
    <m/>
    <n v="3"/>
    <n v="0.75"/>
    <n v="2.25"/>
  </r>
  <r>
    <d v="2016-10-27T00:00:00"/>
    <x v="8"/>
    <s v="Murphy winecompany"/>
    <x v="0"/>
    <x v="0"/>
    <x v="0"/>
    <s v="Garnier"/>
    <s v="-"/>
    <m/>
    <s v="oui"/>
    <s v="Assemblage Caves Garnier"/>
    <n v="3"/>
    <n v="0.75"/>
    <n v="2.25"/>
  </r>
  <r>
    <d v="2016-10-27T00:00:00"/>
    <x v="8"/>
    <s v="Murphy winecompany"/>
    <x v="0"/>
    <x v="0"/>
    <x v="0"/>
    <s v="-"/>
    <n v="313"/>
    <m/>
    <s v="oui"/>
    <s v="Base assemblage Chardonnay Garnier"/>
    <n v="1"/>
    <n v="0.75"/>
    <n v="0.75"/>
  </r>
  <r>
    <d v="2016-10-28T00:00:00"/>
    <x v="2"/>
    <s v="-"/>
    <x v="1"/>
    <x v="8"/>
    <x v="1"/>
    <s v="-"/>
    <n v="328"/>
    <m/>
    <s v="oui"/>
    <s v="Base Oc Rosé 2015"/>
    <n v="3"/>
    <n v="0.75"/>
    <n v="2.25"/>
  </r>
  <r>
    <d v="2016-11-02T00:00:00"/>
    <x v="9"/>
    <s v="Jacques Woloviek"/>
    <x v="1"/>
    <x v="10"/>
    <x v="0"/>
    <s v="Oc Rosé"/>
    <s v="-"/>
    <m/>
    <s v="oui"/>
    <s v="Base Oc Rosé 2016"/>
    <n v="2"/>
    <n v="0.75"/>
    <n v="1.5"/>
  </r>
  <r>
    <d v="2016-11-02T00:00:00"/>
    <x v="9"/>
    <s v="Jacques Woloviek"/>
    <x v="1"/>
    <x v="10"/>
    <x v="0"/>
    <s v="Oc Rosé"/>
    <s v="-"/>
    <m/>
    <s v="oui"/>
    <s v="Base Oc Rosé 2016"/>
    <n v="1"/>
    <n v="5"/>
    <n v="5"/>
  </r>
  <r>
    <d v="2016-11-02T00:00:00"/>
    <x v="9"/>
    <s v="Jacques Woloviek"/>
    <x v="1"/>
    <x v="10"/>
    <x v="0"/>
    <s v="Hérault Rosé"/>
    <s v="-"/>
    <m/>
    <s v="oui"/>
    <s v="Base Hérault Rosé 2016"/>
    <n v="1"/>
    <n v="5"/>
    <n v="5"/>
  </r>
  <r>
    <d v="2016-11-02T00:00:00"/>
    <x v="9"/>
    <s v="Jacques Woloviek"/>
    <x v="1"/>
    <x v="10"/>
    <x v="0"/>
    <s v="Hérault Rosé"/>
    <s v="-"/>
    <m/>
    <s v="oui"/>
    <s v="Base Hérault Rosé 2016"/>
    <n v="2"/>
    <n v="0.75"/>
    <n v="1.5"/>
  </r>
  <r>
    <d v="2016-11-02T00:00:00"/>
    <x v="9"/>
    <s v="Jacques Woloviek"/>
    <x v="0"/>
    <x v="3"/>
    <x v="0"/>
    <s v="1 - 1000 hL"/>
    <s v="-"/>
    <m/>
    <s v="oui"/>
    <s v="1000 hL"/>
    <n v="2"/>
    <n v="0.75"/>
    <n v="1.5"/>
  </r>
  <r>
    <d v="2016-11-02T00:00:00"/>
    <x v="9"/>
    <s v="Jacques Woloviek"/>
    <x v="0"/>
    <x v="3"/>
    <x v="0"/>
    <s v="2 - 1300 hL"/>
    <s v="-"/>
    <m/>
    <s v="oui"/>
    <s v="1300 hL"/>
    <n v="2"/>
    <n v="0.75"/>
    <n v="1.5"/>
  </r>
  <r>
    <d v="2016-11-02T00:00:00"/>
    <x v="9"/>
    <s v="Jacques Woloviek"/>
    <x v="0"/>
    <x v="3"/>
    <x v="0"/>
    <s v="3 - 1900 hL"/>
    <s v="-"/>
    <m/>
    <s v="oui"/>
    <s v="1900 hL"/>
    <n v="2"/>
    <n v="0.75"/>
    <n v="1.5"/>
  </r>
  <r>
    <d v="2016-11-02T00:00:00"/>
    <x v="10"/>
    <s v="René Jeanjean"/>
    <x v="0"/>
    <x v="1"/>
    <x v="0"/>
    <s v="Classique"/>
    <n v="198"/>
    <m/>
    <s v="oui"/>
    <m/>
    <n v="3"/>
    <n v="0.75"/>
    <n v="2.25"/>
  </r>
  <r>
    <d v="2016-11-02T00:00:00"/>
    <x v="10"/>
    <s v="René Jeanjean"/>
    <x v="0"/>
    <x v="1"/>
    <x v="0"/>
    <s v="Variétal"/>
    <n v="423"/>
    <m/>
    <s v="oui"/>
    <m/>
    <n v="3"/>
    <n v="0.75"/>
    <n v="2.25"/>
  </r>
  <r>
    <d v="2016-11-02T00:00:00"/>
    <x v="10"/>
    <s v="René Jeanjean"/>
    <x v="0"/>
    <x v="1"/>
    <x v="0"/>
    <s v="supérieur"/>
    <s v="-"/>
    <m/>
    <s v="oui"/>
    <m/>
    <n v="3"/>
    <n v="0.75"/>
    <n v="2.25"/>
  </r>
  <r>
    <d v="2016-11-02T00:00:00"/>
    <x v="10"/>
    <s v="René Jeanjean"/>
    <x v="0"/>
    <x v="0"/>
    <x v="0"/>
    <s v="flatteur"/>
    <s v="-"/>
    <m/>
    <s v="oui"/>
    <m/>
    <n v="3"/>
    <n v="0.75"/>
    <n v="2.25"/>
  </r>
  <r>
    <d v="2016-11-02T00:00:00"/>
    <x v="10"/>
    <s v="René Jeanjean"/>
    <x v="0"/>
    <x v="0"/>
    <x v="0"/>
    <s v="riche"/>
    <n v="204"/>
    <m/>
    <s v="oui"/>
    <m/>
    <n v="3"/>
    <n v="0.75"/>
    <n v="2.25"/>
  </r>
  <r>
    <d v="2016-11-02T00:00:00"/>
    <x v="10"/>
    <s v="René Jeanjean"/>
    <x v="0"/>
    <x v="0"/>
    <x v="0"/>
    <s v="supérieur"/>
    <s v="-"/>
    <m/>
    <s v="oui"/>
    <m/>
    <n v="3"/>
    <n v="0.75"/>
    <n v="2.25"/>
  </r>
  <r>
    <d v="2016-11-02T00:00:00"/>
    <x v="10"/>
    <s v="René Jeanjean"/>
    <x v="1"/>
    <x v="10"/>
    <x v="0"/>
    <s v="Oc Rosé"/>
    <s v="-"/>
    <m/>
    <s v="oui"/>
    <s v="Base Oc Rosé 2016"/>
    <n v="3"/>
    <n v="0.75"/>
    <n v="2.25"/>
  </r>
  <r>
    <d v="2016-11-02T00:00:00"/>
    <x v="10"/>
    <s v="René Jeanjean"/>
    <x v="1"/>
    <x v="10"/>
    <x v="0"/>
    <s v="Hérault Rosé"/>
    <s v="-"/>
    <m/>
    <s v="oui"/>
    <s v="Base Hérault Rosé 2016"/>
    <n v="3"/>
    <n v="0.75"/>
    <n v="2.25"/>
  </r>
  <r>
    <d v="2016-11-02T00:00:00"/>
    <x v="1"/>
    <s v="TWS"/>
    <x v="0"/>
    <x v="0"/>
    <x v="0"/>
    <s v="flatteur"/>
    <s v="-"/>
    <m/>
    <s v="oui"/>
    <m/>
    <n v="4"/>
    <n v="0.75"/>
    <n v="3"/>
  </r>
  <r>
    <d v="2016-11-02T00:00:00"/>
    <x v="1"/>
    <s v="TWS"/>
    <x v="0"/>
    <x v="1"/>
    <x v="0"/>
    <s v="Classique"/>
    <n v="198"/>
    <m/>
    <s v="oui"/>
    <m/>
    <n v="4"/>
    <n v="0.75"/>
    <n v="3"/>
  </r>
  <r>
    <d v="2016-11-02T00:00:00"/>
    <x v="2"/>
    <s v="-"/>
    <x v="0"/>
    <x v="1"/>
    <x v="0"/>
    <s v="Classique"/>
    <n v="198"/>
    <m/>
    <s v="oui"/>
    <m/>
    <n v="3"/>
    <n v="0.75"/>
    <n v="2.25"/>
  </r>
  <r>
    <d v="2016-11-02T00:00:00"/>
    <x v="2"/>
    <s v="-"/>
    <x v="0"/>
    <x v="1"/>
    <x v="0"/>
    <s v="Variétal"/>
    <n v="423"/>
    <m/>
    <s v="oui"/>
    <m/>
    <n v="3"/>
    <n v="0.75"/>
    <n v="2.25"/>
  </r>
  <r>
    <d v="2016-11-02T00:00:00"/>
    <x v="2"/>
    <s v="-"/>
    <x v="0"/>
    <x v="1"/>
    <x v="0"/>
    <s v="supérieur"/>
    <s v="-"/>
    <m/>
    <s v="oui"/>
    <m/>
    <n v="3"/>
    <n v="0.75"/>
    <n v="2.25"/>
  </r>
  <r>
    <d v="2016-11-02T00:00:00"/>
    <x v="2"/>
    <s v="-"/>
    <x v="0"/>
    <x v="0"/>
    <x v="0"/>
    <s v="flatteur"/>
    <s v="-"/>
    <m/>
    <s v="oui"/>
    <m/>
    <n v="3"/>
    <n v="0.75"/>
    <n v="2.25"/>
  </r>
  <r>
    <d v="2016-11-02T00:00:00"/>
    <x v="2"/>
    <s v="-"/>
    <x v="0"/>
    <x v="0"/>
    <x v="0"/>
    <s v="riche"/>
    <n v="204"/>
    <m/>
    <s v="oui"/>
    <m/>
    <n v="3"/>
    <n v="0.75"/>
    <n v="2.25"/>
  </r>
  <r>
    <d v="2016-11-02T00:00:00"/>
    <x v="2"/>
    <s v="-"/>
    <x v="0"/>
    <x v="0"/>
    <x v="0"/>
    <s v="supérieur"/>
    <s v="-"/>
    <m/>
    <s v="oui"/>
    <m/>
    <n v="3"/>
    <n v="0.75"/>
    <n v="2.25"/>
  </r>
  <r>
    <d v="2016-11-02T00:00:00"/>
    <x v="2"/>
    <s v="-"/>
    <x v="0"/>
    <x v="2"/>
    <x v="1"/>
    <s v="supérieur"/>
    <n v="48"/>
    <m/>
    <s v="oui"/>
    <m/>
    <n v="2"/>
    <n v="0.75"/>
    <n v="1.5"/>
  </r>
  <r>
    <d v="2016-11-03T00:00:00"/>
    <x v="11"/>
    <s v="-"/>
    <x v="0"/>
    <x v="1"/>
    <x v="0"/>
    <s v="Classique"/>
    <n v="401"/>
    <m/>
    <s v="oui"/>
    <m/>
    <n v="2"/>
    <n v="0.75"/>
    <n v="1.5"/>
  </r>
  <r>
    <d v="2016-11-03T00:00:00"/>
    <x v="11"/>
    <s v="-"/>
    <x v="0"/>
    <x v="1"/>
    <x v="0"/>
    <s v="Variétal"/>
    <n v="423"/>
    <m/>
    <s v="oui"/>
    <m/>
    <n v="2"/>
    <n v="0.75"/>
    <n v="1.5"/>
  </r>
  <r>
    <d v="2016-11-03T00:00:00"/>
    <x v="11"/>
    <s v="-"/>
    <x v="0"/>
    <x v="1"/>
    <x v="0"/>
    <s v="supérieur"/>
    <s v="-"/>
    <m/>
    <s v="oui"/>
    <m/>
    <n v="2"/>
    <n v="0.75"/>
    <n v="1.5"/>
  </r>
  <r>
    <d v="2016-11-03T00:00:00"/>
    <x v="11"/>
    <s v="-"/>
    <x v="0"/>
    <x v="0"/>
    <x v="0"/>
    <s v="flatteur"/>
    <s v="-"/>
    <m/>
    <s v="oui"/>
    <m/>
    <n v="2"/>
    <n v="0.75"/>
    <n v="1.5"/>
  </r>
  <r>
    <d v="2016-11-03T00:00:00"/>
    <x v="11"/>
    <s v="-"/>
    <x v="0"/>
    <x v="0"/>
    <x v="0"/>
    <s v="riche"/>
    <n v="204"/>
    <m/>
    <s v="oui"/>
    <m/>
    <n v="2"/>
    <n v="0.75"/>
    <n v="1.5"/>
  </r>
  <r>
    <d v="2016-11-03T00:00:00"/>
    <x v="11"/>
    <s v="-"/>
    <x v="0"/>
    <x v="0"/>
    <x v="0"/>
    <s v="supérieur"/>
    <s v="-"/>
    <m/>
    <s v="oui"/>
    <m/>
    <n v="2"/>
    <n v="0.75"/>
    <n v="1.5"/>
  </r>
  <r>
    <d v="2016-11-03T00:00:00"/>
    <x v="11"/>
    <s v="-"/>
    <x v="2"/>
    <x v="5"/>
    <x v="0"/>
    <s v="-"/>
    <n v="41"/>
    <m/>
    <s v="oui"/>
    <m/>
    <n v="2"/>
    <n v="0.75"/>
    <n v="1.5"/>
  </r>
  <r>
    <d v="2016-11-03T00:00:00"/>
    <x v="11"/>
    <s v="-"/>
    <x v="1"/>
    <x v="7"/>
    <x v="0"/>
    <s v="profil expé"/>
    <s v="209+206"/>
    <m/>
    <s v="oui"/>
    <m/>
    <n v="2"/>
    <n v="0.75"/>
    <n v="1.5"/>
  </r>
  <r>
    <d v="2016-11-03T00:00:00"/>
    <x v="1"/>
    <s v="SP Wines"/>
    <x v="0"/>
    <x v="2"/>
    <x v="0"/>
    <s v="-"/>
    <n v="424"/>
    <m/>
    <s v="oui"/>
    <m/>
    <n v="2"/>
    <n v="0.75"/>
    <n v="1.5"/>
  </r>
  <r>
    <d v="2016-11-04T00:00:00"/>
    <x v="12"/>
    <s v="René Jeanjean"/>
    <x v="0"/>
    <x v="3"/>
    <x v="0"/>
    <s v="Standart"/>
    <s v="-"/>
    <m/>
    <s v="oui"/>
    <s v="Lot 100 hL solde Muscat"/>
    <n v="2"/>
    <n v="0.75"/>
    <n v="1.5"/>
  </r>
  <r>
    <d v="2016-11-04T00:00:00"/>
    <x v="12"/>
    <s v="René Jeanjean"/>
    <x v="0"/>
    <x v="3"/>
    <x v="0"/>
    <s v="Petit degré"/>
    <s v="-"/>
    <m/>
    <s v="oui"/>
    <s v="Blend cuves Petit degré"/>
    <n v="2"/>
    <n v="0.75"/>
    <n v="1.5"/>
  </r>
  <r>
    <d v="2016-11-07T00:00:00"/>
    <x v="2"/>
    <s v="-"/>
    <x v="0"/>
    <x v="1"/>
    <x v="0"/>
    <s v="supérieur"/>
    <n v="205"/>
    <m/>
    <s v="oui"/>
    <m/>
    <n v="3"/>
    <n v="0.75"/>
    <n v="2.25"/>
  </r>
  <r>
    <d v="2016-11-07T00:00:00"/>
    <x v="2"/>
    <s v="-"/>
    <x v="0"/>
    <x v="1"/>
    <x v="0"/>
    <s v="Classique"/>
    <n v="198"/>
    <m/>
    <s v="oui"/>
    <m/>
    <n v="3"/>
    <n v="0.75"/>
    <n v="2.25"/>
  </r>
  <r>
    <d v="2016-11-07T00:00:00"/>
    <x v="2"/>
    <s v="-"/>
    <x v="0"/>
    <x v="0"/>
    <x v="0"/>
    <s v="riche"/>
    <n v="204"/>
    <m/>
    <s v="oui"/>
    <m/>
    <n v="3"/>
    <n v="0.75"/>
    <n v="2.25"/>
  </r>
  <r>
    <d v="2016-11-07T00:00:00"/>
    <x v="2"/>
    <s v="-"/>
    <x v="0"/>
    <x v="2"/>
    <x v="0"/>
    <s v="-"/>
    <n v="424"/>
    <m/>
    <s v="oui"/>
    <m/>
    <n v="3"/>
    <n v="0.75"/>
    <n v="2.25"/>
  </r>
  <r>
    <d v="2016-11-07T00:00:00"/>
    <x v="2"/>
    <s v="-"/>
    <x v="0"/>
    <x v="1"/>
    <x v="0"/>
    <s v="Variétal"/>
    <n v="423"/>
    <m/>
    <s v="oui"/>
    <m/>
    <n v="3"/>
    <n v="0.75"/>
    <n v="2.25"/>
  </r>
  <r>
    <d v="2016-11-07T00:00:00"/>
    <x v="13"/>
    <s v="-"/>
    <x v="0"/>
    <x v="2"/>
    <x v="0"/>
    <s v="supérieur"/>
    <s v="-"/>
    <m/>
    <s v="oui"/>
    <m/>
    <n v="2"/>
    <n v="0.75"/>
    <n v="1.5"/>
  </r>
  <r>
    <d v="2016-11-07T00:00:00"/>
    <x v="1"/>
    <s v="Friedmann"/>
    <x v="0"/>
    <x v="0"/>
    <x v="0"/>
    <s v="flatteur"/>
    <s v="-"/>
    <m/>
    <s v="oui"/>
    <m/>
    <n v="3"/>
    <n v="0.75"/>
    <n v="2.25"/>
  </r>
  <r>
    <d v="2016-11-07T00:00:00"/>
    <x v="1"/>
    <s v="Friedmann"/>
    <x v="0"/>
    <x v="1"/>
    <x v="0"/>
    <s v="Classique"/>
    <n v="198"/>
    <m/>
    <s v="oui"/>
    <m/>
    <n v="4"/>
    <n v="0.75"/>
    <n v="3"/>
  </r>
  <r>
    <d v="2016-11-07T00:00:00"/>
    <x v="5"/>
    <s v="-"/>
    <x v="0"/>
    <x v="0"/>
    <x v="0"/>
    <s v="flatteur"/>
    <s v="-"/>
    <m/>
    <s v="oui"/>
    <m/>
    <n v="4"/>
    <n v="0.75"/>
    <n v="3"/>
  </r>
  <r>
    <d v="2016-11-07T00:00:00"/>
    <x v="5"/>
    <s v="-"/>
    <x v="0"/>
    <x v="0"/>
    <x v="0"/>
    <s v="supérieur"/>
    <s v="-"/>
    <m/>
    <s v="oui"/>
    <m/>
    <n v="3"/>
    <n v="0.75"/>
    <n v="2.25"/>
  </r>
  <r>
    <d v="2016-11-07T00:00:00"/>
    <x v="14"/>
    <s v="-"/>
    <x v="0"/>
    <x v="0"/>
    <x v="0"/>
    <s v="flatteur"/>
    <s v="-"/>
    <m/>
    <s v="oui"/>
    <m/>
    <n v="3"/>
    <n v="0.75"/>
    <n v="2.25"/>
  </r>
  <r>
    <d v="2016-11-07T00:00:00"/>
    <x v="14"/>
    <s v="-"/>
    <x v="0"/>
    <x v="0"/>
    <x v="0"/>
    <s v="riche"/>
    <s v="-"/>
    <m/>
    <s v="oui"/>
    <m/>
    <n v="3"/>
    <n v="0.75"/>
    <n v="2.25"/>
  </r>
  <r>
    <d v="2016-11-07T00:00:00"/>
    <x v="14"/>
    <s v="-"/>
    <x v="0"/>
    <x v="0"/>
    <x v="0"/>
    <s v="supérieur"/>
    <s v="-"/>
    <m/>
    <s v="oui"/>
    <m/>
    <n v="2"/>
    <n v="0.75"/>
    <n v="1.5"/>
  </r>
  <r>
    <d v="2016-11-07T00:00:00"/>
    <x v="14"/>
    <s v="-"/>
    <x v="0"/>
    <x v="0"/>
    <x v="0"/>
    <s v="flatteur"/>
    <s v="-"/>
    <m/>
    <s v="oui"/>
    <m/>
    <n v="2"/>
    <n v="0.75"/>
    <n v="1.5"/>
  </r>
  <r>
    <d v="2016-11-07T00:00:00"/>
    <x v="14"/>
    <s v="-"/>
    <x v="0"/>
    <x v="0"/>
    <x v="0"/>
    <s v="riche"/>
    <n v="201"/>
    <m/>
    <s v="oui"/>
    <m/>
    <n v="2"/>
    <n v="0.75"/>
    <n v="1.5"/>
  </r>
  <r>
    <d v="2016-11-07T00:00:00"/>
    <x v="14"/>
    <s v="-"/>
    <x v="0"/>
    <x v="1"/>
    <x v="0"/>
    <s v="Classique"/>
    <n v="198"/>
    <m/>
    <s v="oui"/>
    <m/>
    <n v="2"/>
    <n v="0.75"/>
    <n v="1.5"/>
  </r>
  <r>
    <d v="2016-11-07T00:00:00"/>
    <x v="14"/>
    <s v="-"/>
    <x v="0"/>
    <x v="1"/>
    <x v="0"/>
    <s v="Variétal"/>
    <n v="423"/>
    <m/>
    <s v="oui"/>
    <m/>
    <n v="2"/>
    <n v="0.75"/>
    <n v="1.5"/>
  </r>
  <r>
    <d v="2016-11-07T00:00:00"/>
    <x v="14"/>
    <s v="-"/>
    <x v="0"/>
    <x v="2"/>
    <x v="0"/>
    <s v="-"/>
    <n v="424"/>
    <m/>
    <s v="oui"/>
    <m/>
    <n v="3"/>
    <n v="0.75"/>
    <n v="2.25"/>
  </r>
  <r>
    <d v="2016-11-07T00:00:00"/>
    <x v="14"/>
    <s v="-"/>
    <x v="0"/>
    <x v="9"/>
    <x v="0"/>
    <s v="-"/>
    <n v="87"/>
    <m/>
    <s v="oui"/>
    <m/>
    <n v="2"/>
    <n v="0.75"/>
    <n v="1.5"/>
  </r>
  <r>
    <d v="2016-11-07T00:00:00"/>
    <x v="14"/>
    <s v="-"/>
    <x v="0"/>
    <x v="11"/>
    <x v="0"/>
    <s v="-"/>
    <n v="12"/>
    <m/>
    <s v="oui"/>
    <m/>
    <n v="2"/>
    <n v="0.75"/>
    <n v="1.5"/>
  </r>
  <r>
    <d v="2016-11-07T00:00:00"/>
    <x v="14"/>
    <s v="-"/>
    <x v="1"/>
    <x v="10"/>
    <x v="0"/>
    <s v="Oc Rosé"/>
    <s v="-"/>
    <m/>
    <s v="oui"/>
    <m/>
    <n v="2"/>
    <n v="0.75"/>
    <n v="1.5"/>
  </r>
  <r>
    <d v="2016-11-07T00:00:00"/>
    <x v="14"/>
    <s v="-"/>
    <x v="1"/>
    <x v="10"/>
    <x v="0"/>
    <s v="Hérault Rosé"/>
    <s v="-"/>
    <m/>
    <s v="oui"/>
    <m/>
    <n v="2"/>
    <n v="0.75"/>
    <n v="1.5"/>
  </r>
  <r>
    <d v="2016-11-08T00:00:00"/>
    <x v="1"/>
    <s v="Olivier Castillo"/>
    <x v="0"/>
    <x v="0"/>
    <x v="0"/>
    <s v="riche"/>
    <n v="201"/>
    <m/>
    <s v="oui"/>
    <m/>
    <n v="5"/>
    <n v="0.75"/>
    <n v="3.75"/>
  </r>
  <r>
    <d v="2016-11-08T00:00:00"/>
    <x v="9"/>
    <s v="Jacques Woloviek"/>
    <x v="0"/>
    <x v="1"/>
    <x v="0"/>
    <s v="Variétal"/>
    <n v="423"/>
    <m/>
    <s v="oui"/>
    <m/>
    <n v="5"/>
    <n v="0.75"/>
    <n v="3.75"/>
  </r>
  <r>
    <d v="2016-11-08T00:00:00"/>
    <x v="9"/>
    <s v="Jacques Woloviek"/>
    <x v="0"/>
    <x v="1"/>
    <x v="0"/>
    <s v="Classique"/>
    <n v="401"/>
    <m/>
    <s v="oui"/>
    <m/>
    <n v="5"/>
    <n v="0.75"/>
    <n v="3.75"/>
  </r>
  <r>
    <d v="2016-11-08T00:00:00"/>
    <x v="7"/>
    <s v="-"/>
    <x v="1"/>
    <x v="10"/>
    <x v="0"/>
    <s v="Oc Rosé"/>
    <s v="-"/>
    <m/>
    <s v="oui"/>
    <m/>
    <n v="2"/>
    <n v="0.75"/>
    <n v="1.5"/>
  </r>
  <r>
    <d v="2016-11-08T00:00:00"/>
    <x v="7"/>
    <s v="-"/>
    <x v="1"/>
    <x v="10"/>
    <x v="0"/>
    <s v="Hérault Rosé"/>
    <s v="-"/>
    <m/>
    <s v="oui"/>
    <m/>
    <n v="2"/>
    <n v="0.75"/>
    <n v="1.5"/>
  </r>
  <r>
    <d v="2016-11-08T00:00:00"/>
    <x v="3"/>
    <s v="-"/>
    <x v="0"/>
    <x v="1"/>
    <x v="0"/>
    <s v="supérieur"/>
    <n v="205"/>
    <m/>
    <s v="oui"/>
    <m/>
    <n v="1"/>
    <n v="30"/>
    <n v="30"/>
  </r>
  <r>
    <d v="2016-11-09T00:00:00"/>
    <x v="1"/>
    <s v="TWS"/>
    <x v="2"/>
    <x v="12"/>
    <x v="0"/>
    <s v="profil expé"/>
    <s v="-"/>
    <m/>
    <s v="oui"/>
    <s v="voir assemblage sur fichier solde 2015"/>
    <n v="3"/>
    <n v="0.75"/>
    <n v="2.25"/>
  </r>
  <r>
    <d v="2016-11-09T00:00:00"/>
    <x v="2"/>
    <s v="-"/>
    <x v="2"/>
    <x v="7"/>
    <x v="1"/>
    <s v="Retravaillé novembre"/>
    <s v="-"/>
    <m/>
    <s v="oui"/>
    <s v="voir assemblage sur fichier solde 2015"/>
    <n v="2"/>
    <n v="0.75"/>
    <n v="1.5"/>
  </r>
  <r>
    <d v="2016-11-09T00:00:00"/>
    <x v="2"/>
    <s v="-"/>
    <x v="2"/>
    <x v="13"/>
    <x v="1"/>
    <s v="Retravaillé novembre"/>
    <s v="-"/>
    <m/>
    <s v="oui"/>
    <s v="voir assemblage sur fichier solde 2015"/>
    <n v="2"/>
    <n v="0.75"/>
    <n v="1.5"/>
  </r>
  <r>
    <d v="2016-11-09T00:00:00"/>
    <x v="1"/>
    <s v="TWS"/>
    <x v="1"/>
    <x v="10"/>
    <x v="0"/>
    <s v="Hérault Rosé"/>
    <s v="-"/>
    <m/>
    <s v="oui"/>
    <m/>
    <n v="3"/>
    <n v="0.75"/>
    <n v="2.25"/>
  </r>
  <r>
    <d v="2016-11-09T00:00:00"/>
    <x v="6"/>
    <s v="-"/>
    <x v="1"/>
    <x v="13"/>
    <x v="0"/>
    <s v="-"/>
    <n v="302"/>
    <m/>
    <s v="oui"/>
    <m/>
    <n v="2"/>
    <n v="0.75"/>
    <n v="1.5"/>
  </r>
  <r>
    <d v="2016-11-09T00:00:00"/>
    <x v="1"/>
    <s v="JC Simon"/>
    <x v="0"/>
    <x v="1"/>
    <x v="0"/>
    <s v="Classique"/>
    <n v="401"/>
    <m/>
    <s v="oui"/>
    <m/>
    <n v="2"/>
    <n v="0.75"/>
    <n v="1.5"/>
  </r>
  <r>
    <d v="2016-11-09T00:00:00"/>
    <x v="1"/>
    <s v="JC Simon"/>
    <x v="1"/>
    <x v="10"/>
    <x v="0"/>
    <s v="Oc Rosé"/>
    <s v="-"/>
    <m/>
    <s v="oui"/>
    <m/>
    <n v="2"/>
    <n v="0.75"/>
    <n v="1.5"/>
  </r>
  <r>
    <d v="2016-11-09T00:00:00"/>
    <x v="1"/>
    <s v="JC Simon"/>
    <x v="1"/>
    <x v="10"/>
    <x v="0"/>
    <s v="Hérault Rosé"/>
    <s v="-"/>
    <m/>
    <s v="oui"/>
    <m/>
    <n v="2"/>
    <n v="0.75"/>
    <n v="1.5"/>
  </r>
  <r>
    <d v="2016-11-10T00:00:00"/>
    <x v="9"/>
    <s v="Jacques Woloviek"/>
    <x v="0"/>
    <x v="3"/>
    <x v="0"/>
    <s v="2 - 1300 hL"/>
    <s v="-"/>
    <m/>
    <s v="oui"/>
    <s v="1300 hL"/>
    <n v="5"/>
    <n v="0.75"/>
    <n v="3.75"/>
  </r>
  <r>
    <d v="2016-11-10T00:00:00"/>
    <x v="1"/>
    <s v="Gilles Lambert"/>
    <x v="0"/>
    <x v="2"/>
    <x v="0"/>
    <s v="supérieur"/>
    <s v="-"/>
    <m/>
    <s v="oui"/>
    <m/>
    <n v="2"/>
    <n v="0.75"/>
    <n v="1.5"/>
  </r>
  <r>
    <d v="2016-11-10T00:00:00"/>
    <x v="1"/>
    <s v="Gilles Lambert"/>
    <x v="2"/>
    <x v="7"/>
    <x v="1"/>
    <s v="-"/>
    <n v="332"/>
    <m/>
    <s v="oui"/>
    <m/>
    <n v="2"/>
    <n v="0.75"/>
    <n v="1.5"/>
  </r>
  <r>
    <d v="2016-11-14T00:00:00"/>
    <x v="2"/>
    <s v="-"/>
    <x v="0"/>
    <x v="0"/>
    <x v="0"/>
    <s v="flatteur"/>
    <n v="14"/>
    <m/>
    <s v="oui"/>
    <m/>
    <n v="3"/>
    <n v="0.75"/>
    <n v="2.25"/>
  </r>
  <r>
    <d v="2016-11-14T00:00:00"/>
    <x v="2"/>
    <s v="-"/>
    <x v="0"/>
    <x v="0"/>
    <x v="0"/>
    <s v="riche"/>
    <n v="201"/>
    <m/>
    <s v="oui"/>
    <m/>
    <n v="3"/>
    <n v="0.75"/>
    <n v="2.25"/>
  </r>
  <r>
    <d v="2016-11-14T00:00:00"/>
    <x v="2"/>
    <s v="-"/>
    <x v="0"/>
    <x v="0"/>
    <x v="0"/>
    <s v="supérieur"/>
    <s v="-"/>
    <m/>
    <s v="oui"/>
    <m/>
    <n v="3"/>
    <n v="0.75"/>
    <n v="2.25"/>
  </r>
  <r>
    <d v="2016-11-14T00:00:00"/>
    <x v="2"/>
    <s v="-"/>
    <x v="0"/>
    <x v="2"/>
    <x v="0"/>
    <s v="Standart"/>
    <s v="-"/>
    <m/>
    <s v="oui"/>
    <m/>
    <n v="3"/>
    <n v="0.75"/>
    <n v="2.25"/>
  </r>
  <r>
    <d v="2016-11-14T00:00:00"/>
    <x v="12"/>
    <s v="René Jeanjean"/>
    <x v="0"/>
    <x v="3"/>
    <x v="0"/>
    <s v="Retravaillé prix"/>
    <s v="-"/>
    <m/>
    <s v="oui"/>
    <s v="60 % Terret 40% Muscat"/>
    <n v="2"/>
    <n v="0.75"/>
    <n v="1.5"/>
  </r>
  <r>
    <d v="2016-11-14T00:00:00"/>
    <x v="1"/>
    <s v="Olivier Castillo"/>
    <x v="0"/>
    <x v="3"/>
    <x v="0"/>
    <s v="2 - 1300 hL"/>
    <s v="-"/>
    <m/>
    <s v="oui"/>
    <m/>
    <n v="3"/>
    <n v="0.75"/>
    <n v="2.25"/>
  </r>
  <r>
    <d v="2016-11-14T00:00:00"/>
    <x v="3"/>
    <s v="-"/>
    <x v="0"/>
    <x v="1"/>
    <x v="0"/>
    <s v="supérieur"/>
    <n v="75"/>
    <m/>
    <s v="oui"/>
    <m/>
    <n v="1"/>
    <n v="50"/>
    <n v="50"/>
  </r>
  <r>
    <d v="2016-11-14T00:00:00"/>
    <x v="3"/>
    <s v="-"/>
    <x v="0"/>
    <x v="1"/>
    <x v="0"/>
    <s v="Variétal"/>
    <n v="423"/>
    <m/>
    <s v="oui"/>
    <m/>
    <n v="1"/>
    <n v="50"/>
    <n v="50"/>
  </r>
  <r>
    <d v="2016-11-15T00:00:00"/>
    <x v="2"/>
    <s v="-"/>
    <x v="0"/>
    <x v="0"/>
    <x v="0"/>
    <s v="flatteur"/>
    <n v="14"/>
    <m/>
    <s v="oui"/>
    <m/>
    <n v="3"/>
    <n v="0.75"/>
    <n v="2.25"/>
  </r>
  <r>
    <d v="2016-11-15T00:00:00"/>
    <x v="2"/>
    <s v="-"/>
    <x v="0"/>
    <x v="0"/>
    <x v="0"/>
    <s v="riche"/>
    <n v="201"/>
    <m/>
    <s v="oui"/>
    <m/>
    <n v="3"/>
    <n v="0.75"/>
    <n v="2.25"/>
  </r>
  <r>
    <d v="2016-11-15T00:00:00"/>
    <x v="2"/>
    <s v="-"/>
    <x v="0"/>
    <x v="0"/>
    <x v="0"/>
    <s v="supérieur"/>
    <s v="-"/>
    <m/>
    <s v="oui"/>
    <m/>
    <n v="3"/>
    <n v="0.75"/>
    <n v="2.25"/>
  </r>
  <r>
    <d v="2016-11-15T00:00:00"/>
    <x v="1"/>
    <s v="TWS"/>
    <x v="0"/>
    <x v="3"/>
    <x v="0"/>
    <s v="Standart"/>
    <s v="-"/>
    <m/>
    <s v="oui"/>
    <m/>
    <n v="3"/>
    <n v="0.75"/>
    <n v="2.25"/>
  </r>
  <r>
    <d v="2016-11-16T00:00:00"/>
    <x v="15"/>
    <s v="René Jeanjean"/>
    <x v="0"/>
    <x v="1"/>
    <x v="0"/>
    <s v="Classique"/>
    <n v="401"/>
    <m/>
    <s v="oui"/>
    <m/>
    <n v="3"/>
    <n v="0.75"/>
    <n v="2.25"/>
  </r>
  <r>
    <d v="2016-11-16T00:00:00"/>
    <x v="15"/>
    <s v="René Jeanjean"/>
    <x v="0"/>
    <x v="1"/>
    <x v="0"/>
    <s v="Variétal"/>
    <n v="423"/>
    <m/>
    <s v="oui"/>
    <m/>
    <n v="3"/>
    <n v="0.75"/>
    <n v="2.25"/>
  </r>
  <r>
    <d v="2016-11-16T00:00:00"/>
    <x v="15"/>
    <s v="René Jeanjean"/>
    <x v="0"/>
    <x v="1"/>
    <x v="0"/>
    <s v="supérieur"/>
    <n v="75"/>
    <m/>
    <s v="oui"/>
    <m/>
    <n v="3"/>
    <n v="0.75"/>
    <n v="2.25"/>
  </r>
  <r>
    <d v="2016-11-16T00:00:00"/>
    <x v="16"/>
    <s v="-"/>
    <x v="1"/>
    <x v="14"/>
    <x v="0"/>
    <n v="1"/>
    <s v="-"/>
    <m/>
    <s v="oui"/>
    <s v="80% - 20 %"/>
    <n v="2"/>
    <n v="0.75"/>
    <n v="1.5"/>
  </r>
  <r>
    <d v="2016-11-16T00:00:00"/>
    <x v="16"/>
    <s v="-"/>
    <x v="1"/>
    <x v="14"/>
    <x v="0"/>
    <n v="2"/>
    <s v="-"/>
    <m/>
    <s v="oui"/>
    <s v="80% - 20%"/>
    <n v="2"/>
    <n v="0.75"/>
    <n v="1.5"/>
  </r>
  <r>
    <d v="2016-11-16T00:00:00"/>
    <x v="16"/>
    <s v="-"/>
    <x v="2"/>
    <x v="15"/>
    <x v="0"/>
    <s v="-"/>
    <n v="139"/>
    <m/>
    <s v="oui"/>
    <m/>
    <n v="2"/>
    <n v="0.75"/>
    <n v="1.5"/>
  </r>
  <r>
    <d v="2016-11-16T00:00:00"/>
    <x v="1"/>
    <s v="San Nicolas"/>
    <x v="0"/>
    <x v="1"/>
    <x v="0"/>
    <s v="Classique"/>
    <n v="401"/>
    <m/>
    <s v="oui"/>
    <m/>
    <n v="3"/>
    <n v="0.75"/>
    <n v="2.25"/>
  </r>
  <r>
    <d v="2016-11-16T00:00:00"/>
    <x v="1"/>
    <s v="San Nicolas"/>
    <x v="0"/>
    <x v="0"/>
    <x v="0"/>
    <s v="flatteur"/>
    <n v="14"/>
    <m/>
    <s v="oui"/>
    <m/>
    <n v="3"/>
    <n v="0.75"/>
    <n v="2.25"/>
  </r>
  <r>
    <d v="2016-11-16T00:00:00"/>
    <x v="1"/>
    <s v="San Nicolas"/>
    <x v="0"/>
    <x v="0"/>
    <x v="0"/>
    <s v="riche"/>
    <n v="201"/>
    <m/>
    <s v="oui"/>
    <m/>
    <n v="3"/>
    <n v="0.75"/>
    <n v="2.25"/>
  </r>
  <r>
    <d v="2016-11-16T00:00:00"/>
    <x v="1"/>
    <s v="San Nicolas"/>
    <x v="1"/>
    <x v="10"/>
    <x v="0"/>
    <s v="Oc Rosé"/>
    <s v="-"/>
    <m/>
    <s v="oui"/>
    <m/>
    <n v="3"/>
    <n v="0.75"/>
    <n v="2.25"/>
  </r>
  <r>
    <d v="2016-11-16T00:00:00"/>
    <x v="1"/>
    <s v="San Nicolas"/>
    <x v="1"/>
    <x v="10"/>
    <x v="0"/>
    <s v="Hérault Rosé"/>
    <s v="-"/>
    <m/>
    <s v="oui"/>
    <m/>
    <n v="3"/>
    <n v="0.75"/>
    <n v="2.25"/>
  </r>
  <r>
    <d v="2016-11-16T00:00:00"/>
    <x v="1"/>
    <s v="San Nicolas"/>
    <x v="1"/>
    <x v="8"/>
    <x v="0"/>
    <s v="profil expé"/>
    <s v="Ag152"/>
    <m/>
    <s v="?"/>
    <m/>
    <n v="3"/>
    <n v="0.75"/>
    <n v="2.25"/>
  </r>
  <r>
    <d v="2016-11-17T00:00:00"/>
    <x v="6"/>
    <s v="-"/>
    <x v="0"/>
    <x v="3"/>
    <x v="0"/>
    <s v="Petit degré"/>
    <s v="-"/>
    <m/>
    <s v="oui"/>
    <s v="Lot c.180 + c.195"/>
    <n v="2"/>
    <n v="0.75"/>
    <n v="1.5"/>
  </r>
  <r>
    <d v="2016-11-17T00:00:00"/>
    <x v="6"/>
    <s v="-"/>
    <x v="0"/>
    <x v="3"/>
    <x v="0"/>
    <s v="Petit degré"/>
    <n v="195"/>
    <m/>
    <s v="oui"/>
    <s v="Présentation 195 seul"/>
    <n v="2"/>
    <n v="0.75"/>
    <n v="1.5"/>
  </r>
  <r>
    <d v="2016-11-17T00:00:00"/>
    <x v="6"/>
    <s v="-"/>
    <x v="0"/>
    <x v="3"/>
    <x v="0"/>
    <s v="2 - 1300 hL"/>
    <s v="-"/>
    <m/>
    <s v="oui"/>
    <m/>
    <n v="2"/>
    <n v="0.75"/>
    <n v="1.5"/>
  </r>
  <r>
    <d v="2016-11-18T00:00:00"/>
    <x v="2"/>
    <s v="-"/>
    <x v="0"/>
    <x v="2"/>
    <x v="1"/>
    <s v="rafraichi"/>
    <s v="-"/>
    <m/>
    <s v="oui"/>
    <s v="15% 424 - 85 % Vio sup 2016"/>
    <n v="2"/>
    <n v="0.75"/>
    <n v="1.5"/>
  </r>
  <r>
    <d v="2016-11-18T00:00:00"/>
    <x v="9"/>
    <s v="Jacques Woloviek"/>
    <x v="0"/>
    <x v="3"/>
    <x v="0"/>
    <s v="3 - 1600 hL"/>
    <s v="-"/>
    <m/>
    <s v="oui"/>
    <m/>
    <n v="5"/>
    <n v="0.75"/>
    <n v="3.75"/>
  </r>
  <r>
    <d v="2016-11-18T00:00:00"/>
    <x v="9"/>
    <s v="Jacques Woloviek"/>
    <x v="0"/>
    <x v="3"/>
    <x v="0"/>
    <s v="2 - 1300 hL"/>
    <s v="-"/>
    <m/>
    <s v="oui"/>
    <m/>
    <n v="5"/>
    <n v="0.75"/>
    <n v="3.75"/>
  </r>
  <r>
    <d v="2016-11-18T00:00:00"/>
    <x v="9"/>
    <s v="Jacques Woloviek"/>
    <x v="0"/>
    <x v="0"/>
    <x v="1"/>
    <s v="Lot ADVINI"/>
    <n v="26"/>
    <m/>
    <s v="oui"/>
    <m/>
    <n v="3"/>
    <n v="0.75"/>
    <n v="2.25"/>
  </r>
  <r>
    <d v="2016-11-18T00:00:00"/>
    <x v="7"/>
    <s v="-"/>
    <x v="0"/>
    <x v="16"/>
    <x v="0"/>
    <s v="Oc Blanc"/>
    <s v="-"/>
    <m/>
    <s v="oui"/>
    <m/>
    <n v="2"/>
    <n v="0.75"/>
    <n v="1.5"/>
  </r>
  <r>
    <d v="2016-11-21T00:00:00"/>
    <x v="2"/>
    <s v="-"/>
    <x v="0"/>
    <x v="1"/>
    <x v="0"/>
    <s v="supérieur"/>
    <n v="75"/>
    <m/>
    <s v="oui"/>
    <m/>
    <n v="2"/>
    <n v="0.75"/>
    <n v="1.5"/>
  </r>
  <r>
    <d v="2016-11-21T00:00:00"/>
    <x v="2"/>
    <s v="-"/>
    <x v="0"/>
    <x v="1"/>
    <x v="0"/>
    <s v="Variétal"/>
    <n v="423"/>
    <m/>
    <s v="oui"/>
    <m/>
    <n v="2"/>
    <n v="0.75"/>
    <n v="1.5"/>
  </r>
  <r>
    <d v="2016-11-21T00:00:00"/>
    <x v="2"/>
    <s v="-"/>
    <x v="0"/>
    <x v="0"/>
    <x v="0"/>
    <s v="flatteur"/>
    <n v="14"/>
    <m/>
    <s v="oui"/>
    <m/>
    <n v="2"/>
    <n v="0.75"/>
    <n v="1.5"/>
  </r>
  <r>
    <d v="2016-11-21T00:00:00"/>
    <x v="2"/>
    <s v="-"/>
    <x v="0"/>
    <x v="0"/>
    <x v="0"/>
    <s v="riche"/>
    <n v="201"/>
    <m/>
    <s v="oui"/>
    <m/>
    <n v="2"/>
    <n v="0.75"/>
    <n v="1.5"/>
  </r>
  <r>
    <d v="2016-11-21T00:00:00"/>
    <x v="2"/>
    <s v="-"/>
    <x v="0"/>
    <x v="0"/>
    <x v="0"/>
    <s v="supérieur"/>
    <n v="309"/>
    <m/>
    <s v="oui"/>
    <m/>
    <n v="2"/>
    <n v="0.75"/>
    <n v="1.5"/>
  </r>
  <r>
    <d v="2016-11-21T00:00:00"/>
    <x v="2"/>
    <s v="-"/>
    <x v="1"/>
    <x v="7"/>
    <x v="0"/>
    <s v="-"/>
    <n v="206"/>
    <m/>
    <s v="oui"/>
    <m/>
    <n v="2"/>
    <n v="0.75"/>
    <n v="1.5"/>
  </r>
  <r>
    <d v="2016-11-21T00:00:00"/>
    <x v="2"/>
    <s v="-"/>
    <x v="1"/>
    <x v="13"/>
    <x v="0"/>
    <s v="-"/>
    <n v="302"/>
    <m/>
    <s v="oui"/>
    <m/>
    <n v="2"/>
    <n v="0.75"/>
    <n v="1.5"/>
  </r>
  <r>
    <d v="2016-11-21T00:00:00"/>
    <x v="2"/>
    <s v="-"/>
    <x v="0"/>
    <x v="2"/>
    <x v="0"/>
    <s v="-"/>
    <n v="424"/>
    <m/>
    <s v="oui"/>
    <m/>
    <n v="2"/>
    <n v="0.75"/>
    <n v="1.5"/>
  </r>
  <r>
    <d v="2016-11-21T00:00:00"/>
    <x v="1"/>
    <s v="San Nicolas"/>
    <x v="0"/>
    <x v="3"/>
    <x v="0"/>
    <s v="2 - 1300 hL"/>
    <s v="-"/>
    <m/>
    <s v="oui"/>
    <m/>
    <n v="2"/>
    <n v="0.75"/>
    <n v="1.5"/>
  </r>
  <r>
    <d v="2016-11-21T00:00:00"/>
    <x v="5"/>
    <s v="-"/>
    <x v="0"/>
    <x v="17"/>
    <x v="0"/>
    <s v="Lot GCF"/>
    <s v="-"/>
    <m/>
    <s v="oui"/>
    <m/>
    <n v="1"/>
    <n v="0.75"/>
    <n v="0.75"/>
  </r>
  <r>
    <d v="2016-11-21T00:00:00"/>
    <x v="5"/>
    <s v="-"/>
    <x v="0"/>
    <x v="18"/>
    <x v="0"/>
    <s v="Base Piquepoul"/>
    <n v="47"/>
    <m/>
    <s v="oui"/>
    <m/>
    <n v="1"/>
    <n v="0.75"/>
    <n v="0.75"/>
  </r>
  <r>
    <d v="2016-11-21T00:00:00"/>
    <x v="5"/>
    <s v="-"/>
    <x v="0"/>
    <x v="1"/>
    <x v="0"/>
    <s v="Base Sauvignon"/>
    <n v="75"/>
    <m/>
    <s v="oui"/>
    <m/>
    <n v="1"/>
    <n v="0.75"/>
    <n v="0.75"/>
  </r>
  <r>
    <d v="2016-11-21T00:00:00"/>
    <x v="5"/>
    <s v="-"/>
    <x v="1"/>
    <x v="19"/>
    <x v="0"/>
    <s v="Lot GCF"/>
    <s v="-"/>
    <m/>
    <s v="oui"/>
    <m/>
    <n v="1"/>
    <n v="0.75"/>
    <n v="0.75"/>
  </r>
  <r>
    <d v="2016-11-21T00:00:00"/>
    <x v="5"/>
    <s v="-"/>
    <x v="1"/>
    <x v="7"/>
    <x v="0"/>
    <s v="Lot GCF"/>
    <s v="-"/>
    <m/>
    <s v="oui"/>
    <m/>
    <n v="2"/>
    <n v="0.75"/>
    <n v="1.5"/>
  </r>
  <r>
    <d v="2016-11-22T00:00:00"/>
    <x v="5"/>
    <s v="-"/>
    <x v="1"/>
    <x v="8"/>
    <x v="0"/>
    <s v="Lot Agde"/>
    <s v="-"/>
    <m/>
    <s v="oui"/>
    <m/>
    <n v="2"/>
    <n v="0.75"/>
    <n v="1.5"/>
  </r>
  <r>
    <d v="2016-11-22T00:00:00"/>
    <x v="5"/>
    <s v="-"/>
    <x v="0"/>
    <x v="0"/>
    <x v="0"/>
    <s v="flatteur"/>
    <n v="14"/>
    <m/>
    <s v="oui"/>
    <m/>
    <n v="1"/>
    <n v="0.75"/>
    <n v="0.75"/>
  </r>
  <r>
    <d v="2016-11-22T00:00:00"/>
    <x v="5"/>
    <s v="-"/>
    <x v="0"/>
    <x v="0"/>
    <x v="0"/>
    <s v="riche"/>
    <n v="201"/>
    <m/>
    <s v="oui"/>
    <m/>
    <n v="1"/>
    <n v="0.75"/>
    <n v="0.75"/>
  </r>
  <r>
    <d v="2016-11-22T00:00:00"/>
    <x v="5"/>
    <s v="-"/>
    <x v="0"/>
    <x v="0"/>
    <x v="0"/>
    <s v="Supérieur"/>
    <n v="309"/>
    <m/>
    <s v="oui"/>
    <m/>
    <n v="1"/>
    <n v="0.75"/>
    <n v="0.75"/>
  </r>
  <r>
    <d v="2016-11-22T00:00:00"/>
    <x v="5"/>
    <s v="-"/>
    <x v="0"/>
    <x v="1"/>
    <x v="0"/>
    <s v="Classique"/>
    <n v="401"/>
    <m/>
    <s v="oui"/>
    <m/>
    <n v="1"/>
    <n v="0.75"/>
    <n v="0.75"/>
  </r>
  <r>
    <d v="2016-11-22T00:00:00"/>
    <x v="5"/>
    <s v="-"/>
    <x v="2"/>
    <x v="4"/>
    <x v="0"/>
    <s v="Solde bouteilles"/>
    <s v="-"/>
    <m/>
    <s v="oui"/>
    <m/>
    <n v="1"/>
    <n v="0.75"/>
    <n v="0.75"/>
  </r>
  <r>
    <d v="2016-11-22T00:00:00"/>
    <x v="1"/>
    <s v="Gilles Lambert"/>
    <x v="0"/>
    <x v="0"/>
    <x v="0"/>
    <s v="flatteur"/>
    <n v="14"/>
    <m/>
    <s v="oui"/>
    <m/>
    <n v="1"/>
    <n v="0.75"/>
    <n v="0.75"/>
  </r>
  <r>
    <d v="2016-11-22T00:00:00"/>
    <x v="1"/>
    <s v="Gilles Lambert"/>
    <x v="0"/>
    <x v="0"/>
    <x v="0"/>
    <s v="riche"/>
    <n v="201"/>
    <m/>
    <s v="oui"/>
    <m/>
    <n v="1"/>
    <n v="0.75"/>
    <n v="0.75"/>
  </r>
  <r>
    <d v="2016-11-22T00:00:00"/>
    <x v="1"/>
    <s v="Gilles Lambert"/>
    <x v="0"/>
    <x v="0"/>
    <x v="0"/>
    <s v="Supérieur"/>
    <n v="309"/>
    <m/>
    <s v="oui"/>
    <m/>
    <n v="1"/>
    <n v="0.75"/>
    <n v="0.75"/>
  </r>
  <r>
    <d v="2016-11-22T00:00:00"/>
    <x v="17"/>
    <s v="-"/>
    <x v="0"/>
    <x v="16"/>
    <x v="0"/>
    <s v="Oc Blanc"/>
    <s v="-"/>
    <m/>
    <s v="oui"/>
    <m/>
    <n v="1"/>
    <n v="0.75"/>
    <n v="0.75"/>
  </r>
  <r>
    <d v="2016-11-22T00:00:00"/>
    <x v="17"/>
    <s v="-"/>
    <x v="1"/>
    <x v="10"/>
    <x v="0"/>
    <s v="Hérault Rosé"/>
    <s v="-"/>
    <m/>
    <s v="oui"/>
    <m/>
    <n v="1"/>
    <n v="0.75"/>
    <n v="0.75"/>
  </r>
  <r>
    <d v="2016-11-22T00:00:00"/>
    <x v="17"/>
    <s v="-"/>
    <x v="1"/>
    <x v="10"/>
    <x v="0"/>
    <s v="Oc Rosé"/>
    <s v="-"/>
    <m/>
    <s v="oui"/>
    <m/>
    <n v="1"/>
    <n v="0.75"/>
    <n v="0.75"/>
  </r>
  <r>
    <d v="2016-11-22T00:00:00"/>
    <x v="17"/>
    <s v="-"/>
    <x v="2"/>
    <x v="7"/>
    <x v="1"/>
    <s v="Lot tardif"/>
    <n v="413"/>
    <m/>
    <s v="oui"/>
    <m/>
    <n v="1"/>
    <n v="0.75"/>
    <n v="0.75"/>
  </r>
  <r>
    <d v="2016-11-22T00:00:00"/>
    <x v="10"/>
    <s v="René Jeanjean"/>
    <x v="0"/>
    <x v="0"/>
    <x v="0"/>
    <s v="flatteur"/>
    <n v="14"/>
    <m/>
    <s v="oui"/>
    <m/>
    <n v="1"/>
    <n v="0.75"/>
    <n v="0.75"/>
  </r>
  <r>
    <d v="2016-11-22T00:00:00"/>
    <x v="10"/>
    <s v="René Jeanjean"/>
    <x v="0"/>
    <x v="0"/>
    <x v="0"/>
    <s v="riche"/>
    <n v="201"/>
    <m/>
    <s v="oui"/>
    <m/>
    <n v="1"/>
    <n v="0.75"/>
    <n v="0.75"/>
  </r>
  <r>
    <d v="2016-11-22T00:00:00"/>
    <x v="10"/>
    <s v="René Jeanjean"/>
    <x v="0"/>
    <x v="0"/>
    <x v="0"/>
    <s v="Supérieur"/>
    <n v="309"/>
    <m/>
    <s v="oui"/>
    <m/>
    <n v="1"/>
    <n v="0.75"/>
    <n v="0.75"/>
  </r>
  <r>
    <d v="2016-11-22T00:00:00"/>
    <x v="10"/>
    <s v="René Jeanjean"/>
    <x v="0"/>
    <x v="1"/>
    <x v="0"/>
    <s v="Classique"/>
    <n v="401"/>
    <m/>
    <s v="oui"/>
    <m/>
    <n v="1"/>
    <n v="0.75"/>
    <n v="0.75"/>
  </r>
  <r>
    <d v="2016-11-22T00:00:00"/>
    <x v="10"/>
    <s v="René Jeanjean"/>
    <x v="0"/>
    <x v="11"/>
    <x v="0"/>
    <s v="-"/>
    <n v="12"/>
    <m/>
    <s v="oui"/>
    <m/>
    <n v="1"/>
    <n v="0.75"/>
    <n v="0.75"/>
  </r>
  <r>
    <d v="2016-11-22T00:00:00"/>
    <x v="10"/>
    <s v="René Jeanjean"/>
    <x v="0"/>
    <x v="9"/>
    <x v="0"/>
    <s v="-"/>
    <n v="87"/>
    <m/>
    <s v="oui"/>
    <m/>
    <n v="1"/>
    <n v="0.75"/>
    <n v="0.75"/>
  </r>
  <r>
    <d v="2016-11-22T00:00:00"/>
    <x v="10"/>
    <s v="René Jeanjean"/>
    <x v="0"/>
    <x v="16"/>
    <x v="0"/>
    <s v="Oc Blanc"/>
    <s v="-"/>
    <m/>
    <s v="oui"/>
    <m/>
    <n v="1"/>
    <n v="0.75"/>
    <n v="0.75"/>
  </r>
  <r>
    <d v="2016-11-22T00:00:00"/>
    <x v="10"/>
    <s v="René Jeanjean"/>
    <x v="1"/>
    <x v="10"/>
    <x v="0"/>
    <s v="Hérault Rosé"/>
    <s v="-"/>
    <m/>
    <s v="oui"/>
    <m/>
    <n v="1"/>
    <n v="0.75"/>
    <n v="0.75"/>
  </r>
  <r>
    <d v="2016-11-22T00:00:00"/>
    <x v="10"/>
    <s v="René Jeanjean"/>
    <x v="1"/>
    <x v="10"/>
    <x v="0"/>
    <s v="Oc Rosé"/>
    <s v="-"/>
    <m/>
    <s v="oui"/>
    <m/>
    <n v="1"/>
    <n v="0.75"/>
    <n v="0.75"/>
  </r>
  <r>
    <d v="2016-11-22T00:00:00"/>
    <x v="10"/>
    <s v="René Jeanjean"/>
    <x v="2"/>
    <x v="7"/>
    <x v="1"/>
    <s v="Lot tardif"/>
    <n v="413"/>
    <m/>
    <s v="oui"/>
    <m/>
    <n v="1"/>
    <n v="0.75"/>
    <n v="0.75"/>
  </r>
  <r>
    <d v="2016-11-22T00:00:00"/>
    <x v="10"/>
    <s v="René Jeanjean"/>
    <x v="2"/>
    <x v="13"/>
    <x v="1"/>
    <s v="Solde bouteilles"/>
    <n v="81"/>
    <m/>
    <s v="oui"/>
    <m/>
    <n v="1"/>
    <n v="0.75"/>
    <n v="0.75"/>
  </r>
  <r>
    <d v="2016-11-22T00:00:00"/>
    <x v="10"/>
    <s v="René Jeanjean"/>
    <x v="2"/>
    <x v="5"/>
    <x v="0"/>
    <s v="Lot PN"/>
    <s v="-"/>
    <m/>
    <s v="oui"/>
    <m/>
    <n v="1"/>
    <n v="0.75"/>
    <n v="0.75"/>
  </r>
  <r>
    <d v="2016-11-23T00:00:00"/>
    <x v="17"/>
    <s v="-"/>
    <x v="0"/>
    <x v="20"/>
    <x v="0"/>
    <s v="-"/>
    <n v="53"/>
    <m/>
    <s v="oui"/>
    <m/>
    <n v="1"/>
    <n v="0.75"/>
    <n v="0.75"/>
  </r>
  <r>
    <d v="2016-11-23T00:00:00"/>
    <x v="17"/>
    <s v="-"/>
    <x v="0"/>
    <x v="21"/>
    <x v="0"/>
    <s v="-"/>
    <n v="31"/>
    <m/>
    <s v="oui"/>
    <m/>
    <n v="1"/>
    <n v="0.75"/>
    <n v="0.75"/>
  </r>
  <r>
    <d v="2016-11-23T00:00:00"/>
    <x v="17"/>
    <s v="-"/>
    <x v="2"/>
    <x v="22"/>
    <x v="0"/>
    <s v="-"/>
    <n v="139"/>
    <m/>
    <s v="oui"/>
    <m/>
    <n v="1"/>
    <n v="0.75"/>
    <n v="0.75"/>
  </r>
  <r>
    <d v="2016-11-23T00:00:00"/>
    <x v="5"/>
    <s v="-"/>
    <x v="0"/>
    <x v="0"/>
    <x v="0"/>
    <s v="flatteur"/>
    <n v="14"/>
    <m/>
    <s v="oui"/>
    <m/>
    <n v="1"/>
    <n v="0.75"/>
    <n v="0.75"/>
  </r>
  <r>
    <d v="2016-11-23T00:00:00"/>
    <x v="5"/>
    <s v="-"/>
    <x v="0"/>
    <x v="0"/>
    <x v="0"/>
    <s v="supérieur"/>
    <n v="308"/>
    <m/>
    <s v="oui"/>
    <m/>
    <n v="1"/>
    <n v="0.75"/>
    <n v="0.75"/>
  </r>
  <r>
    <d v="2016-11-24T00:00:00"/>
    <x v="5"/>
    <s v="-"/>
    <x v="0"/>
    <x v="0"/>
    <x v="0"/>
    <s v="flatteur"/>
    <n v="14"/>
    <m/>
    <s v="oui"/>
    <m/>
    <n v="3"/>
    <n v="0.75"/>
    <n v="2.25"/>
  </r>
  <r>
    <d v="2016-11-24T00:00:00"/>
    <x v="5"/>
    <s v="-"/>
    <x v="0"/>
    <x v="0"/>
    <x v="0"/>
    <s v="supérieur"/>
    <n v="308"/>
    <m/>
    <s v="oui"/>
    <m/>
    <n v="3"/>
    <n v="0.75"/>
    <n v="2.25"/>
  </r>
  <r>
    <d v="2016-11-24T00:00:00"/>
    <x v="4"/>
    <s v="-"/>
    <x v="0"/>
    <x v="0"/>
    <x v="0"/>
    <s v="riche"/>
    <n v="411"/>
    <m/>
    <s v="oui"/>
    <m/>
    <n v="3"/>
    <n v="0.75"/>
    <n v="2.25"/>
  </r>
  <r>
    <d v="2016-11-24T00:00:00"/>
    <x v="4"/>
    <s v="-"/>
    <x v="0"/>
    <x v="0"/>
    <x v="0"/>
    <s v="supérieur"/>
    <n v="308"/>
    <m/>
    <s v="oui"/>
    <m/>
    <n v="3"/>
    <n v="0.75"/>
    <n v="2.25"/>
  </r>
  <r>
    <d v="2016-11-24T00:00:00"/>
    <x v="4"/>
    <s v="-"/>
    <x v="0"/>
    <x v="2"/>
    <x v="0"/>
    <s v="-"/>
    <n v="424"/>
    <m/>
    <s v="oui"/>
    <m/>
    <n v="3"/>
    <n v="0.75"/>
    <n v="2.25"/>
  </r>
  <r>
    <d v="2016-11-24T00:00:00"/>
    <x v="4"/>
    <s v="-"/>
    <x v="0"/>
    <x v="16"/>
    <x v="0"/>
    <s v="Oc Blanc"/>
    <s v="-"/>
    <m/>
    <s v="oui"/>
    <m/>
    <n v="3"/>
    <n v="0.75"/>
    <n v="2.25"/>
  </r>
  <r>
    <d v="2016-11-24T00:00:00"/>
    <x v="4"/>
    <s v="-"/>
    <x v="1"/>
    <x v="10"/>
    <x v="0"/>
    <s v="Oc Rosé"/>
    <s v="-"/>
    <m/>
    <s v="oui"/>
    <m/>
    <n v="3"/>
    <n v="0.75"/>
    <n v="2.25"/>
  </r>
  <r>
    <d v="2016-11-24T00:00:00"/>
    <x v="6"/>
    <s v="Vailhere Pascal"/>
    <x v="1"/>
    <x v="13"/>
    <x v="0"/>
    <s v="-"/>
    <n v="302"/>
    <m/>
    <s v="oui"/>
    <m/>
    <n v="3"/>
    <n v="0.75"/>
    <n v="2.25"/>
  </r>
  <r>
    <d v="2016-11-24T00:00:00"/>
    <x v="6"/>
    <s v="Vailhere Pascal"/>
    <x v="2"/>
    <x v="13"/>
    <x v="0"/>
    <s v="Lot Cabernet"/>
    <s v="-"/>
    <m/>
    <s v="oui"/>
    <m/>
    <n v="2"/>
    <n v="0.75"/>
    <n v="1.5"/>
  </r>
  <r>
    <d v="2016-11-24T00:00:00"/>
    <x v="6"/>
    <s v="Vailhere Pascal"/>
    <x v="2"/>
    <x v="7"/>
    <x v="0"/>
    <s v="Lot Merlot"/>
    <s v="-"/>
    <m/>
    <s v="oui"/>
    <m/>
    <n v="2"/>
    <n v="0.75"/>
    <n v="1.5"/>
  </r>
  <r>
    <d v="2016-11-24T00:00:00"/>
    <x v="6"/>
    <s v="Vailhere Pascal"/>
    <x v="0"/>
    <x v="1"/>
    <x v="0"/>
    <s v="classique"/>
    <n v="401"/>
    <m/>
    <s v="oui"/>
    <m/>
    <n v="2"/>
    <n v="0.75"/>
    <n v="1.5"/>
  </r>
  <r>
    <d v="2016-11-28T00:00:00"/>
    <x v="13"/>
    <s v="-"/>
    <x v="0"/>
    <x v="9"/>
    <x v="0"/>
    <s v="-"/>
    <n v="87"/>
    <m/>
    <s v="oui"/>
    <m/>
    <n v="1"/>
    <n v="0.75"/>
    <n v="0.75"/>
  </r>
  <r>
    <d v="2016-11-28T00:00:00"/>
    <x v="13"/>
    <s v="-"/>
    <x v="0"/>
    <x v="11"/>
    <x v="0"/>
    <s v="-"/>
    <n v="12"/>
    <m/>
    <s v="oui"/>
    <m/>
    <n v="1"/>
    <n v="0.75"/>
    <n v="0.75"/>
  </r>
  <r>
    <d v="2016-11-28T00:00:00"/>
    <x v="2"/>
    <s v="-"/>
    <x v="0"/>
    <x v="0"/>
    <x v="0"/>
    <s v="flatteur"/>
    <n v="14"/>
    <m/>
    <s v="oui"/>
    <m/>
    <n v="3"/>
    <n v="0.75"/>
    <n v="2.25"/>
  </r>
  <r>
    <d v="2016-11-28T00:00:00"/>
    <x v="2"/>
    <s v="-"/>
    <x v="0"/>
    <x v="0"/>
    <x v="0"/>
    <s v="riche"/>
    <n v="411"/>
    <m/>
    <s v="oui"/>
    <m/>
    <n v="3"/>
    <n v="0.75"/>
    <n v="2.25"/>
  </r>
  <r>
    <d v="2016-11-28T00:00:00"/>
    <x v="2"/>
    <s v="-"/>
    <x v="0"/>
    <x v="0"/>
    <x v="0"/>
    <s v="Supérieur"/>
    <n v="307"/>
    <m/>
    <s v="oui"/>
    <m/>
    <n v="3"/>
    <n v="0.75"/>
    <n v="2.25"/>
  </r>
  <r>
    <d v="2016-11-28T00:00:00"/>
    <x v="1"/>
    <s v="SP Wines"/>
    <x v="0"/>
    <x v="2"/>
    <x v="0"/>
    <s v="-"/>
    <n v="424"/>
    <m/>
    <s v="oui"/>
    <m/>
    <n v="3"/>
    <n v="0.75"/>
    <n v="2.25"/>
  </r>
  <r>
    <d v="2016-11-28T00:00:00"/>
    <x v="11"/>
    <s v="-"/>
    <x v="2"/>
    <x v="5"/>
    <x v="1"/>
    <s v="-"/>
    <n v="39"/>
    <m/>
    <s v="oui"/>
    <m/>
    <n v="1"/>
    <n v="0.75"/>
    <n v="0.75"/>
  </r>
  <r>
    <d v="2016-11-28T00:00:00"/>
    <x v="1"/>
    <s v="SP Wines"/>
    <x v="2"/>
    <x v="5"/>
    <x v="0"/>
    <s v="PN"/>
    <s v="-"/>
    <m/>
    <s v="oui"/>
    <m/>
    <n v="1"/>
    <n v="0.75"/>
    <n v="0.75"/>
  </r>
  <r>
    <d v="2016-11-28T00:00:00"/>
    <x v="11"/>
    <s v="-"/>
    <x v="2"/>
    <x v="5"/>
    <x v="0"/>
    <s v="PN"/>
    <s v="-"/>
    <m/>
    <s v="oui"/>
    <m/>
    <n v="2"/>
    <n v="0.75"/>
    <n v="1.5"/>
  </r>
  <r>
    <d v="2016-11-28T00:00:00"/>
    <x v="11"/>
    <s v="-"/>
    <x v="0"/>
    <x v="2"/>
    <x v="0"/>
    <s v="-"/>
    <n v="424"/>
    <m/>
    <s v="oui"/>
    <m/>
    <n v="2"/>
    <n v="0.75"/>
    <n v="1.5"/>
  </r>
  <r>
    <d v="2016-11-28T00:00:00"/>
    <x v="11"/>
    <s v="-"/>
    <x v="0"/>
    <x v="16"/>
    <x v="0"/>
    <s v="Oc Blanc"/>
    <n v="200"/>
    <m/>
    <s v="oui"/>
    <m/>
    <n v="1"/>
    <n v="0.75"/>
    <n v="0.75"/>
  </r>
  <r>
    <d v="2016-11-28T00:00:00"/>
    <x v="11"/>
    <s v="-"/>
    <x v="0"/>
    <x v="6"/>
    <x v="1"/>
    <s v="Lot Terret 2"/>
    <s v="NP75"/>
    <m/>
    <s v="oui"/>
    <m/>
    <n v="1"/>
    <n v="0.75"/>
    <n v="0.75"/>
  </r>
  <r>
    <d v="2016-11-28T00:00:00"/>
    <x v="11"/>
    <s v="-"/>
    <x v="1"/>
    <x v="7"/>
    <x v="0"/>
    <s v="-"/>
    <n v="209"/>
    <m/>
    <s v="oui"/>
    <m/>
    <n v="1"/>
    <n v="0.75"/>
    <n v="0.75"/>
  </r>
  <r>
    <d v="2016-11-28T00:00:00"/>
    <x v="1"/>
    <s v="San Nicolas"/>
    <x v="0"/>
    <x v="1"/>
    <x v="0"/>
    <s v="Classique"/>
    <n v="401"/>
    <m/>
    <s v="oui"/>
    <m/>
    <n v="2"/>
    <n v="0.75"/>
    <n v="1.5"/>
  </r>
  <r>
    <d v="2016-11-28T00:00:00"/>
    <x v="1"/>
    <s v="San Nicolas"/>
    <x v="0"/>
    <x v="0"/>
    <x v="0"/>
    <s v="flatteur"/>
    <n v="14"/>
    <m/>
    <s v="oui"/>
    <m/>
    <n v="2"/>
    <n v="0.75"/>
    <n v="1.5"/>
  </r>
  <r>
    <d v="2016-11-28T00:00:00"/>
    <x v="1"/>
    <s v="San Nicolas"/>
    <x v="0"/>
    <x v="0"/>
    <x v="0"/>
    <s v="riche"/>
    <n v="411"/>
    <m/>
    <s v="oui"/>
    <m/>
    <n v="2"/>
    <n v="0.75"/>
    <n v="1.5"/>
  </r>
  <r>
    <d v="2016-11-28T00:00:00"/>
    <x v="1"/>
    <s v="San Nicolas"/>
    <x v="0"/>
    <x v="16"/>
    <x v="0"/>
    <s v="Oc Blanc"/>
    <n v="200"/>
    <m/>
    <s v="oui"/>
    <m/>
    <n v="2"/>
    <n v="0.75"/>
    <n v="1.5"/>
  </r>
  <r>
    <d v="2016-11-28T00:00:00"/>
    <x v="1"/>
    <s v="San Nicolas"/>
    <x v="1"/>
    <x v="10"/>
    <x v="0"/>
    <s v="Oc Rosé 2"/>
    <s v="-"/>
    <m/>
    <s v="oui"/>
    <s v="Oc Rosé 2 = Hérault Rosé"/>
    <n v="2"/>
    <n v="0.75"/>
    <n v="1.5"/>
  </r>
  <r>
    <d v="2016-11-28T00:00:00"/>
    <x v="1"/>
    <s v="Gilles Lambert"/>
    <x v="2"/>
    <x v="7"/>
    <x v="0"/>
    <s v="Lot Merlot"/>
    <s v="-"/>
    <m/>
    <s v="oui"/>
    <m/>
    <n v="3"/>
    <n v="0.75"/>
    <n v="2.25"/>
  </r>
  <r>
    <d v="2016-11-28T00:00:00"/>
    <x v="1"/>
    <s v="Gilles Lambert"/>
    <x v="2"/>
    <x v="13"/>
    <x v="0"/>
    <s v="Lot Cabernet"/>
    <s v="-"/>
    <m/>
    <s v="oui"/>
    <m/>
    <n v="3"/>
    <n v="0.75"/>
    <n v="2.25"/>
  </r>
  <r>
    <d v="2016-11-28T00:00:00"/>
    <x v="2"/>
    <s v="-"/>
    <x v="2"/>
    <x v="13"/>
    <x v="0"/>
    <s v="Lot Cabernet"/>
    <s v="-"/>
    <m/>
    <s v="oui"/>
    <m/>
    <n v="2"/>
    <n v="0.75"/>
    <n v="1.5"/>
  </r>
  <r>
    <d v="2016-11-28T00:00:00"/>
    <x v="2"/>
    <s v="-"/>
    <x v="2"/>
    <x v="7"/>
    <x v="0"/>
    <s v="Lot Merlot"/>
    <s v="-"/>
    <m/>
    <s v="oui"/>
    <m/>
    <n v="2"/>
    <n v="0.75"/>
    <n v="1.5"/>
  </r>
  <r>
    <d v="2016-11-29T00:00:00"/>
    <x v="7"/>
    <s v="-"/>
    <x v="0"/>
    <x v="0"/>
    <x v="0"/>
    <s v="riche"/>
    <n v="411"/>
    <m/>
    <s v="oui"/>
    <m/>
    <n v="2"/>
    <n v="0.75"/>
    <n v="1.5"/>
  </r>
  <r>
    <d v="2016-11-29T00:00:00"/>
    <x v="7"/>
    <s v="-"/>
    <x v="1"/>
    <x v="4"/>
    <x v="0"/>
    <s v="-"/>
    <n v="190"/>
    <m/>
    <s v="oui"/>
    <m/>
    <n v="2"/>
    <n v="0.75"/>
    <n v="1.5"/>
  </r>
  <r>
    <d v="2016-11-29T00:00:00"/>
    <x v="7"/>
    <s v="-"/>
    <x v="2"/>
    <x v="4"/>
    <x v="0"/>
    <s v="Lot expérimental"/>
    <s v="-"/>
    <m/>
    <s v="oui"/>
    <m/>
    <n v="2"/>
    <n v="0.75"/>
    <n v="1.5"/>
  </r>
  <r>
    <d v="2016-11-29T00:00:00"/>
    <x v="7"/>
    <s v="-"/>
    <x v="2"/>
    <x v="4"/>
    <x v="0"/>
    <s v="Lot expérimental"/>
    <s v="-"/>
    <m/>
    <s v="oui"/>
    <m/>
    <n v="2"/>
    <n v="0.75"/>
    <n v="1.5"/>
  </r>
  <r>
    <d v="2016-11-29T00:00:00"/>
    <x v="5"/>
    <s v="-"/>
    <x v="0"/>
    <x v="0"/>
    <x v="0"/>
    <s v="Lot GCF"/>
    <s v="-"/>
    <m/>
    <s v="oui"/>
    <m/>
    <n v="3"/>
    <n v="0.75"/>
    <n v="2.25"/>
  </r>
  <r>
    <d v="2016-11-29T00:00:00"/>
    <x v="5"/>
    <s v="-"/>
    <x v="1"/>
    <x v="7"/>
    <x v="0"/>
    <s v="-"/>
    <n v="201"/>
    <m/>
    <s v="oui"/>
    <m/>
    <n v="3"/>
    <n v="0.75"/>
    <n v="2.25"/>
  </r>
  <r>
    <d v="2016-11-29T00:00:00"/>
    <x v="18"/>
    <s v="-"/>
    <x v="0"/>
    <x v="1"/>
    <x v="0"/>
    <s v="Classique"/>
    <n v="401"/>
    <m/>
    <s v="oui"/>
    <m/>
    <n v="3"/>
    <n v="0.75"/>
    <n v="2.25"/>
  </r>
  <r>
    <d v="2016-11-29T00:00:00"/>
    <x v="10"/>
    <s v="René Jeanjean"/>
    <x v="1"/>
    <x v="10"/>
    <x v="0"/>
    <s v="Oc Rosé"/>
    <s v="-"/>
    <m/>
    <s v="oui"/>
    <m/>
    <n v="1"/>
    <n v="0.75"/>
    <n v="0.75"/>
  </r>
  <r>
    <d v="2016-11-30T00:00:00"/>
    <x v="2"/>
    <s v="-"/>
    <x v="0"/>
    <x v="1"/>
    <x v="0"/>
    <s v="variétal"/>
    <n v="423"/>
    <m/>
    <s v="oui"/>
    <m/>
    <n v="1"/>
    <n v="0.75"/>
    <n v="0.75"/>
  </r>
  <r>
    <d v="2016-11-30T00:00:00"/>
    <x v="2"/>
    <s v="-"/>
    <x v="0"/>
    <x v="1"/>
    <x v="0"/>
    <s v="supérieur"/>
    <n v="75"/>
    <m/>
    <s v="oui"/>
    <m/>
    <n v="1"/>
    <n v="0.75"/>
    <n v="0.75"/>
  </r>
  <r>
    <d v="2016-11-30T00:00:00"/>
    <x v="19"/>
    <s v="Pasquetto"/>
    <x v="0"/>
    <x v="0"/>
    <x v="0"/>
    <s v="Lot Solis 1"/>
    <s v="-"/>
    <m/>
    <s v="oui"/>
    <m/>
    <n v="1"/>
    <n v="0.75"/>
    <n v="0.75"/>
  </r>
  <r>
    <d v="2016-11-30T00:00:00"/>
    <x v="19"/>
    <s v="Pasquetto"/>
    <x v="0"/>
    <x v="0"/>
    <x v="0"/>
    <s v="Lot Solis 2"/>
    <s v="-"/>
    <m/>
    <s v="oui"/>
    <m/>
    <n v="1"/>
    <n v="0.75"/>
    <n v="0.75"/>
  </r>
  <r>
    <d v="2016-11-30T00:00:00"/>
    <x v="19"/>
    <s v="Pasquetto"/>
    <x v="0"/>
    <x v="0"/>
    <x v="0"/>
    <s v="Lot Solis 3"/>
    <s v="-"/>
    <m/>
    <s v="oui"/>
    <m/>
    <n v="1"/>
    <n v="0.75"/>
    <n v="0.75"/>
  </r>
  <r>
    <d v="2016-11-30T00:00:00"/>
    <x v="14"/>
    <s v="-"/>
    <x v="0"/>
    <x v="1"/>
    <x v="0"/>
    <s v="classique"/>
    <n v="401"/>
    <m/>
    <s v="oui"/>
    <m/>
    <n v="3"/>
    <n v="0.75"/>
    <n v="2.25"/>
  </r>
  <r>
    <d v="2016-11-30T00:00:00"/>
    <x v="14"/>
    <s v="-"/>
    <x v="0"/>
    <x v="16"/>
    <x v="0"/>
    <s v="Oc Blanc"/>
    <n v="200"/>
    <m/>
    <s v="oui"/>
    <m/>
    <n v="3"/>
    <n v="0.75"/>
    <n v="2.25"/>
  </r>
  <r>
    <d v="2016-11-30T00:00:00"/>
    <x v="9"/>
    <s v="Jacques Woloviek"/>
    <x v="1"/>
    <x v="7"/>
    <x v="0"/>
    <s v="Lot Merlot"/>
    <n v="201"/>
    <m/>
    <s v="oui"/>
    <m/>
    <n v="4"/>
    <n v="0.75"/>
    <n v="3"/>
  </r>
  <r>
    <d v="2016-12-01T00:00:00"/>
    <x v="2"/>
    <s v="-"/>
    <x v="0"/>
    <x v="1"/>
    <x v="0"/>
    <s v="variétal"/>
    <n v="423"/>
    <m/>
    <s v="oui"/>
    <m/>
    <n v="1"/>
    <n v="0.75"/>
    <n v="0.75"/>
  </r>
  <r>
    <d v="2016-12-01T00:00:00"/>
    <x v="2"/>
    <s v="-"/>
    <x v="0"/>
    <x v="1"/>
    <x v="0"/>
    <s v="supérieur"/>
    <n v="75"/>
    <m/>
    <s v="oui"/>
    <m/>
    <n v="1"/>
    <n v="0.75"/>
    <n v="0.75"/>
  </r>
  <r>
    <d v="2016-12-01T00:00:00"/>
    <x v="1"/>
    <s v="Gilles Lambert"/>
    <x v="0"/>
    <x v="1"/>
    <x v="0"/>
    <s v="classique"/>
    <n v="401"/>
    <m/>
    <s v="oui"/>
    <m/>
    <n v="2"/>
    <n v="0.75"/>
    <n v="1.5"/>
  </r>
  <r>
    <d v="2016-12-01T00:00:00"/>
    <x v="1"/>
    <s v="Gilles Lambert"/>
    <x v="0"/>
    <x v="0"/>
    <x v="0"/>
    <s v="flatteur"/>
    <n v="14"/>
    <m/>
    <s v="oui"/>
    <m/>
    <n v="2"/>
    <n v="0.75"/>
    <n v="1.5"/>
  </r>
  <r>
    <d v="2016-12-02T00:00:00"/>
    <x v="8"/>
    <s v="Murphy winecompany"/>
    <x v="1"/>
    <x v="22"/>
    <x v="0"/>
    <s v="Hérault Rosé"/>
    <s v="-"/>
    <m/>
    <s v="oui"/>
    <s v="Hérault Rosé + 50 g/hL acide tartrique"/>
    <n v="2"/>
    <n v="0.75"/>
    <n v="1.5"/>
  </r>
  <r>
    <d v="2016-12-05T00:00:00"/>
    <x v="2"/>
    <s v="-"/>
    <x v="0"/>
    <x v="0"/>
    <x v="0"/>
    <s v="riche"/>
    <n v="411"/>
    <m/>
    <s v="oui"/>
    <m/>
    <n v="2"/>
    <n v="0.75"/>
    <n v="1.5"/>
  </r>
  <r>
    <d v="2016-12-05T00:00:00"/>
    <x v="2"/>
    <s v="-"/>
    <x v="0"/>
    <x v="0"/>
    <x v="0"/>
    <s v="flatteur"/>
    <n v="14"/>
    <m/>
    <s v="oui"/>
    <m/>
    <n v="2"/>
    <n v="0.75"/>
    <n v="1.5"/>
  </r>
  <r>
    <d v="2016-12-05T00:00:00"/>
    <x v="2"/>
    <s v="-"/>
    <x v="0"/>
    <x v="0"/>
    <x v="0"/>
    <s v="supérieur"/>
    <n v="307"/>
    <m/>
    <s v="oui"/>
    <m/>
    <n v="2"/>
    <n v="0.75"/>
    <n v="1.5"/>
  </r>
  <r>
    <d v="2016-12-05T00:00:00"/>
    <x v="2"/>
    <s v="-"/>
    <x v="0"/>
    <x v="2"/>
    <x v="0"/>
    <s v="-"/>
    <n v="424"/>
    <m/>
    <s v="oui"/>
    <m/>
    <n v="2"/>
    <n v="0.75"/>
    <n v="1.5"/>
  </r>
  <r>
    <d v="2016-12-05T00:00:00"/>
    <x v="2"/>
    <s v="-"/>
    <x v="2"/>
    <x v="7"/>
    <x v="0"/>
    <s v="MR"/>
    <s v="-"/>
    <m/>
    <s v="oui"/>
    <m/>
    <n v="3"/>
    <n v="0.75"/>
    <n v="2.25"/>
  </r>
  <r>
    <d v="2016-12-05T00:00:00"/>
    <x v="11"/>
    <s v="-"/>
    <x v="2"/>
    <x v="13"/>
    <x v="0"/>
    <s v="CSR"/>
    <s v="-"/>
    <m/>
    <s v="oui"/>
    <m/>
    <n v="3"/>
    <n v="0.75"/>
    <n v="2.25"/>
  </r>
  <r>
    <d v="2016-12-05T00:00:00"/>
    <x v="11"/>
    <s v="-"/>
    <x v="0"/>
    <x v="6"/>
    <x v="0"/>
    <s v="Oc Blanc"/>
    <n v="200"/>
    <m/>
    <s v="oui"/>
    <m/>
    <n v="1"/>
    <n v="0.75"/>
    <n v="0.75"/>
  </r>
  <r>
    <d v="2016-12-05T00:00:00"/>
    <x v="11"/>
    <s v="-"/>
    <x v="0"/>
    <x v="1"/>
    <x v="0"/>
    <s v="classique"/>
    <n v="401"/>
    <m/>
    <s v="oui"/>
    <m/>
    <n v="1"/>
    <n v="0.75"/>
    <n v="0.75"/>
  </r>
  <r>
    <d v="2016-12-05T00:00:00"/>
    <x v="11"/>
    <s v="-"/>
    <x v="0"/>
    <x v="0"/>
    <x v="0"/>
    <s v="riche"/>
    <n v="411"/>
    <m/>
    <s v="oui"/>
    <m/>
    <n v="1"/>
    <n v="0.75"/>
    <n v="0.75"/>
  </r>
  <r>
    <d v="2016-12-05T00:00:00"/>
    <x v="11"/>
    <s v="-"/>
    <x v="1"/>
    <x v="10"/>
    <x v="0"/>
    <s v="Hérault Rosé"/>
    <s v="-"/>
    <m/>
    <s v="oui"/>
    <m/>
    <n v="1"/>
    <n v="0.75"/>
    <n v="0.75"/>
  </r>
  <r>
    <d v="2016-12-05T00:00:00"/>
    <x v="11"/>
    <s v="-"/>
    <x v="1"/>
    <x v="5"/>
    <x v="0"/>
    <s v="-"/>
    <n v="129"/>
    <m/>
    <s v="oui"/>
    <s v="  + 4% Syrah Rosé"/>
    <n v="1"/>
    <n v="0.75"/>
    <n v="0.75"/>
  </r>
  <r>
    <d v="2016-12-05T00:00:00"/>
    <x v="11"/>
    <s v="-"/>
    <x v="2"/>
    <x v="5"/>
    <x v="0"/>
    <s v="Lot PN"/>
    <s v="-"/>
    <m/>
    <s v="oui"/>
    <m/>
    <n v="1"/>
    <n v="0.75"/>
    <n v="0.75"/>
  </r>
  <r>
    <d v="2016-12-06T00:00:00"/>
    <x v="1"/>
    <s v="Olivier Castillo"/>
    <x v="0"/>
    <x v="2"/>
    <x v="0"/>
    <s v="-"/>
    <n v="424"/>
    <m/>
    <s v="oui"/>
    <m/>
    <n v="2"/>
    <n v="0.75"/>
    <n v="1.5"/>
  </r>
  <r>
    <d v="2016-12-06T00:00:00"/>
    <x v="1"/>
    <s v="Olivier Castillo"/>
    <x v="0"/>
    <x v="0"/>
    <x v="0"/>
    <s v="Frais"/>
    <s v="-"/>
    <m/>
    <s v="oui"/>
    <s v="85 % 313 + 15% 189"/>
    <n v="2"/>
    <n v="0.75"/>
    <n v="1.5"/>
  </r>
  <r>
    <d v="2016-12-06T00:00:00"/>
    <x v="1"/>
    <s v="San Nicolas"/>
    <x v="0"/>
    <x v="2"/>
    <x v="0"/>
    <s v="-"/>
    <n v="424"/>
    <m/>
    <s v="oui"/>
    <m/>
    <n v="2"/>
    <n v="0.75"/>
    <n v="1.5"/>
  </r>
  <r>
    <d v="2016-12-06T00:00:00"/>
    <x v="1"/>
    <s v="San Nicolas"/>
    <x v="0"/>
    <x v="0"/>
    <x v="0"/>
    <s v="flatteur"/>
    <n v="14"/>
    <m/>
    <s v="oui"/>
    <m/>
    <n v="2"/>
    <n v="0.75"/>
    <n v="1.5"/>
  </r>
  <r>
    <d v="2016-12-06T00:00:00"/>
    <x v="1"/>
    <s v="Olivier Castillo"/>
    <x v="0"/>
    <x v="0"/>
    <x v="0"/>
    <s v="riche"/>
    <n v="411"/>
    <m/>
    <s v="oui"/>
    <m/>
    <n v="2"/>
    <n v="0.75"/>
    <n v="1.5"/>
  </r>
  <r>
    <d v="2016-12-06T00:00:00"/>
    <x v="1"/>
    <s v="Olivier Castillo"/>
    <x v="0"/>
    <x v="16"/>
    <x v="0"/>
    <s v="Oc Blanc"/>
    <n v="200"/>
    <m/>
    <s v="oui"/>
    <m/>
    <n v="2"/>
    <n v="0.75"/>
    <n v="1.5"/>
  </r>
  <r>
    <d v="2016-12-06T00:00:00"/>
    <x v="1"/>
    <s v="Olivier Castillo"/>
    <x v="0"/>
    <x v="0"/>
    <x v="0"/>
    <s v="flatteur"/>
    <n v="14"/>
    <m/>
    <s v="oui"/>
    <m/>
    <n v="2"/>
    <n v="0.75"/>
    <n v="1.5"/>
  </r>
  <r>
    <d v="2016-12-06T00:00:00"/>
    <x v="1"/>
    <s v="Olivier Castillo"/>
    <x v="0"/>
    <x v="0"/>
    <x v="0"/>
    <s v="supérieur"/>
    <n v="328"/>
    <m/>
    <s v="oui"/>
    <m/>
    <n v="2"/>
    <n v="0.75"/>
    <n v="1.5"/>
  </r>
  <r>
    <d v="2016-12-06T00:00:00"/>
    <x v="1"/>
    <s v="SP Wines"/>
    <x v="0"/>
    <x v="2"/>
    <x v="0"/>
    <s v="-"/>
    <n v="424"/>
    <m/>
    <s v="oui"/>
    <m/>
    <n v="2"/>
    <n v="0.75"/>
    <n v="1.5"/>
  </r>
  <r>
    <d v="2016-12-06T00:00:00"/>
    <x v="1"/>
    <s v="SP Wines"/>
    <x v="0"/>
    <x v="21"/>
    <x v="0"/>
    <s v="-"/>
    <n v="31"/>
    <m/>
    <s v="oui"/>
    <m/>
    <n v="2"/>
    <n v="0.75"/>
    <n v="1.5"/>
  </r>
  <r>
    <d v="2016-12-06T00:00:00"/>
    <x v="1"/>
    <s v="SP Wines"/>
    <x v="0"/>
    <x v="1"/>
    <x v="0"/>
    <s v="classique"/>
    <n v="401"/>
    <m/>
    <s v="oui"/>
    <m/>
    <n v="3"/>
    <n v="0.75"/>
    <n v="2.25"/>
  </r>
  <r>
    <d v="2016-12-06T00:00:00"/>
    <x v="1"/>
    <s v="SP Wines"/>
    <x v="0"/>
    <x v="0"/>
    <x v="0"/>
    <s v="riche"/>
    <n v="411"/>
    <m/>
    <s v="oui"/>
    <m/>
    <n v="2"/>
    <n v="0.75"/>
    <n v="1.5"/>
  </r>
  <r>
    <d v="2016-12-06T00:00:00"/>
    <x v="1"/>
    <s v="SP Wines"/>
    <x v="2"/>
    <x v="5"/>
    <x v="0"/>
    <s v="PN"/>
    <s v="-"/>
    <m/>
    <s v="oui"/>
    <m/>
    <n v="1"/>
    <n v="0.75"/>
    <n v="0.75"/>
  </r>
  <r>
    <d v="2016-12-06T00:00:00"/>
    <x v="1"/>
    <s v="SP Wines"/>
    <x v="2"/>
    <x v="7"/>
    <x v="0"/>
    <s v="MR"/>
    <s v="-"/>
    <m/>
    <s v="oui"/>
    <m/>
    <n v="2"/>
    <n v="0.75"/>
    <n v="1.5"/>
  </r>
  <r>
    <d v="2016-12-06T00:00:00"/>
    <x v="1"/>
    <s v="SP Wines"/>
    <x v="2"/>
    <x v="13"/>
    <x v="0"/>
    <s v="CSR"/>
    <s v="-"/>
    <m/>
    <s v="oui"/>
    <m/>
    <n v="3"/>
    <n v="0.75"/>
    <n v="2.25"/>
  </r>
  <r>
    <d v="2016-12-06T00:00:00"/>
    <x v="1"/>
    <s v="SP Wines"/>
    <x v="0"/>
    <x v="1"/>
    <x v="0"/>
    <s v="classique"/>
    <n v="401"/>
    <m/>
    <s v="oui"/>
    <m/>
    <n v="2"/>
    <n v="0.75"/>
    <n v="1.5"/>
  </r>
  <r>
    <d v="2016-12-06T00:00:00"/>
    <x v="15"/>
    <s v="René Jeanjean"/>
    <x v="0"/>
    <x v="1"/>
    <x v="0"/>
    <s v="variétal"/>
    <n v="423"/>
    <m/>
    <s v="oui"/>
    <m/>
    <n v="2"/>
    <n v="0.75"/>
    <n v="1.5"/>
  </r>
  <r>
    <d v="2016-12-06T00:00:00"/>
    <x v="15"/>
    <s v="René Jeanjean"/>
    <x v="0"/>
    <x v="1"/>
    <x v="0"/>
    <s v="supérieur"/>
    <n v="75"/>
    <m/>
    <s v="oui"/>
    <m/>
    <n v="2"/>
    <n v="0.75"/>
    <n v="1.5"/>
  </r>
  <r>
    <d v="2016-12-06T00:00:00"/>
    <x v="15"/>
    <s v="René Jeanjean"/>
    <x v="0"/>
    <x v="2"/>
    <x v="0"/>
    <s v="-"/>
    <n v="424"/>
    <m/>
    <s v="oui"/>
    <m/>
    <n v="2"/>
    <n v="0.75"/>
    <n v="1.5"/>
  </r>
  <r>
    <d v="2016-12-06T00:00:00"/>
    <x v="15"/>
    <s v="René Jeanjean"/>
    <x v="1"/>
    <x v="13"/>
    <x v="0"/>
    <s v="-"/>
    <n v="302"/>
    <m/>
    <s v="oui"/>
    <m/>
    <n v="1"/>
    <n v="0.75"/>
    <n v="0.75"/>
  </r>
  <r>
    <d v="2016-12-06T00:00:00"/>
    <x v="15"/>
    <s v="René Jeanjean"/>
    <x v="1"/>
    <x v="7"/>
    <x v="0"/>
    <s v="-"/>
    <n v="37"/>
    <m/>
    <s v="oui"/>
    <m/>
    <n v="1"/>
    <n v="0.75"/>
    <n v="0.75"/>
  </r>
  <r>
    <d v="2016-12-06T00:00:00"/>
    <x v="15"/>
    <s v="René Jeanjean"/>
    <x v="0"/>
    <x v="0"/>
    <x v="0"/>
    <s v="flatteur"/>
    <n v="14"/>
    <m/>
    <s v="oui"/>
    <m/>
    <n v="2"/>
    <n v="1"/>
    <n v="2"/>
  </r>
  <r>
    <d v="2016-12-06T00:00:00"/>
    <x v="15"/>
    <s v="René Jeanjean"/>
    <x v="0"/>
    <x v="0"/>
    <x v="0"/>
    <s v="riche"/>
    <n v="411"/>
    <m/>
    <s v="oui"/>
    <m/>
    <n v="2"/>
    <n v="1"/>
    <n v="2"/>
  </r>
  <r>
    <d v="2016-12-06T00:00:00"/>
    <x v="15"/>
    <s v="René Jeanjean"/>
    <x v="1"/>
    <x v="8"/>
    <x v="0"/>
    <s v="Lot Cinsault"/>
    <s v="-"/>
    <m/>
    <s v="oui"/>
    <m/>
    <n v="1"/>
    <n v="0.75"/>
    <n v="0.75"/>
  </r>
  <r>
    <d v="2016-12-06T00:00:00"/>
    <x v="15"/>
    <s v="René Jeanjean"/>
    <x v="1"/>
    <x v="10"/>
    <x v="0"/>
    <s v="Oc Rosé 2"/>
    <s v="-"/>
    <m/>
    <s v="oui"/>
    <s v="Hérault Rosé + 50 g/hL acide tartrique"/>
    <n v="1"/>
    <n v="0.75"/>
    <n v="0.75"/>
  </r>
  <r>
    <d v="2016-12-07T00:00:00"/>
    <x v="20"/>
    <s v="-"/>
    <x v="0"/>
    <x v="1"/>
    <x v="0"/>
    <s v="bouteille"/>
    <n v="24"/>
    <m/>
    <s v="oui"/>
    <m/>
    <n v="1"/>
    <n v="0.75"/>
    <n v="0.75"/>
  </r>
  <r>
    <d v="2016-12-07T00:00:00"/>
    <x v="20"/>
    <s v="-"/>
    <x v="0"/>
    <x v="16"/>
    <x v="0"/>
    <s v="Oc blanc"/>
    <n v="200"/>
    <m/>
    <s v="oui"/>
    <m/>
    <n v="1"/>
    <n v="0.75"/>
    <n v="0.75"/>
  </r>
  <r>
    <d v="2016-12-07T00:00:00"/>
    <x v="20"/>
    <s v="-"/>
    <x v="0"/>
    <x v="20"/>
    <x v="0"/>
    <s v="-"/>
    <n v="10"/>
    <m/>
    <s v="oui"/>
    <m/>
    <n v="1"/>
    <n v="0.75"/>
    <n v="0.75"/>
  </r>
  <r>
    <d v="2016-12-07T00:00:00"/>
    <x v="20"/>
    <s v="-"/>
    <x v="1"/>
    <x v="8"/>
    <x v="0"/>
    <s v="Lot Cinsault"/>
    <s v="Ag301"/>
    <m/>
    <s v="oui"/>
    <m/>
    <n v="1"/>
    <n v="0.75"/>
    <n v="0.75"/>
  </r>
  <r>
    <d v="2016-12-07T00:00:00"/>
    <x v="20"/>
    <s v="-"/>
    <x v="1"/>
    <x v="23"/>
    <x v="0"/>
    <s v="bouteille"/>
    <s v="CF3"/>
    <m/>
    <s v="oui"/>
    <m/>
    <n v="1"/>
    <n v="0.75"/>
    <n v="0.75"/>
  </r>
  <r>
    <d v="2016-12-07T00:00:00"/>
    <x v="20"/>
    <s v="-"/>
    <x v="1"/>
    <x v="19"/>
    <x v="0"/>
    <s v="-"/>
    <n v="63"/>
    <m/>
    <s v="oui"/>
    <m/>
    <n v="1"/>
    <n v="0.75"/>
    <n v="0.75"/>
  </r>
  <r>
    <d v="2016-12-07T00:00:00"/>
    <x v="20"/>
    <s v="-"/>
    <x v="2"/>
    <x v="5"/>
    <x v="1"/>
    <s v="-"/>
    <n v="39"/>
    <m/>
    <s v="oui"/>
    <m/>
    <n v="1"/>
    <n v="0.75"/>
    <n v="0.75"/>
  </r>
  <r>
    <d v="2016-12-07T00:00:00"/>
    <x v="5"/>
    <s v="-"/>
    <x v="1"/>
    <x v="8"/>
    <x v="0"/>
    <s v="Lot Cinsault"/>
    <s v="Ag301"/>
    <m/>
    <s v="oui"/>
    <m/>
    <n v="1"/>
    <n v="0.75"/>
    <n v="0.75"/>
  </r>
  <r>
    <d v="2016-12-08T00:00:00"/>
    <x v="5"/>
    <s v="-"/>
    <x v="1"/>
    <x v="19"/>
    <x v="0"/>
    <s v="Lot GCF"/>
    <s v="-"/>
    <m/>
    <s v="oui"/>
    <m/>
    <n v="1"/>
    <n v="0.75"/>
    <n v="0.75"/>
  </r>
  <r>
    <d v="2016-12-08T00:00:00"/>
    <x v="5"/>
    <s v="-"/>
    <x v="0"/>
    <x v="24"/>
    <x v="0"/>
    <s v="Lot GCF"/>
    <s v="-"/>
    <m/>
    <s v="oui"/>
    <m/>
    <n v="1"/>
    <n v="0.75"/>
    <n v="0.75"/>
  </r>
  <r>
    <d v="2016-12-08T00:00:00"/>
    <x v="5"/>
    <s v="-"/>
    <x v="0"/>
    <x v="0"/>
    <x v="0"/>
    <s v="Lot GCF"/>
    <n v="308"/>
    <m/>
    <s v="oui"/>
    <m/>
    <n v="1"/>
    <n v="0.75"/>
    <n v="0.75"/>
  </r>
  <r>
    <d v="2016-12-08T00:00:00"/>
    <x v="5"/>
    <s v="-"/>
    <x v="0"/>
    <x v="7"/>
    <x v="0"/>
    <s v="Lot Merlot"/>
    <n v="201"/>
    <m/>
    <s v="oui"/>
    <m/>
    <n v="1"/>
    <n v="0.75"/>
    <n v="0.75"/>
  </r>
  <r>
    <d v="2016-12-08T00:00:00"/>
    <x v="16"/>
    <s v="-"/>
    <x v="0"/>
    <x v="2"/>
    <x v="0"/>
    <s v="RT1"/>
    <s v="-"/>
    <m/>
    <s v="oui"/>
    <s v="80% 35 (Vio bt) + 20% 424"/>
    <n v="1"/>
    <n v="0.75"/>
    <n v="0.75"/>
  </r>
  <r>
    <d v="2016-12-08T00:00:00"/>
    <x v="16"/>
    <s v="-"/>
    <x v="0"/>
    <x v="2"/>
    <x v="0"/>
    <s v="RT2"/>
    <s v="-"/>
    <m/>
    <s v="oui"/>
    <s v="50% 424 + 50%315"/>
    <n v="1"/>
    <n v="0.75"/>
    <n v="0.75"/>
  </r>
  <r>
    <d v="2016-12-08T00:00:00"/>
    <x v="16"/>
    <s v="-"/>
    <x v="1"/>
    <x v="14"/>
    <x v="0"/>
    <s v="Maraval"/>
    <s v="-"/>
    <m/>
    <s v="oui"/>
    <s v="Lot Maraval Rosé"/>
    <n v="1"/>
    <n v="0.75"/>
    <n v="0.75"/>
  </r>
  <r>
    <d v="2016-12-08T00:00:00"/>
    <x v="16"/>
    <s v="-"/>
    <x v="1"/>
    <x v="14"/>
    <x v="0"/>
    <s v="RF2"/>
    <s v="-"/>
    <m/>
    <s v="oui"/>
    <s v="70% 45 + 30% 84"/>
    <n v="1"/>
    <n v="0.75"/>
    <n v="0.75"/>
  </r>
  <r>
    <d v="2016-12-08T00:00:00"/>
    <x v="16"/>
    <s v="-"/>
    <x v="1"/>
    <x v="14"/>
    <x v="0"/>
    <s v="RF3"/>
    <s v="-"/>
    <m/>
    <s v="oui"/>
    <s v="50% 63 + 50% 84"/>
    <n v="1"/>
    <n v="0.75"/>
    <n v="0.75"/>
  </r>
  <r>
    <d v="2016-12-08T00:00:00"/>
    <x v="7"/>
    <s v="-"/>
    <x v="0"/>
    <x v="1"/>
    <x v="0"/>
    <s v="supérieur"/>
    <n v="75"/>
    <m/>
    <s v="oui"/>
    <m/>
    <n v="1"/>
    <n v="0.75"/>
    <n v="0.75"/>
  </r>
  <r>
    <d v="2016-12-08T00:00:00"/>
    <x v="21"/>
    <s v="-"/>
    <x v="0"/>
    <x v="1"/>
    <x v="0"/>
    <s v="classique"/>
    <n v="401"/>
    <m/>
    <s v="oui"/>
    <m/>
    <n v="1"/>
    <n v="0.75"/>
    <n v="0.75"/>
  </r>
  <r>
    <d v="2016-12-08T00:00:00"/>
    <x v="21"/>
    <s v="-"/>
    <x v="0"/>
    <x v="0"/>
    <x v="0"/>
    <s v="flatteur"/>
    <n v="14"/>
    <m/>
    <s v="oui"/>
    <m/>
    <n v="1"/>
    <n v="0.75"/>
    <n v="0.75"/>
  </r>
  <r>
    <d v="2016-12-08T00:00:00"/>
    <x v="21"/>
    <s v="-"/>
    <x v="0"/>
    <x v="0"/>
    <x v="0"/>
    <s v="riche"/>
    <n v="411"/>
    <m/>
    <s v="oui"/>
    <m/>
    <n v="1"/>
    <n v="0.75"/>
    <n v="0.75"/>
  </r>
  <r>
    <d v="2016-12-08T00:00:00"/>
    <x v="21"/>
    <s v="-"/>
    <x v="0"/>
    <x v="0"/>
    <x v="0"/>
    <s v="supérieur"/>
    <n v="36"/>
    <m/>
    <s v="oui"/>
    <m/>
    <n v="1"/>
    <n v="0.75"/>
    <n v="0.75"/>
  </r>
  <r>
    <d v="2016-12-08T00:00:00"/>
    <x v="21"/>
    <s v="-"/>
    <x v="0"/>
    <x v="25"/>
    <x v="0"/>
    <s v="Maraval"/>
    <s v="-"/>
    <m/>
    <s v="oui"/>
    <m/>
    <n v="1"/>
    <n v="0.75"/>
    <n v="0.75"/>
  </r>
  <r>
    <d v="2016-12-08T00:00:00"/>
    <x v="21"/>
    <s v="-"/>
    <x v="1"/>
    <x v="25"/>
    <x v="0"/>
    <s v="Maraval"/>
    <s v="-"/>
    <m/>
    <s v="oui"/>
    <m/>
    <n v="1"/>
    <n v="0.75"/>
    <n v="0.75"/>
  </r>
  <r>
    <d v="2016-12-08T00:00:00"/>
    <x v="21"/>
    <s v="-"/>
    <x v="2"/>
    <x v="25"/>
    <x v="0"/>
    <s v="Maraval"/>
    <s v="-"/>
    <m/>
    <s v="oui"/>
    <m/>
    <n v="1"/>
    <n v="0.75"/>
    <n v="0.75"/>
  </r>
  <r>
    <d v="2016-12-08T00:00:00"/>
    <x v="21"/>
    <s v="-"/>
    <x v="2"/>
    <x v="7"/>
    <x v="0"/>
    <s v="bouteille"/>
    <s v="-"/>
    <m/>
    <s v="oui"/>
    <m/>
    <n v="1"/>
    <n v="0.75"/>
    <n v="0.75"/>
  </r>
  <r>
    <d v="2016-12-08T00:00:00"/>
    <x v="21"/>
    <s v="-"/>
    <x v="2"/>
    <x v="13"/>
    <x v="0"/>
    <s v="bouteille"/>
    <s v="-"/>
    <m/>
    <s v="oui"/>
    <m/>
    <n v="1"/>
    <n v="0.75"/>
    <n v="0.75"/>
  </r>
  <r>
    <d v="2016-12-12T00:00:00"/>
    <x v="2"/>
    <s v="-"/>
    <x v="0"/>
    <x v="0"/>
    <x v="0"/>
    <s v="flatteur"/>
    <n v="14"/>
    <m/>
    <s v="oui"/>
    <m/>
    <n v="2"/>
    <n v="0.75"/>
    <n v="1.5"/>
  </r>
  <r>
    <d v="2016-12-12T00:00:00"/>
    <x v="2"/>
    <s v="-"/>
    <x v="0"/>
    <x v="0"/>
    <x v="0"/>
    <s v="riche"/>
    <n v="411"/>
    <m/>
    <s v="oui"/>
    <m/>
    <n v="2"/>
    <n v="0.75"/>
    <n v="1.5"/>
  </r>
  <r>
    <d v="2016-12-12T00:00:00"/>
    <x v="2"/>
    <s v="-"/>
    <x v="0"/>
    <x v="0"/>
    <x v="0"/>
    <s v="supérieur"/>
    <n v="89"/>
    <m/>
    <s v="oui"/>
    <m/>
    <n v="2"/>
    <n v="0.75"/>
    <n v="1.5"/>
  </r>
  <r>
    <d v="2016-12-12T00:00:00"/>
    <x v="2"/>
    <s v="-"/>
    <x v="2"/>
    <x v="13"/>
    <x v="0"/>
    <s v="CSR"/>
    <s v="-"/>
    <m/>
    <s v="oui"/>
    <m/>
    <n v="2"/>
    <n v="0.75"/>
    <n v="1.5"/>
  </r>
  <r>
    <d v="2016-12-12T00:00:00"/>
    <x v="2"/>
    <s v="-"/>
    <x v="2"/>
    <x v="7"/>
    <x v="0"/>
    <s v="MR"/>
    <s v="-"/>
    <m/>
    <s v="oui"/>
    <m/>
    <n v="1"/>
    <n v="0.75"/>
    <n v="0.75"/>
  </r>
  <r>
    <d v="2016-12-12T00:00:00"/>
    <x v="4"/>
    <s v="-"/>
    <x v="0"/>
    <x v="0"/>
    <x v="0"/>
    <s v="supérieur"/>
    <n v="36"/>
    <m/>
    <s v="oui"/>
    <m/>
    <n v="5"/>
    <n v="0.75"/>
    <n v="3.75"/>
  </r>
  <r>
    <d v="2016-12-12T00:00:00"/>
    <x v="5"/>
    <s v="-"/>
    <x v="0"/>
    <x v="17"/>
    <x v="0"/>
    <s v="Lot GCF"/>
    <s v="-"/>
    <m/>
    <s v="oui"/>
    <m/>
    <n v="1"/>
    <n v="0.75"/>
    <n v="0.75"/>
  </r>
  <r>
    <d v="2016-12-12T00:00:00"/>
    <x v="5"/>
    <s v="-"/>
    <x v="0"/>
    <x v="1"/>
    <x v="0"/>
    <s v="classique"/>
    <n v="401"/>
    <m/>
    <s v="oui"/>
    <m/>
    <n v="1"/>
    <n v="0.75"/>
    <n v="0.75"/>
  </r>
  <r>
    <d v="2016-12-13T00:00:00"/>
    <x v="9"/>
    <s v="Jacques Woloviek"/>
    <x v="0"/>
    <x v="2"/>
    <x v="0"/>
    <s v="bouteille"/>
    <n v="35"/>
    <m/>
    <s v="oui"/>
    <m/>
    <n v="4"/>
    <n v="0.75"/>
    <n v="3"/>
  </r>
  <r>
    <d v="2016-12-13T00:00:00"/>
    <x v="9"/>
    <s v="Jacques Woloviek"/>
    <x v="0"/>
    <x v="1"/>
    <x v="0"/>
    <s v="supérieur"/>
    <n v="75"/>
    <m/>
    <s v="oui"/>
    <m/>
    <n v="4"/>
    <n v="0.75"/>
    <n v="3"/>
  </r>
  <r>
    <d v="2016-12-13T00:00:00"/>
    <x v="9"/>
    <s v="Jacques Woloviek"/>
    <x v="0"/>
    <x v="0"/>
    <x v="0"/>
    <s v="bouteille"/>
    <s v="FK10"/>
    <m/>
    <s v="oui"/>
    <m/>
    <n v="4"/>
    <n v="0.75"/>
    <n v="3"/>
  </r>
  <r>
    <d v="2016-12-13T00:00:00"/>
    <x v="9"/>
    <s v="Jacques Woloviek"/>
    <x v="1"/>
    <x v="13"/>
    <x v="0"/>
    <s v="-"/>
    <n v="302"/>
    <m/>
    <s v="oui"/>
    <m/>
    <n v="4"/>
    <n v="0.75"/>
    <n v="3"/>
  </r>
  <r>
    <d v="2016-12-13T00:00:00"/>
    <x v="9"/>
    <s v="Jacques Woloviek"/>
    <x v="1"/>
    <x v="7"/>
    <x v="0"/>
    <s v="-"/>
    <n v="201"/>
    <m/>
    <s v="oui"/>
    <m/>
    <n v="4"/>
    <n v="0.75"/>
    <n v="3"/>
  </r>
  <r>
    <d v="2016-12-13T00:00:00"/>
    <x v="3"/>
    <s v="-"/>
    <x v="0"/>
    <x v="0"/>
    <x v="0"/>
    <s v="variétal"/>
    <n v="411"/>
    <m/>
    <s v="oui"/>
    <m/>
    <n v="6"/>
    <n v="0.75"/>
    <n v="4.5"/>
  </r>
  <r>
    <d v="2016-12-13T00:00:00"/>
    <x v="3"/>
    <s v="-"/>
    <x v="0"/>
    <x v="0"/>
    <x v="0"/>
    <s v="supérieur"/>
    <n v="89"/>
    <m/>
    <s v="oui"/>
    <m/>
    <n v="6"/>
    <n v="0.75"/>
    <n v="4.5"/>
  </r>
  <r>
    <d v="2016-12-14T00:00:00"/>
    <x v="15"/>
    <s v="René Jeanjean"/>
    <x v="0"/>
    <x v="1"/>
    <x v="0"/>
    <s v="classique"/>
    <n v="401"/>
    <m/>
    <s v="oui"/>
    <m/>
    <n v="2"/>
    <n v="0.75"/>
    <n v="1.5"/>
  </r>
  <r>
    <d v="2016-12-14T00:00:00"/>
    <x v="15"/>
    <s v="René Jeanjean"/>
    <x v="0"/>
    <x v="1"/>
    <x v="0"/>
    <s v="variétal"/>
    <n v="423"/>
    <m/>
    <s v="oui"/>
    <m/>
    <n v="2"/>
    <n v="0.75"/>
    <n v="1.5"/>
  </r>
  <r>
    <d v="2016-12-14T00:00:00"/>
    <x v="15"/>
    <s v="René Jeanjean"/>
    <x v="0"/>
    <x v="1"/>
    <x v="0"/>
    <s v="supérieur"/>
    <n v="78"/>
    <m/>
    <s v="oui"/>
    <m/>
    <n v="4"/>
    <n v="0.75"/>
    <n v="3"/>
  </r>
  <r>
    <d v="2016-12-14T00:00:00"/>
    <x v="15"/>
    <s v="René Jeanjean"/>
    <x v="0"/>
    <x v="2"/>
    <x v="0"/>
    <s v="-"/>
    <n v="424"/>
    <m/>
    <s v="oui"/>
    <m/>
    <n v="2"/>
    <n v="0.75"/>
    <n v="1.5"/>
  </r>
  <r>
    <d v="2016-12-14T00:00:00"/>
    <x v="15"/>
    <s v="René Jeanjean"/>
    <x v="0"/>
    <x v="16"/>
    <x v="0"/>
    <s v="Oc Blanc"/>
    <n v="200"/>
    <m/>
    <s v="oui"/>
    <m/>
    <n v="2"/>
    <n v="0.75"/>
    <n v="1.5"/>
  </r>
  <r>
    <d v="2016-12-14T00:00:00"/>
    <x v="9"/>
    <s v="Jacques Woloviek"/>
    <x v="0"/>
    <x v="2"/>
    <x v="0"/>
    <s v="-"/>
    <n v="424"/>
    <m/>
    <s v="oui"/>
    <m/>
    <n v="4"/>
    <n v="0.75"/>
    <n v="3"/>
  </r>
  <r>
    <d v="2016-12-14T00:00:00"/>
    <x v="9"/>
    <s v="Jacques Woloviek"/>
    <x v="0"/>
    <x v="2"/>
    <x v="0"/>
    <s v="Lot JJ1"/>
    <s v="-"/>
    <m/>
    <s v="oui"/>
    <s v="Viognier Jeanjean"/>
    <n v="4"/>
    <n v="0.75"/>
    <n v="3"/>
  </r>
  <r>
    <d v="2016-12-15T00:00:00"/>
    <x v="19"/>
    <s v="Pasquetto"/>
    <x v="0"/>
    <x v="0"/>
    <x v="0"/>
    <s v="Lot Solis 1"/>
    <s v="-"/>
    <m/>
    <s v="oui"/>
    <m/>
    <n v="1"/>
    <n v="0.75"/>
    <n v="0.75"/>
  </r>
  <r>
    <d v="2016-12-15T00:00:00"/>
    <x v="19"/>
    <s v="Pasquetto"/>
    <x v="0"/>
    <x v="0"/>
    <x v="0"/>
    <s v="Lot Solis 2"/>
    <s v="-"/>
    <m/>
    <s v="oui"/>
    <m/>
    <n v="1"/>
    <n v="0.75"/>
    <n v="0.75"/>
  </r>
  <r>
    <d v="2016-12-15T00:00:00"/>
    <x v="19"/>
    <s v="Pasquetto"/>
    <x v="0"/>
    <x v="0"/>
    <x v="0"/>
    <s v="Lot Solis 3"/>
    <s v="-"/>
    <m/>
    <s v="oui"/>
    <m/>
    <n v="1"/>
    <n v="0.75"/>
    <n v="0.75"/>
  </r>
  <r>
    <d v="2016-12-20T00:00:00"/>
    <x v="2"/>
    <s v="-"/>
    <x v="0"/>
    <x v="1"/>
    <x v="0"/>
    <s v="variétal"/>
    <n v="418"/>
    <m/>
    <s v="oui"/>
    <m/>
    <n v="2"/>
    <n v="0.75"/>
    <n v="1.5"/>
  </r>
  <r>
    <d v="2016-12-20T00:00:00"/>
    <x v="2"/>
    <s v="-"/>
    <x v="0"/>
    <x v="1"/>
    <x v="0"/>
    <s v="supérieur"/>
    <n v="321"/>
    <m/>
    <s v="oui"/>
    <m/>
    <n v="2"/>
    <n v="0.75"/>
    <n v="1.5"/>
  </r>
  <r>
    <d v="2017-01-02T00:00:00"/>
    <x v="2"/>
    <s v="-"/>
    <x v="2"/>
    <x v="13"/>
    <x v="0"/>
    <s v="CSR"/>
    <s v="-"/>
    <m/>
    <s v="oui"/>
    <m/>
    <n v="3"/>
    <n v="0.75"/>
    <n v="2.25"/>
  </r>
  <r>
    <d v="2017-01-02T00:00:00"/>
    <x v="2"/>
    <s v="-"/>
    <x v="2"/>
    <x v="7"/>
    <x v="0"/>
    <s v="MR"/>
    <s v="-"/>
    <m/>
    <s v="oui"/>
    <m/>
    <n v="3"/>
    <n v="0.75"/>
    <n v="2.25"/>
  </r>
  <r>
    <d v="2017-01-03T00:00:00"/>
    <x v="1"/>
    <s v="Olivier Castillo"/>
    <x v="1"/>
    <x v="26"/>
    <x v="0"/>
    <s v="Lot 1"/>
    <s v="-"/>
    <m/>
    <s v="oui"/>
    <s v="20 % Grenache + 80% Lot Rosé Oc"/>
    <n v="4"/>
    <n v="0.75"/>
    <n v="3"/>
  </r>
  <r>
    <d v="2017-01-03T00:00:00"/>
    <x v="1"/>
    <s v="Olivier Castillo"/>
    <x v="1"/>
    <x v="26"/>
    <x v="0"/>
    <s v="Lot 2"/>
    <s v="-"/>
    <m/>
    <s v="oui"/>
    <s v="20 % Grenache + 5 % Muscat 184 + 80 % Lot Rosé Oc"/>
    <n v="4"/>
    <n v="0.75"/>
    <n v="3"/>
  </r>
  <r>
    <d v="2017-01-04T00:00:00"/>
    <x v="14"/>
    <s v="-"/>
    <x v="0"/>
    <x v="2"/>
    <x v="0"/>
    <s v="Lot Auriol"/>
    <s v="-"/>
    <m/>
    <s v="oui"/>
    <s v="85 % 424 + 15% variétal sauv"/>
    <n v="1"/>
    <n v="10"/>
    <n v="10"/>
  </r>
  <r>
    <d v="2017-01-04T00:00:00"/>
    <x v="14"/>
    <s v="-"/>
    <x v="0"/>
    <x v="27"/>
    <x v="0"/>
    <s v="Lot Auriol"/>
    <s v="-"/>
    <m/>
    <s v="oui"/>
    <s v="Ass des 2 références + 15% "/>
    <n v="1"/>
    <n v="10"/>
    <n v="10"/>
  </r>
  <r>
    <d v="2017-01-04T00:00:00"/>
    <x v="5"/>
    <s v="-"/>
    <x v="0"/>
    <x v="0"/>
    <x v="0"/>
    <s v="Lot GCF"/>
    <n v="309"/>
    <m/>
    <s v="oui"/>
    <m/>
    <n v="6"/>
    <n v="0.75"/>
    <n v="4.5"/>
  </r>
  <r>
    <d v="2017-01-04T00:00:00"/>
    <x v="5"/>
    <s v="-"/>
    <x v="1"/>
    <x v="8"/>
    <x v="0"/>
    <s v="Lot Cinsault"/>
    <s v="Ag301"/>
    <m/>
    <s v="oui"/>
    <m/>
    <n v="2"/>
    <n v="0.75"/>
    <n v="1.5"/>
  </r>
  <r>
    <d v="2017-01-04T00:00:00"/>
    <x v="5"/>
    <s v="-"/>
    <x v="1"/>
    <x v="19"/>
    <x v="0"/>
    <s v="Lot GCF"/>
    <n v="308"/>
    <m/>
    <s v="oui"/>
    <m/>
    <n v="2"/>
    <n v="0.75"/>
    <n v="1.5"/>
  </r>
  <r>
    <d v="2017-01-04T00:00:00"/>
    <x v="5"/>
    <s v="-"/>
    <x v="1"/>
    <x v="7"/>
    <x v="0"/>
    <s v="Lot GCF"/>
    <n v="404"/>
    <m/>
    <s v="oui"/>
    <m/>
    <n v="2"/>
    <n v="0.75"/>
    <n v="1.5"/>
  </r>
  <r>
    <d v="2017-01-04T00:00:00"/>
    <x v="5"/>
    <s v="-"/>
    <x v="1"/>
    <x v="5"/>
    <x v="0"/>
    <s v="-"/>
    <n v="129"/>
    <m/>
    <s v="oui"/>
    <m/>
    <n v="2"/>
    <n v="0.75"/>
    <n v="1.5"/>
  </r>
  <r>
    <d v="2017-01-05T00:00:00"/>
    <x v="4"/>
    <s v="-"/>
    <x v="0"/>
    <x v="0"/>
    <x v="0"/>
    <s v="supérieur"/>
    <n v="89"/>
    <m/>
    <s v="oui"/>
    <m/>
    <n v="2"/>
    <n v="0.75"/>
    <n v="1.5"/>
  </r>
  <r>
    <d v="2017-01-05T00:00:00"/>
    <x v="4"/>
    <s v="-"/>
    <x v="0"/>
    <x v="0"/>
    <x v="0"/>
    <s v="riche"/>
    <n v="11"/>
    <m/>
    <s v="oui"/>
    <m/>
    <n v="2"/>
    <n v="0.75"/>
    <n v="1.5"/>
  </r>
  <r>
    <d v="2017-01-05T00:00:00"/>
    <x v="4"/>
    <s v="-"/>
    <x v="0"/>
    <x v="2"/>
    <x v="0"/>
    <s v="-"/>
    <n v="424"/>
    <m/>
    <s v="oui"/>
    <m/>
    <n v="2"/>
    <n v="0.75"/>
    <n v="1.5"/>
  </r>
  <r>
    <d v="2017-01-05T00:00:00"/>
    <x v="1"/>
    <s v="Olivier Castillo"/>
    <x v="1"/>
    <x v="5"/>
    <x v="0"/>
    <s v="-"/>
    <s v="-"/>
    <m/>
    <s v="oui"/>
    <s v="200 hL PN + 50 hL 84"/>
    <n v="2"/>
    <n v="0.75"/>
    <n v="1.5"/>
  </r>
  <r>
    <d v="2017-01-05T00:00:00"/>
    <x v="2"/>
    <s v="-"/>
    <x v="0"/>
    <x v="2"/>
    <x v="0"/>
    <s v="-"/>
    <n v="424"/>
    <m/>
    <s v="oui"/>
    <m/>
    <n v="3"/>
    <n v="0.75"/>
    <n v="2.25"/>
  </r>
  <r>
    <d v="2017-01-05T00:00:00"/>
    <x v="2"/>
    <s v="-"/>
    <x v="2"/>
    <x v="7"/>
    <x v="0"/>
    <s v="MR"/>
    <s v="-"/>
    <m/>
    <s v="oui"/>
    <m/>
    <n v="3"/>
    <n v="0.75"/>
    <n v="2.25"/>
  </r>
  <r>
    <d v="2017-01-09T00:00:00"/>
    <x v="20"/>
    <s v="-"/>
    <x v="0"/>
    <x v="28"/>
    <x v="0"/>
    <s v="bouteille"/>
    <n v="100"/>
    <m/>
    <s v="oui"/>
    <m/>
    <n v="1"/>
    <n v="0.75"/>
    <n v="0.75"/>
  </r>
  <r>
    <d v="2017-01-09T00:00:00"/>
    <x v="20"/>
    <s v="-"/>
    <x v="0"/>
    <x v="1"/>
    <x v="0"/>
    <s v="bouteille"/>
    <n v="24"/>
    <m/>
    <s v="oui"/>
    <m/>
    <n v="1"/>
    <n v="0.75"/>
    <n v="0.75"/>
  </r>
  <r>
    <d v="2017-01-09T00:00:00"/>
    <x v="20"/>
    <s v="-"/>
    <x v="0"/>
    <x v="0"/>
    <x v="0"/>
    <s v="bouteille"/>
    <s v="FK10"/>
    <m/>
    <s v="oui"/>
    <m/>
    <n v="1"/>
    <n v="0.75"/>
    <n v="0.75"/>
  </r>
  <r>
    <d v="2017-01-09T00:00:00"/>
    <x v="20"/>
    <s v="-"/>
    <x v="1"/>
    <x v="29"/>
    <x v="0"/>
    <s v="bouteille"/>
    <s v="FK4"/>
    <m/>
    <s v="oui"/>
    <m/>
    <n v="1"/>
    <n v="0.75"/>
    <n v="0.75"/>
  </r>
  <r>
    <d v="2017-01-09T00:00:00"/>
    <x v="20"/>
    <s v="-"/>
    <x v="1"/>
    <x v="30"/>
    <x v="0"/>
    <s v="bouteille"/>
    <n v="42"/>
    <m/>
    <s v="oui"/>
    <m/>
    <n v="1"/>
    <n v="0.75"/>
    <n v="0.75"/>
  </r>
  <r>
    <d v="2017-01-09T00:00:00"/>
    <x v="20"/>
    <s v="-"/>
    <x v="2"/>
    <x v="7"/>
    <x v="0"/>
    <s v="-"/>
    <n v="152"/>
    <m/>
    <s v="oui"/>
    <m/>
    <n v="1"/>
    <n v="0.75"/>
    <n v="0.75"/>
  </r>
  <r>
    <d v="2017-01-09T00:00:00"/>
    <x v="20"/>
    <s v="-"/>
    <x v="2"/>
    <x v="13"/>
    <x v="0"/>
    <s v="-"/>
    <n v="150"/>
    <m/>
    <s v="oui"/>
    <m/>
    <n v="1"/>
    <n v="0.75"/>
    <n v="0.75"/>
  </r>
  <r>
    <d v="2017-01-09T00:00:00"/>
    <x v="20"/>
    <s v="-"/>
    <x v="2"/>
    <x v="5"/>
    <x v="1"/>
    <s v="-"/>
    <n v="39"/>
    <m/>
    <s v="oui"/>
    <m/>
    <n v="1"/>
    <n v="0.75"/>
    <n v="0.75"/>
  </r>
  <r>
    <d v="2017-01-09T00:00:00"/>
    <x v="20"/>
    <s v="-"/>
    <x v="2"/>
    <x v="7"/>
    <x v="1"/>
    <s v="Lot Russie"/>
    <s v="-"/>
    <m/>
    <s v="oui"/>
    <s v="60% Merlot std (NP81) + 40% Merlot Castel (114) + 4 g/L MCR"/>
    <n v="2"/>
    <n v="0.75"/>
    <n v="1.5"/>
  </r>
  <r>
    <d v="2017-01-09T00:00:00"/>
    <x v="11"/>
    <s v="-"/>
    <x v="0"/>
    <x v="1"/>
    <x v="0"/>
    <s v="classique"/>
    <n v="401"/>
    <m/>
    <s v="oui"/>
    <m/>
    <n v="2"/>
    <n v="0.75"/>
    <n v="1.5"/>
  </r>
  <r>
    <d v="2017-01-09T00:00:00"/>
    <x v="22"/>
    <s v="-"/>
    <x v="0"/>
    <x v="6"/>
    <x v="1"/>
    <s v="Lot Terret 2"/>
    <n v="321"/>
    <m/>
    <s v="oui"/>
    <m/>
    <n v="2"/>
    <n v="0.75"/>
    <n v="1.5"/>
  </r>
  <r>
    <d v="2017-01-09T00:00:00"/>
    <x v="5"/>
    <s v="-"/>
    <x v="0"/>
    <x v="17"/>
    <x v="0"/>
    <s v="Lot Thau blanc"/>
    <s v="-"/>
    <m/>
    <s v="oui"/>
    <m/>
    <n v="1"/>
    <n v="0.75"/>
    <n v="0.75"/>
  </r>
  <r>
    <d v="2017-01-10T00:00:00"/>
    <x v="1"/>
    <s v="SP Wines"/>
    <x v="0"/>
    <x v="1"/>
    <x v="0"/>
    <s v="variétal"/>
    <n v="423"/>
    <m/>
    <s v="oui"/>
    <m/>
    <n v="7"/>
    <n v="0.75"/>
    <n v="5.25"/>
  </r>
  <r>
    <d v="2017-01-10T00:00:00"/>
    <x v="1"/>
    <s v="SP Wines"/>
    <x v="0"/>
    <x v="0"/>
    <x v="0"/>
    <s v="riche"/>
    <n v="411"/>
    <m/>
    <s v="oui"/>
    <m/>
    <n v="7"/>
    <n v="0.75"/>
    <n v="5.25"/>
  </r>
  <r>
    <d v="2017-01-10T00:00:00"/>
    <x v="1"/>
    <s v="SP Wines"/>
    <x v="0"/>
    <x v="0"/>
    <x v="0"/>
    <s v="supérieur"/>
    <n v="94"/>
    <m/>
    <s v="oui"/>
    <m/>
    <n v="7"/>
    <n v="0.75"/>
    <n v="5.25"/>
  </r>
  <r>
    <d v="2017-01-10T00:00:00"/>
    <x v="6"/>
    <s v="Vailhere Pascal"/>
    <x v="0"/>
    <x v="3"/>
    <x v="0"/>
    <s v="Petit degré"/>
    <n v="194"/>
    <m/>
    <s v="oui"/>
    <m/>
    <n v="2"/>
    <n v="0.75"/>
    <n v="1.5"/>
  </r>
  <r>
    <d v="2017-01-10T00:00:00"/>
    <x v="6"/>
    <s v="Vailhere Pascal"/>
    <x v="0"/>
    <x v="3"/>
    <x v="0"/>
    <s v="Standart"/>
    <n v="30"/>
    <m/>
    <s v="oui"/>
    <m/>
    <n v="1"/>
    <n v="5"/>
    <n v="5"/>
  </r>
  <r>
    <d v="2017-01-10T00:00:00"/>
    <x v="6"/>
    <s v="Vailhere Pascal"/>
    <x v="1"/>
    <x v="13"/>
    <x v="0"/>
    <s v="-"/>
    <n v="302"/>
    <m/>
    <s v="oui"/>
    <m/>
    <n v="2"/>
    <n v="0.75"/>
    <n v="1.5"/>
  </r>
  <r>
    <d v="2017-01-10T00:00:00"/>
    <x v="6"/>
    <s v="Vailhere Pascal"/>
    <x v="1"/>
    <x v="13"/>
    <x v="0"/>
    <s v="-"/>
    <n v="312"/>
    <m/>
    <s v="oui"/>
    <m/>
    <n v="2"/>
    <n v="0.75"/>
    <n v="1.5"/>
  </r>
  <r>
    <d v="2017-01-10T00:00:00"/>
    <x v="6"/>
    <s v="Vailhere Pascal"/>
    <x v="0"/>
    <x v="1"/>
    <x v="0"/>
    <s v="classique"/>
    <n v="401"/>
    <m/>
    <s v="oui"/>
    <m/>
    <n v="2"/>
    <n v="0.75"/>
    <n v="1.5"/>
  </r>
  <r>
    <d v="2017-01-10T00:00:00"/>
    <x v="1"/>
    <s v="SP Wines"/>
    <x v="2"/>
    <x v="13"/>
    <x v="0"/>
    <s v="CSR"/>
    <n v="138"/>
    <m/>
    <s v="oui"/>
    <m/>
    <n v="2"/>
    <n v="0.75"/>
    <n v="1.5"/>
  </r>
  <r>
    <d v="2017-01-10T00:00:00"/>
    <x v="1"/>
    <s v="SP Wines"/>
    <x v="0"/>
    <x v="0"/>
    <x v="0"/>
    <s v="supérieur"/>
    <n v="94"/>
    <m/>
    <s v="oui"/>
    <m/>
    <n v="2"/>
    <n v="0.75"/>
    <n v="1.5"/>
  </r>
  <r>
    <d v="2017-01-10T00:00:00"/>
    <x v="1"/>
    <s v="SP Wines"/>
    <x v="0"/>
    <x v="0"/>
    <x v="0"/>
    <s v="riche"/>
    <n v="411"/>
    <m/>
    <s v="oui"/>
    <m/>
    <n v="2"/>
    <n v="0.75"/>
    <n v="1.5"/>
  </r>
  <r>
    <d v="2017-01-11T00:00:00"/>
    <x v="15"/>
    <s v="René Jeanjean"/>
    <x v="0"/>
    <x v="1"/>
    <x v="0"/>
    <s v="supérieur"/>
    <n v="56"/>
    <m/>
    <s v="oui"/>
    <m/>
    <n v="4"/>
    <n v="0.75"/>
    <n v="3"/>
  </r>
  <r>
    <d v="2017-01-11T00:00:00"/>
    <x v="15"/>
    <s v="René Jeanjean"/>
    <x v="0"/>
    <x v="1"/>
    <x v="0"/>
    <s v="variétal"/>
    <n v="423"/>
    <m/>
    <s v="oui"/>
    <m/>
    <n v="4"/>
    <n v="0.75"/>
    <n v="3"/>
  </r>
  <r>
    <d v="2017-01-11T00:00:00"/>
    <x v="15"/>
    <s v="René Jeanjean"/>
    <x v="0"/>
    <x v="2"/>
    <x v="0"/>
    <s v="-"/>
    <n v="424"/>
    <m/>
    <s v="oui"/>
    <m/>
    <n v="2"/>
    <n v="0.75"/>
    <n v="1.5"/>
  </r>
  <r>
    <d v="2017-01-11T00:00:00"/>
    <x v="9"/>
    <s v="Jacques Woloviek"/>
    <x v="0"/>
    <x v="1"/>
    <x v="0"/>
    <s v="classique"/>
    <n v="401"/>
    <m/>
    <s v="oui"/>
    <m/>
    <n v="2"/>
    <n v="0.75"/>
    <n v="1.5"/>
  </r>
  <r>
    <d v="2017-01-11T00:00:00"/>
    <x v="9"/>
    <s v="Jacques Woloviek"/>
    <x v="0"/>
    <x v="20"/>
    <x v="0"/>
    <s v="189+10"/>
    <s v="-"/>
    <m/>
    <s v="oui"/>
    <m/>
    <n v="2"/>
    <n v="0.75"/>
    <n v="1.5"/>
  </r>
  <r>
    <d v="2017-01-11T00:00:00"/>
    <x v="9"/>
    <s v="Jacques Woloviek"/>
    <x v="0"/>
    <x v="6"/>
    <x v="0"/>
    <s v="Oc blanc"/>
    <n v="419"/>
    <m/>
    <s v="oui"/>
    <m/>
    <n v="2"/>
    <n v="0.75"/>
    <n v="1.5"/>
  </r>
  <r>
    <d v="2017-01-11T00:00:00"/>
    <x v="9"/>
    <s v="Jacques Woloviek"/>
    <x v="0"/>
    <x v="0"/>
    <x v="0"/>
    <s v="flatteur"/>
    <n v="14"/>
    <m/>
    <s v="oui"/>
    <m/>
    <n v="2"/>
    <n v="0.75"/>
    <n v="1.5"/>
  </r>
  <r>
    <d v="2017-01-11T00:00:00"/>
    <x v="9"/>
    <s v="Jacques Woloviek"/>
    <x v="0"/>
    <x v="0"/>
    <x v="0"/>
    <s v="riche"/>
    <n v="411"/>
    <m/>
    <s v="oui"/>
    <m/>
    <n v="2"/>
    <n v="0.75"/>
    <n v="1.5"/>
  </r>
  <r>
    <d v="2017-01-11T00:00:00"/>
    <x v="9"/>
    <s v="Jacques Woloviek"/>
    <x v="0"/>
    <x v="0"/>
    <x v="0"/>
    <s v="Petit degré"/>
    <n v="313"/>
    <m/>
    <s v="oui"/>
    <m/>
    <n v="2"/>
    <n v="0.75"/>
    <n v="1.5"/>
  </r>
  <r>
    <d v="2017-01-11T00:00:00"/>
    <x v="9"/>
    <s v="Jacques Woloviek"/>
    <x v="0"/>
    <x v="2"/>
    <x v="0"/>
    <s v="-"/>
    <n v="424"/>
    <m/>
    <s v="oui"/>
    <m/>
    <n v="2"/>
    <n v="0.75"/>
    <n v="1.5"/>
  </r>
  <r>
    <d v="2017-01-11T00:00:00"/>
    <x v="9"/>
    <s v="Jacques Woloviek"/>
    <x v="0"/>
    <x v="2"/>
    <x v="0"/>
    <s v="Lot JJ1"/>
    <s v="-"/>
    <m/>
    <s v="oui"/>
    <m/>
    <n v="2"/>
    <n v="0.75"/>
    <n v="1.5"/>
  </r>
  <r>
    <d v="2017-01-11T00:00:00"/>
    <x v="9"/>
    <s v="Jacques Woloviek"/>
    <x v="0"/>
    <x v="3"/>
    <x v="0"/>
    <s v="-"/>
    <n v="54"/>
    <m/>
    <s v="oui"/>
    <m/>
    <n v="2"/>
    <n v="0.75"/>
    <n v="1.5"/>
  </r>
  <r>
    <d v="2017-01-11T00:00:00"/>
    <x v="9"/>
    <s v="Jacques Woloviek"/>
    <x v="0"/>
    <x v="3"/>
    <x v="0"/>
    <s v="-"/>
    <n v="184"/>
    <m/>
    <s v="oui"/>
    <m/>
    <n v="2"/>
    <n v="0.75"/>
    <n v="1.5"/>
  </r>
  <r>
    <d v="2017-01-11T00:00:00"/>
    <x v="9"/>
    <s v="Jacques Woloviek"/>
    <x v="1"/>
    <x v="5"/>
    <x v="0"/>
    <s v="-"/>
    <n v="129"/>
    <m/>
    <s v="oui"/>
    <m/>
    <n v="2"/>
    <n v="0.75"/>
    <n v="1.5"/>
  </r>
  <r>
    <d v="2017-01-11T00:00:00"/>
    <x v="9"/>
    <s v="Jacques Woloviek"/>
    <x v="1"/>
    <x v="22"/>
    <x v="0"/>
    <s v="Lot Oc Rosé"/>
    <n v="413"/>
    <m/>
    <s v="oui"/>
    <m/>
    <n v="2"/>
    <n v="0.75"/>
    <n v="1.5"/>
  </r>
  <r>
    <d v="2017-01-11T00:00:00"/>
    <x v="9"/>
    <s v="Jacques Woloviek"/>
    <x v="1"/>
    <x v="7"/>
    <x v="0"/>
    <s v="Lot GCF"/>
    <n v="26"/>
    <m/>
    <s v="oui"/>
    <m/>
    <n v="2"/>
    <n v="0.75"/>
    <n v="1.5"/>
  </r>
  <r>
    <d v="2017-01-11T00:00:00"/>
    <x v="9"/>
    <s v="Jacques Woloviek"/>
    <x v="1"/>
    <x v="13"/>
    <x v="0"/>
    <s v="-"/>
    <n v="312"/>
    <m/>
    <s v="oui"/>
    <m/>
    <n v="2"/>
    <n v="0.75"/>
    <n v="1.5"/>
  </r>
  <r>
    <d v="2017-01-11T00:00:00"/>
    <x v="9"/>
    <s v="Jacques Woloviek"/>
    <x v="1"/>
    <x v="4"/>
    <x v="0"/>
    <s v="-"/>
    <n v="84"/>
    <m/>
    <s v="oui"/>
    <m/>
    <n v="2"/>
    <n v="0.75"/>
    <n v="1.5"/>
  </r>
  <r>
    <d v="2017-01-11T00:00:00"/>
    <x v="9"/>
    <s v="Jacques Woloviek"/>
    <x v="2"/>
    <x v="4"/>
    <x v="0"/>
    <s v="Lot Syrah"/>
    <s v="-"/>
    <m/>
    <s v="oui"/>
    <m/>
    <n v="2"/>
    <n v="0.75"/>
    <n v="1.5"/>
  </r>
  <r>
    <d v="2017-01-11T00:00:00"/>
    <x v="9"/>
    <s v="Jacques Woloviek"/>
    <x v="2"/>
    <x v="7"/>
    <x v="0"/>
    <s v="Lot MR"/>
    <s v="-"/>
    <m/>
    <s v="oui"/>
    <m/>
    <n v="2"/>
    <n v="0.75"/>
    <n v="1.5"/>
  </r>
  <r>
    <d v="2017-01-11T00:00:00"/>
    <x v="9"/>
    <s v="Jacques Woloviek"/>
    <x v="2"/>
    <x v="13"/>
    <x v="0"/>
    <s v="Lot Cabernet"/>
    <n v="138"/>
    <m/>
    <s v="oui"/>
    <m/>
    <n v="2"/>
    <n v="0.75"/>
    <n v="1.5"/>
  </r>
  <r>
    <d v="2017-01-12T00:00:00"/>
    <x v="1"/>
    <s v="Olivier Castillo"/>
    <x v="0"/>
    <x v="0"/>
    <x v="0"/>
    <s v="flatteur"/>
    <n v="14"/>
    <m/>
    <s v="oui"/>
    <m/>
    <n v="4"/>
    <n v="0.75"/>
    <n v="3"/>
  </r>
  <r>
    <d v="2017-01-12T00:00:00"/>
    <x v="1"/>
    <s v="Olivier Castillo"/>
    <x v="0"/>
    <x v="0"/>
    <x v="0"/>
    <s v="riche"/>
    <n v="411"/>
    <m/>
    <s v="oui"/>
    <m/>
    <n v="4"/>
    <n v="0.75"/>
    <n v="3"/>
  </r>
  <r>
    <d v="2017-01-12T00:00:00"/>
    <x v="2"/>
    <s v="-"/>
    <x v="0"/>
    <x v="0"/>
    <x v="0"/>
    <s v="flatteur"/>
    <n v="14"/>
    <m/>
    <s v="oui"/>
    <m/>
    <n v="4"/>
    <n v="0.75"/>
    <n v="3"/>
  </r>
  <r>
    <d v="2017-01-12T00:00:00"/>
    <x v="2"/>
    <s v="-"/>
    <x v="0"/>
    <x v="2"/>
    <x v="0"/>
    <s v="-"/>
    <n v="424"/>
    <m/>
    <s v="oui"/>
    <m/>
    <n v="4"/>
    <n v="0.75"/>
    <n v="3"/>
  </r>
  <r>
    <d v="2017-01-12T00:00:00"/>
    <x v="9"/>
    <s v="Jacques Woloviek"/>
    <x v="0"/>
    <x v="0"/>
    <x v="0"/>
    <s v="flatteur"/>
    <n v="14"/>
    <m/>
    <s v="oui"/>
    <m/>
    <n v="2"/>
    <n v="0.75"/>
    <n v="1.5"/>
  </r>
  <r>
    <d v="2017-01-12T00:00:00"/>
    <x v="9"/>
    <s v="Jacques Woloviek"/>
    <x v="0"/>
    <x v="0"/>
    <x v="0"/>
    <s v="riche"/>
    <n v="411"/>
    <m/>
    <s v="oui"/>
    <m/>
    <n v="2"/>
    <n v="0.75"/>
    <n v="1.5"/>
  </r>
  <r>
    <d v="2017-01-13T00:00:00"/>
    <x v="23"/>
    <s v="-"/>
    <x v="0"/>
    <x v="0"/>
    <x v="0"/>
    <s v="-"/>
    <n v="313"/>
    <m/>
    <s v="oui"/>
    <m/>
    <n v="2"/>
    <n v="0.75"/>
    <n v="1.5"/>
  </r>
  <r>
    <d v="2017-01-13T00:00:00"/>
    <x v="23"/>
    <s v="-"/>
    <x v="0"/>
    <x v="0"/>
    <x v="0"/>
    <s v="riche"/>
    <n v="411"/>
    <m/>
    <s v="oui"/>
    <m/>
    <n v="2"/>
    <n v="0.75"/>
    <n v="1.5"/>
  </r>
  <r>
    <d v="2017-01-13T00:00:00"/>
    <x v="23"/>
    <s v="-"/>
    <x v="0"/>
    <x v="2"/>
    <x v="0"/>
    <s v="-"/>
    <n v="424"/>
    <m/>
    <s v="oui"/>
    <m/>
    <n v="2"/>
    <n v="0.75"/>
    <n v="1.5"/>
  </r>
  <r>
    <d v="2017-01-13T00:00:00"/>
    <x v="23"/>
    <s v="-"/>
    <x v="0"/>
    <x v="2"/>
    <x v="0"/>
    <s v="Lot Viognier NR"/>
    <s v="-"/>
    <m/>
    <s v="oui"/>
    <s v="15% 315 + 85% 85"/>
    <n v="2"/>
    <n v="0.75"/>
    <n v="1.5"/>
  </r>
  <r>
    <d v="2017-01-13T00:00:00"/>
    <x v="23"/>
    <s v="-"/>
    <x v="0"/>
    <x v="3"/>
    <x v="0"/>
    <s v="-"/>
    <n v="184"/>
    <m/>
    <s v="oui"/>
    <s v="15% 315 + 85% 54"/>
    <n v="2"/>
    <n v="0.75"/>
    <n v="1.5"/>
  </r>
  <r>
    <d v="2017-01-13T00:00:00"/>
    <x v="23"/>
    <s v="-"/>
    <x v="0"/>
    <x v="10"/>
    <x v="0"/>
    <s v="Lot Oc Rosé"/>
    <n v="413"/>
    <m/>
    <s v="oui"/>
    <m/>
    <n v="2"/>
    <n v="0.75"/>
    <n v="1.5"/>
  </r>
  <r>
    <d v="2017-01-13T00:00:00"/>
    <x v="1"/>
    <s v="San Nicolas"/>
    <x v="0"/>
    <x v="0"/>
    <x v="0"/>
    <s v="supérieur"/>
    <n v="94"/>
    <m/>
    <s v="oui"/>
    <m/>
    <n v="2"/>
    <n v="0.75"/>
    <n v="1.5"/>
  </r>
  <r>
    <d v="2017-01-13T00:00:00"/>
    <x v="1"/>
    <s v="San Nicolas"/>
    <x v="0"/>
    <x v="0"/>
    <x v="0"/>
    <s v="flatteur"/>
    <n v="14"/>
    <m/>
    <s v="oui"/>
    <m/>
    <n v="2"/>
    <n v="0.75"/>
    <n v="1.5"/>
  </r>
  <r>
    <d v="2017-01-13T00:00:00"/>
    <x v="1"/>
    <s v="San Nicolas"/>
    <x v="0"/>
    <x v="0"/>
    <x v="0"/>
    <s v="riche"/>
    <n v="411"/>
    <m/>
    <s v="oui"/>
    <m/>
    <n v="2"/>
    <n v="0.75"/>
    <n v="1.5"/>
  </r>
  <r>
    <d v="2017-01-13T00:00:00"/>
    <x v="1"/>
    <s v="San Nicolas"/>
    <x v="0"/>
    <x v="0"/>
    <x v="0"/>
    <s v="-"/>
    <n v="313"/>
    <m/>
    <s v="oui"/>
    <m/>
    <n v="2"/>
    <n v="0.75"/>
    <n v="1.5"/>
  </r>
  <r>
    <d v="2017-01-13T00:00:00"/>
    <x v="1"/>
    <s v="San Nicolas"/>
    <x v="0"/>
    <x v="1"/>
    <x v="0"/>
    <s v="classique"/>
    <n v="401"/>
    <m/>
    <s v="oui"/>
    <m/>
    <n v="2"/>
    <n v="0.75"/>
    <n v="1.5"/>
  </r>
  <r>
    <d v="2017-01-13T00:00:00"/>
    <x v="23"/>
    <s v="-"/>
    <x v="1"/>
    <x v="4"/>
    <x v="0"/>
    <s v="-"/>
    <n v="84"/>
    <m/>
    <s v="oui"/>
    <m/>
    <n v="2"/>
    <n v="0.75"/>
    <n v="1.5"/>
  </r>
  <r>
    <d v="2017-01-13T00:00:00"/>
    <x v="1"/>
    <s v="San Nicolas"/>
    <x v="1"/>
    <x v="4"/>
    <x v="0"/>
    <s v="-"/>
    <n v="84"/>
    <m/>
    <s v="oui"/>
    <m/>
    <n v="2"/>
    <n v="0.75"/>
    <n v="1.5"/>
  </r>
  <r>
    <d v="2017-01-13T00:00:00"/>
    <x v="1"/>
    <s v="San Nicolas"/>
    <x v="0"/>
    <x v="22"/>
    <x v="0"/>
    <s v="Oc Blanc"/>
    <n v="419"/>
    <m/>
    <s v="oui"/>
    <m/>
    <n v="2"/>
    <n v="0.75"/>
    <n v="1.5"/>
  </r>
  <r>
    <d v="2017-01-16T00:00:00"/>
    <x v="2"/>
    <s v="-"/>
    <x v="2"/>
    <x v="7"/>
    <x v="0"/>
    <s v="MRG"/>
    <s v="-"/>
    <m/>
    <s v="oui"/>
    <m/>
    <n v="6"/>
    <n v="0.75"/>
    <n v="4.5"/>
  </r>
  <r>
    <d v="2017-01-16T00:00:00"/>
    <x v="2"/>
    <s v="-"/>
    <x v="0"/>
    <x v="1"/>
    <x v="0"/>
    <s v="supérieur"/>
    <n v="56"/>
    <m/>
    <s v="oui"/>
    <m/>
    <n v="2"/>
    <n v="0.75"/>
    <n v="1.5"/>
  </r>
  <r>
    <d v="2017-01-16T00:00:00"/>
    <x v="2"/>
    <s v="-"/>
    <x v="0"/>
    <x v="1"/>
    <x v="0"/>
    <s v="variétal"/>
    <n v="423"/>
    <m/>
    <s v="oui"/>
    <m/>
    <n v="2"/>
    <n v="0.75"/>
    <n v="1.5"/>
  </r>
  <r>
    <d v="2017-01-16T00:00:00"/>
    <x v="1"/>
    <s v="JC Simon"/>
    <x v="2"/>
    <x v="7"/>
    <x v="0"/>
    <s v="MRG"/>
    <s v="-"/>
    <m/>
    <s v="oui"/>
    <m/>
    <n v="4"/>
    <n v="0.75"/>
    <n v="3"/>
  </r>
  <r>
    <d v="2017-01-16T00:00:00"/>
    <x v="1"/>
    <s v="JC Simon"/>
    <x v="0"/>
    <x v="6"/>
    <x v="0"/>
    <s v="Oc Blanc"/>
    <n v="419"/>
    <m/>
    <s v="oui"/>
    <m/>
    <n v="3"/>
    <n v="0.75"/>
    <n v="2.25"/>
  </r>
  <r>
    <d v="2017-01-16T00:00:00"/>
    <x v="1"/>
    <s v="JC Simon"/>
    <x v="0"/>
    <x v="0"/>
    <x v="0"/>
    <s v="supérieur"/>
    <n v="94"/>
    <m/>
    <s v="oui"/>
    <m/>
    <n v="3"/>
    <n v="0.75"/>
    <n v="2.25"/>
  </r>
  <r>
    <d v="2017-01-16T00:00:00"/>
    <x v="1"/>
    <s v="JC Simon"/>
    <x v="1"/>
    <x v="10"/>
    <x v="0"/>
    <s v="Lot Oc Rosé"/>
    <n v="413"/>
    <m/>
    <s v="oui"/>
    <m/>
    <n v="3"/>
    <n v="0.75"/>
    <n v="2.25"/>
  </r>
  <r>
    <d v="2017-01-16T00:00:00"/>
    <x v="5"/>
    <s v="-"/>
    <x v="1"/>
    <x v="7"/>
    <x v="0"/>
    <s v="Lot GCF"/>
    <n v="412"/>
    <m/>
    <s v="oui"/>
    <m/>
    <n v="4"/>
    <n v="0.75"/>
    <n v="3"/>
  </r>
  <r>
    <d v="2017-01-16T00:00:00"/>
    <x v="1"/>
    <s v="JC Simon"/>
    <x v="0"/>
    <x v="1"/>
    <x v="0"/>
    <s v="classique"/>
    <n v="401"/>
    <m/>
    <s v="oui"/>
    <m/>
    <n v="3"/>
    <n v="0.75"/>
    <n v="2.25"/>
  </r>
  <r>
    <d v="2017-01-16T00:00:00"/>
    <x v="1"/>
    <s v="JC Simon"/>
    <x v="0"/>
    <x v="2"/>
    <x v="0"/>
    <s v="-"/>
    <n v="424"/>
    <m/>
    <s v="oui"/>
    <m/>
    <n v="3"/>
    <n v="0.75"/>
    <n v="2.25"/>
  </r>
  <r>
    <d v="2017-01-16T00:00:00"/>
    <x v="1"/>
    <s v="JC Simon"/>
    <x v="2"/>
    <x v="13"/>
    <x v="0"/>
    <s v="Lot Cabernet"/>
    <n v="138"/>
    <m/>
    <s v="oui"/>
    <m/>
    <n v="3"/>
    <n v="0.75"/>
    <n v="2.25"/>
  </r>
  <r>
    <d v="2017-01-16T00:00:00"/>
    <x v="1"/>
    <s v="JC Simon"/>
    <x v="0"/>
    <x v="20"/>
    <x v="0"/>
    <s v="-"/>
    <n v="10"/>
    <m/>
    <s v="oui"/>
    <m/>
    <n v="3"/>
    <n v="0.75"/>
    <n v="2.25"/>
  </r>
  <r>
    <d v="2017-01-16T00:00:00"/>
    <x v="5"/>
    <s v="-"/>
    <x v="0"/>
    <x v="24"/>
    <x v="0"/>
    <s v="Lot GCF"/>
    <s v="-"/>
    <m/>
    <s v="oui"/>
    <m/>
    <n v="3"/>
    <n v="0.75"/>
    <n v="2.25"/>
  </r>
  <r>
    <d v="2017-01-16T00:00:00"/>
    <x v="1"/>
    <s v="JC Simon"/>
    <x v="2"/>
    <x v="4"/>
    <x v="0"/>
    <s v="Syrah"/>
    <s v="-"/>
    <m/>
    <s v="oui"/>
    <m/>
    <n v="4"/>
    <n v="0.75"/>
    <n v="3"/>
  </r>
  <r>
    <d v="2017-01-16T00:00:00"/>
    <x v="5"/>
    <s v="-"/>
    <x v="0"/>
    <x v="17"/>
    <x v="0"/>
    <s v="Lot GCF"/>
    <s v="-"/>
    <m/>
    <s v="oui"/>
    <m/>
    <n v="3"/>
    <n v="0.75"/>
    <n v="2.25"/>
  </r>
  <r>
    <d v="2017-01-17T00:00:00"/>
    <x v="3"/>
    <s v="-"/>
    <x v="0"/>
    <x v="0"/>
    <x v="0"/>
    <s v="supérieur"/>
    <n v="94"/>
    <m/>
    <s v="oui"/>
    <m/>
    <n v="4"/>
    <n v="0.75"/>
    <n v="3"/>
  </r>
  <r>
    <d v="2017-01-17T00:00:00"/>
    <x v="3"/>
    <s v="-"/>
    <x v="0"/>
    <x v="0"/>
    <x v="0"/>
    <s v="riche"/>
    <n v="411"/>
    <m/>
    <s v="oui"/>
    <m/>
    <n v="4"/>
    <n v="0.75"/>
    <n v="3"/>
  </r>
  <r>
    <d v="2017-01-17T00:00:00"/>
    <x v="3"/>
    <s v="-"/>
    <x v="0"/>
    <x v="1"/>
    <x v="0"/>
    <s v="variétal"/>
    <n v="423"/>
    <m/>
    <s v="oui"/>
    <m/>
    <n v="4"/>
    <n v="0.75"/>
    <n v="3"/>
  </r>
  <r>
    <d v="2017-01-18T00:00:00"/>
    <x v="1"/>
    <s v="Olivier Castillo"/>
    <x v="0"/>
    <x v="1"/>
    <x v="0"/>
    <s v="classique"/>
    <n v="401"/>
    <m/>
    <s v="oui"/>
    <m/>
    <n v="2"/>
    <n v="0.75"/>
    <n v="1.5"/>
  </r>
  <r>
    <d v="2017-01-18T00:00:00"/>
    <x v="1"/>
    <s v="Olivier Castillo"/>
    <x v="0"/>
    <x v="0"/>
    <x v="0"/>
    <s v="riche"/>
    <n v="411"/>
    <m/>
    <s v="oui"/>
    <m/>
    <n v="2"/>
    <n v="0.75"/>
    <n v="1.5"/>
  </r>
  <r>
    <d v="2017-01-18T00:00:00"/>
    <x v="1"/>
    <s v="Olivier Castillo"/>
    <x v="0"/>
    <x v="0"/>
    <x v="0"/>
    <s v="supérieur"/>
    <n v="94"/>
    <m/>
    <s v="oui"/>
    <m/>
    <n v="2"/>
    <n v="0.75"/>
    <n v="1.5"/>
  </r>
  <r>
    <d v="2017-01-18T00:00:00"/>
    <x v="1"/>
    <s v="Didier Saint Vigne"/>
    <x v="0"/>
    <x v="31"/>
    <x v="0"/>
    <s v="Oc blanc"/>
    <n v="419"/>
    <m/>
    <s v="oui"/>
    <m/>
    <n v="2"/>
    <n v="0.75"/>
    <n v="1.5"/>
  </r>
  <r>
    <d v="2017-01-18T00:00:00"/>
    <x v="1"/>
    <s v="Didier Saint Vigne"/>
    <x v="0"/>
    <x v="0"/>
    <x v="0"/>
    <s v="-"/>
    <n v="313"/>
    <m/>
    <s v="oui"/>
    <m/>
    <n v="2"/>
    <n v="0.75"/>
    <n v="1.5"/>
  </r>
  <r>
    <d v="2017-01-18T00:00:00"/>
    <x v="1"/>
    <s v="Didier Saint Vigne"/>
    <x v="0"/>
    <x v="0"/>
    <x v="0"/>
    <s v="flatteur"/>
    <n v="14"/>
    <m/>
    <s v="oui"/>
    <m/>
    <n v="2"/>
    <n v="0.75"/>
    <n v="1.5"/>
  </r>
  <r>
    <d v="2017-01-18T00:00:00"/>
    <x v="1"/>
    <s v="Didier Saint Vigne"/>
    <x v="0"/>
    <x v="0"/>
    <x v="0"/>
    <s v="riche"/>
    <n v="411"/>
    <m/>
    <s v="oui"/>
    <m/>
    <n v="2"/>
    <n v="0.75"/>
    <n v="1.5"/>
  </r>
  <r>
    <d v="2017-01-18T00:00:00"/>
    <x v="1"/>
    <s v="Didier Saint Vigne"/>
    <x v="0"/>
    <x v="0"/>
    <x v="0"/>
    <s v="supérieur"/>
    <n v="94"/>
    <m/>
    <s v="oui"/>
    <m/>
    <n v="2"/>
    <n v="0.75"/>
    <n v="1.5"/>
  </r>
  <r>
    <d v="2017-01-18T00:00:00"/>
    <x v="1"/>
    <s v="Didier Saint Vigne"/>
    <x v="2"/>
    <x v="13"/>
    <x v="0"/>
    <s v="CSR"/>
    <n v="138"/>
    <m/>
    <s v="oui"/>
    <m/>
    <n v="2"/>
    <n v="0.75"/>
    <n v="1.5"/>
  </r>
  <r>
    <d v="2017-01-18T00:00:00"/>
    <x v="1"/>
    <s v="Didier Saint Vigne"/>
    <x v="2"/>
    <x v="4"/>
    <x v="0"/>
    <s v="Lot Syrah"/>
    <s v="-"/>
    <m/>
    <s v="oui"/>
    <m/>
    <n v="2"/>
    <n v="0.75"/>
    <n v="1.5"/>
  </r>
  <r>
    <d v="2017-01-19T00:00:00"/>
    <x v="4"/>
    <s v="-"/>
    <x v="0"/>
    <x v="1"/>
    <x v="0"/>
    <s v="variétal"/>
    <n v="423"/>
    <m/>
    <s v="oui"/>
    <m/>
    <n v="5"/>
    <n v="0.75"/>
    <n v="3.75"/>
  </r>
  <r>
    <d v="2017-01-20T00:00:00"/>
    <x v="1"/>
    <s v="Gilles Lambert"/>
    <x v="0"/>
    <x v="0"/>
    <x v="0"/>
    <s v="riche"/>
    <n v="49"/>
    <m/>
    <s v="oui"/>
    <m/>
    <n v="1"/>
    <n v="0.75"/>
    <n v="0.75"/>
  </r>
  <r>
    <d v="2017-01-20T00:00:00"/>
    <x v="1"/>
    <s v="Gilles Lambert"/>
    <x v="0"/>
    <x v="0"/>
    <x v="0"/>
    <s v="Petit degré"/>
    <n v="313"/>
    <m/>
    <s v="oui"/>
    <m/>
    <n v="1"/>
    <n v="0.75"/>
    <n v="0.75"/>
  </r>
  <r>
    <d v="2017-01-23T00:00:00"/>
    <x v="2"/>
    <s v="-"/>
    <x v="0"/>
    <x v="3"/>
    <x v="0"/>
    <s v="Mu"/>
    <s v="-"/>
    <m/>
    <s v="oui"/>
    <s v="60% 184 + 40 % 54"/>
    <n v="2"/>
    <n v="0.75"/>
    <n v="1.5"/>
  </r>
  <r>
    <d v="2017-01-23T00:00:00"/>
    <x v="2"/>
    <s v="-"/>
    <x v="0"/>
    <x v="6"/>
    <x v="0"/>
    <s v="Oc blanc"/>
    <n v="419"/>
    <m/>
    <s v="oui"/>
    <m/>
    <n v="2"/>
    <n v="0.75"/>
    <n v="1.5"/>
  </r>
  <r>
    <d v="2017-01-23T00:00:00"/>
    <x v="2"/>
    <s v="-"/>
    <x v="2"/>
    <x v="7"/>
    <x v="0"/>
    <s v="MRG"/>
    <s v="-"/>
    <m/>
    <s v="oui"/>
    <m/>
    <n v="4"/>
    <n v="0.75"/>
    <n v="3"/>
  </r>
  <r>
    <d v="2017-01-23T00:00:00"/>
    <x v="2"/>
    <s v="-"/>
    <x v="2"/>
    <x v="13"/>
    <x v="0"/>
    <s v="Lot Cabernet"/>
    <n v="142"/>
    <m/>
    <s v="oui"/>
    <m/>
    <n v="4"/>
    <n v="0.75"/>
    <n v="3"/>
  </r>
  <r>
    <d v="2017-01-23T00:00:00"/>
    <x v="1"/>
    <s v="Olivier Castillo"/>
    <x v="1"/>
    <x v="5"/>
    <x v="0"/>
    <s v="-"/>
    <s v="-"/>
    <m/>
    <s v="oui"/>
    <s v="200 hL PN + 50 hL Grenache 16"/>
    <n v="3"/>
    <n v="0.75"/>
    <n v="2.25"/>
  </r>
  <r>
    <d v="2017-01-24T00:00:00"/>
    <x v="13"/>
    <s v="-"/>
    <x v="0"/>
    <x v="32"/>
    <x v="0"/>
    <s v="Lot Jeantet"/>
    <s v="-"/>
    <m/>
    <s v="oui"/>
    <s v="50 % Vio + 50 % Rouss Mars"/>
    <n v="4"/>
    <n v="0.75"/>
    <n v="3"/>
  </r>
  <r>
    <d v="2017-01-24T00:00:00"/>
    <x v="2"/>
    <s v="-"/>
    <x v="0"/>
    <x v="3"/>
    <x v="0"/>
    <s v="Mu"/>
    <s v="-"/>
    <m/>
    <s v="oui"/>
    <s v="60% 184 + 40 % 54"/>
    <n v="2"/>
    <n v="0.75"/>
    <n v="1.5"/>
  </r>
  <r>
    <d v="2017-01-30T00:00:00"/>
    <x v="11"/>
    <s v="-"/>
    <x v="0"/>
    <x v="16"/>
    <x v="0"/>
    <s v="Oc blanc"/>
    <n v="419"/>
    <m/>
    <s v="oui"/>
    <m/>
    <n v="3"/>
    <n v="0.75"/>
    <n v="2.25"/>
  </r>
  <r>
    <d v="2017-01-30T00:00:00"/>
    <x v="2"/>
    <s v="-"/>
    <x v="0"/>
    <x v="2"/>
    <x v="0"/>
    <s v="-"/>
    <n v="21"/>
    <m/>
    <s v="oui"/>
    <m/>
    <n v="2"/>
    <n v="0.75"/>
    <n v="1.5"/>
  </r>
  <r>
    <d v="2017-01-30T00:00:00"/>
    <x v="2"/>
    <s v="-"/>
    <x v="0"/>
    <x v="0"/>
    <x v="0"/>
    <s v="flatteur"/>
    <n v="7"/>
    <m/>
    <s v="oui"/>
    <m/>
    <n v="2"/>
    <n v="0.75"/>
    <n v="1.5"/>
  </r>
  <r>
    <d v="2017-01-30T00:00:00"/>
    <x v="2"/>
    <s v="-"/>
    <x v="1"/>
    <x v="19"/>
    <x v="0"/>
    <s v="-"/>
    <n v="16"/>
    <m/>
    <s v="oui"/>
    <m/>
    <n v="2"/>
    <n v="0.75"/>
    <n v="1.5"/>
  </r>
  <r>
    <d v="2017-01-30T00:00:00"/>
    <x v="15"/>
    <s v="René Jeanjean"/>
    <x v="0"/>
    <x v="1"/>
    <x v="0"/>
    <s v="variétal"/>
    <n v="423"/>
    <m/>
    <s v="oui"/>
    <m/>
    <n v="4"/>
    <n v="0.75"/>
    <n v="3"/>
  </r>
  <r>
    <d v="2017-01-30T00:00:00"/>
    <x v="15"/>
    <s v="René Jeanjean"/>
    <x v="0"/>
    <x v="1"/>
    <x v="0"/>
    <s v="supérieur"/>
    <n v="56"/>
    <m/>
    <s v="oui"/>
    <m/>
    <n v="4"/>
    <n v="0.75"/>
    <n v="3"/>
  </r>
  <r>
    <d v="2017-01-30T00:00:00"/>
    <x v="15"/>
    <s v="René Jeanjean"/>
    <x v="0"/>
    <x v="2"/>
    <x v="0"/>
    <s v="-"/>
    <n v="21"/>
    <m/>
    <s v="oui"/>
    <m/>
    <n v="1"/>
    <n v="0.75"/>
    <n v="0.75"/>
  </r>
  <r>
    <d v="2017-01-30T00:00:00"/>
    <x v="1"/>
    <s v="Gilles Lambert"/>
    <x v="0"/>
    <x v="0"/>
    <x v="0"/>
    <s v="flatteur"/>
    <n v="7"/>
    <m/>
    <s v="oui"/>
    <m/>
    <n v="1"/>
    <n v="0.75"/>
    <n v="0.75"/>
  </r>
  <r>
    <d v="2017-01-30T00:00:00"/>
    <x v="1"/>
    <s v="Gilles Lambert"/>
    <x v="0"/>
    <x v="0"/>
    <x v="0"/>
    <s v="Petit degré"/>
    <n v="313"/>
    <m/>
    <s v="oui"/>
    <m/>
    <n v="1"/>
    <n v="0.75"/>
    <n v="0.75"/>
  </r>
  <r>
    <d v="2017-01-30T00:00:00"/>
    <x v="1"/>
    <s v="Gilles Lambert"/>
    <x v="1"/>
    <x v="19"/>
    <x v="0"/>
    <s v="-"/>
    <n v="16"/>
    <m/>
    <s v="oui"/>
    <m/>
    <n v="1"/>
    <n v="0.75"/>
    <n v="0.75"/>
  </r>
  <r>
    <d v="2017-01-30T00:00:00"/>
    <x v="1"/>
    <s v="Gilles Lambert"/>
    <x v="2"/>
    <x v="7"/>
    <x v="0"/>
    <s v="Lot Merlot"/>
    <s v="-"/>
    <m/>
    <s v="oui"/>
    <m/>
    <n v="1"/>
    <n v="0.75"/>
    <n v="0.75"/>
  </r>
  <r>
    <d v="2017-01-31T00:00:00"/>
    <x v="10"/>
    <s v="-"/>
    <x v="0"/>
    <x v="16"/>
    <x v="0"/>
    <s v="Oc blanc"/>
    <n v="419"/>
    <m/>
    <s v="oui"/>
    <m/>
    <n v="1"/>
    <n v="0.75"/>
    <n v="0.75"/>
  </r>
  <r>
    <d v="2017-02-01T00:00:00"/>
    <x v="9"/>
    <s v="Jacques Woloviek"/>
    <x v="0"/>
    <x v="3"/>
    <x v="0"/>
    <s v="-"/>
    <n v="54"/>
    <m/>
    <s v="oui"/>
    <m/>
    <n v="4"/>
    <n v="0.75"/>
    <n v="3"/>
  </r>
  <r>
    <d v="2017-02-01T00:00:00"/>
    <x v="9"/>
    <s v="Jacques Woloviek"/>
    <x v="0"/>
    <x v="3"/>
    <x v="0"/>
    <s v="-"/>
    <n v="184"/>
    <m/>
    <s v="oui"/>
    <m/>
    <n v="4"/>
    <n v="0.75"/>
    <n v="3"/>
  </r>
  <r>
    <d v="2017-02-01T00:00:00"/>
    <x v="9"/>
    <s v="Jacques Woloviek"/>
    <x v="0"/>
    <x v="3"/>
    <x v="0"/>
    <s v="-"/>
    <n v="194"/>
    <m/>
    <s v="oui"/>
    <m/>
    <n v="4"/>
    <n v="0.75"/>
    <n v="3"/>
  </r>
  <r>
    <d v="2017-02-01T00:00:00"/>
    <x v="9"/>
    <s v="Jacques Woloviek"/>
    <x v="0"/>
    <x v="0"/>
    <x v="0"/>
    <s v="flatteur"/>
    <n v="48"/>
    <m/>
    <s v="oui"/>
    <m/>
    <n v="2"/>
    <n v="0.75"/>
    <n v="1.5"/>
  </r>
  <r>
    <d v="2017-02-01T00:00:00"/>
    <x v="9"/>
    <s v="Jacques Woloviek"/>
    <x v="0"/>
    <x v="0"/>
    <x v="0"/>
    <s v="riche"/>
    <n v="414"/>
    <m/>
    <s v="oui"/>
    <m/>
    <n v="2"/>
    <n v="0.75"/>
    <n v="1.5"/>
  </r>
  <r>
    <d v="2017-02-01T00:00:00"/>
    <x v="9"/>
    <s v="Jacques Woloviek"/>
    <x v="0"/>
    <x v="0"/>
    <x v="0"/>
    <s v="supérieur"/>
    <n v="89"/>
    <m/>
    <s v="oui"/>
    <m/>
    <n v="2"/>
    <n v="0.75"/>
    <n v="1.5"/>
  </r>
  <r>
    <d v="2017-02-01T00:00:00"/>
    <x v="9"/>
    <s v="Jacques Woloviek"/>
    <x v="0"/>
    <x v="0"/>
    <x v="0"/>
    <s v="Petit degré"/>
    <n v="313"/>
    <m/>
    <s v="oui"/>
    <m/>
    <n v="2"/>
    <n v="0.75"/>
    <n v="1.5"/>
  </r>
  <r>
    <d v="2017-02-02T00:00:00"/>
    <x v="20"/>
    <s v="-"/>
    <x v="0"/>
    <x v="0"/>
    <x v="0"/>
    <s v="bouteille"/>
    <s v="FK10"/>
    <m/>
    <s v="oui"/>
    <m/>
    <n v="12"/>
    <n v="0.75"/>
    <n v="9"/>
  </r>
  <r>
    <d v="2017-02-02T00:00:00"/>
    <x v="20"/>
    <s v="-"/>
    <x v="0"/>
    <x v="1"/>
    <x v="0"/>
    <s v="bouteille"/>
    <n v="17"/>
    <m/>
    <s v="oui"/>
    <m/>
    <n v="12"/>
    <n v="0.75"/>
    <n v="9"/>
  </r>
  <r>
    <d v="2017-02-02T00:00:00"/>
    <x v="20"/>
    <s v="-"/>
    <x v="0"/>
    <x v="2"/>
    <x v="0"/>
    <s v="bouteille"/>
    <n v="71"/>
    <m/>
    <s v="oui"/>
    <m/>
    <n v="6"/>
    <n v="0.75"/>
    <n v="4.5"/>
  </r>
  <r>
    <d v="2017-02-02T00:00:00"/>
    <x v="6"/>
    <s v="Vailhere Pascal"/>
    <x v="2"/>
    <x v="13"/>
    <x v="0"/>
    <s v="Lot Cabernet"/>
    <n v="142"/>
    <m/>
    <s v="oui"/>
    <m/>
    <n v="3"/>
    <n v="0.75"/>
    <n v="2.25"/>
  </r>
  <r>
    <d v="2017-02-02T00:00:00"/>
    <x v="6"/>
    <s v="Vailhere Pascal"/>
    <x v="2"/>
    <x v="7"/>
    <x v="0"/>
    <s v="Lot Merlot"/>
    <s v="-"/>
    <m/>
    <s v="oui"/>
    <m/>
    <n v="4"/>
    <n v="0.75"/>
    <n v="3"/>
  </r>
  <r>
    <d v="2017-02-02T00:00:00"/>
    <x v="21"/>
    <s v="-"/>
    <x v="2"/>
    <x v="13"/>
    <x v="0"/>
    <s v="bouteille"/>
    <s v="-"/>
    <m/>
    <s v="oui"/>
    <m/>
    <n v="2"/>
    <n v="0.75"/>
    <n v="1.5"/>
  </r>
  <r>
    <d v="2017-02-02T00:00:00"/>
    <x v="21"/>
    <s v="-"/>
    <x v="2"/>
    <x v="13"/>
    <x v="0"/>
    <s v="bt2"/>
    <s v="-"/>
    <m/>
    <s v="oui"/>
    <m/>
    <n v="2"/>
    <n v="0.75"/>
    <n v="1.5"/>
  </r>
  <r>
    <d v="2017-02-03T00:00:00"/>
    <x v="9"/>
    <s v="Jacques Woloviek"/>
    <x v="0"/>
    <x v="0"/>
    <x v="0"/>
    <s v="riche"/>
    <n v="414"/>
    <m/>
    <s v="oui"/>
    <m/>
    <n v="2"/>
    <n v="0.75"/>
    <n v="1.5"/>
  </r>
  <r>
    <d v="2017-02-07T00:00:00"/>
    <x v="6"/>
    <s v="Vailhere Pascal"/>
    <x v="0"/>
    <x v="3"/>
    <x v="0"/>
    <s v="Petit degré"/>
    <n v="194"/>
    <m/>
    <s v="oui"/>
    <m/>
    <n v="1"/>
    <n v="5"/>
    <n v="5"/>
  </r>
  <r>
    <d v="2017-02-07T00:00:00"/>
    <x v="1"/>
    <s v="Olivier Castillo"/>
    <x v="2"/>
    <x v="7"/>
    <x v="1"/>
    <s v="-"/>
    <n v="131"/>
    <m/>
    <s v="oui"/>
    <s v="2 citernes potentiels"/>
    <n v="2"/>
    <n v="0.75"/>
    <n v="1.5"/>
  </r>
  <r>
    <d v="2017-02-08T00:00:00"/>
    <x v="9"/>
    <s v="Jacques Woloviek"/>
    <x v="0"/>
    <x v="0"/>
    <x v="0"/>
    <s v="Lot ADVINI"/>
    <s v="-"/>
    <m/>
    <s v="oui"/>
    <m/>
    <n v="1"/>
    <n v="5"/>
    <n v="5"/>
  </r>
  <r>
    <d v="2017-02-08T00:00:00"/>
    <x v="9"/>
    <s v="Jacques Woloviek"/>
    <x v="0"/>
    <x v="0"/>
    <x v="0"/>
    <s v="Lot ADVINI"/>
    <s v="-"/>
    <m/>
    <s v="oui"/>
    <s v="Boisé avec 5 g/hL Oenovia Affinage"/>
    <n v="1"/>
    <n v="5"/>
    <n v="5"/>
  </r>
  <r>
    <d v="2017-02-09T00:00:00"/>
    <x v="1"/>
    <s v="Vailhere Pascal"/>
    <x v="2"/>
    <x v="7"/>
    <x v="0"/>
    <s v="MRG"/>
    <s v="-"/>
    <m/>
    <s v="oui"/>
    <m/>
    <n v="3"/>
    <n v="0.75"/>
    <n v="2.25"/>
  </r>
  <r>
    <d v="2017-02-09T00:00:00"/>
    <x v="1"/>
    <s v="Vailhere Pascal"/>
    <x v="2"/>
    <x v="13"/>
    <x v="0"/>
    <s v="CSR"/>
    <s v="-"/>
    <m/>
    <s v="oui"/>
    <m/>
    <n v="2"/>
    <n v="0.75"/>
    <n v="1.5"/>
  </r>
  <r>
    <d v="2017-02-09T00:00:00"/>
    <x v="1"/>
    <s v="Vailhere Pascal"/>
    <x v="0"/>
    <x v="2"/>
    <x v="0"/>
    <s v="-"/>
    <n v="324"/>
    <m/>
    <s v="oui"/>
    <m/>
    <n v="2"/>
    <n v="0.75"/>
    <n v="1.5"/>
  </r>
  <r>
    <d v="2017-02-09T00:00:00"/>
    <x v="1"/>
    <s v="Vailhere Pascal"/>
    <x v="0"/>
    <x v="0"/>
    <x v="0"/>
    <s v="flatteur"/>
    <n v="48"/>
    <m/>
    <s v="oui"/>
    <m/>
    <n v="2"/>
    <n v="0.75"/>
    <n v="1.5"/>
  </r>
  <r>
    <d v="2017-02-09T00:00:00"/>
    <x v="1"/>
    <s v="Vailhere Pascal"/>
    <x v="0"/>
    <x v="0"/>
    <x v="0"/>
    <s v="Lot Solis"/>
    <n v="413"/>
    <m/>
    <s v="oui"/>
    <m/>
    <n v="2"/>
    <n v="0.75"/>
    <n v="1.5"/>
  </r>
  <r>
    <d v="2017-02-09T00:00:00"/>
    <x v="24"/>
    <s v="-"/>
    <x v="2"/>
    <x v="13"/>
    <x v="0"/>
    <s v="-"/>
    <n v="112"/>
    <m/>
    <s v="oui"/>
    <m/>
    <n v="1"/>
    <n v="0.75"/>
    <n v="0.75"/>
  </r>
  <r>
    <d v="2017-02-09T00:00:00"/>
    <x v="24"/>
    <s v="-"/>
    <x v="2"/>
    <x v="13"/>
    <x v="0"/>
    <s v="-"/>
    <n v="150"/>
    <m/>
    <s v="oui"/>
    <m/>
    <n v="1"/>
    <n v="0.75"/>
    <n v="0.75"/>
  </r>
  <r>
    <d v="2017-02-09T00:00:00"/>
    <x v="1"/>
    <s v="Vailhere Pascal"/>
    <x v="0"/>
    <x v="1"/>
    <x v="0"/>
    <s v="bouteille"/>
    <n v="17"/>
    <m/>
    <s v="oui"/>
    <m/>
    <n v="2"/>
    <n v="0.75"/>
    <n v="1.5"/>
  </r>
  <r>
    <d v="2017-02-09T00:00:00"/>
    <x v="1"/>
    <s v="Vailhere Pascal"/>
    <x v="0"/>
    <x v="0"/>
    <x v="0"/>
    <s v="bouteille"/>
    <n v="37"/>
    <m/>
    <s v="oui"/>
    <m/>
    <n v="2"/>
    <n v="0.75"/>
    <n v="1.5"/>
  </r>
  <r>
    <d v="2017-02-09T00:00:00"/>
    <x v="1"/>
    <s v="Vailhere Pascal"/>
    <x v="1"/>
    <x v="33"/>
    <x v="0"/>
    <s v="bouteille"/>
    <s v="CF3"/>
    <m/>
    <s v="oui"/>
    <m/>
    <n v="2"/>
    <n v="0.75"/>
    <n v="1.5"/>
  </r>
  <r>
    <d v="2017-02-09T00:00:00"/>
    <x v="1"/>
    <s v="Vailhere Pascal"/>
    <x v="2"/>
    <x v="7"/>
    <x v="0"/>
    <s v="bouteille"/>
    <n v="417"/>
    <m/>
    <s v="oui"/>
    <m/>
    <n v="2"/>
    <n v="0.75"/>
    <n v="1.5"/>
  </r>
  <r>
    <d v="2017-02-10T00:00:00"/>
    <x v="1"/>
    <s v="TWS"/>
    <x v="2"/>
    <x v="7"/>
    <x v="0"/>
    <s v="MRG"/>
    <s v="-"/>
    <m/>
    <s v="oui"/>
    <m/>
    <n v="2"/>
    <n v="0.75"/>
    <n v="1.5"/>
  </r>
  <r>
    <d v="2017-02-10T00:00:00"/>
    <x v="1"/>
    <s v="TWS"/>
    <x v="2"/>
    <x v="13"/>
    <x v="0"/>
    <s v="CSR"/>
    <s v="-"/>
    <m/>
    <s v="oui"/>
    <m/>
    <n v="2"/>
    <n v="0.75"/>
    <n v="1.5"/>
  </r>
  <r>
    <d v="2017-02-13T00:00:00"/>
    <x v="1"/>
    <s v="Gilles Lambert"/>
    <x v="2"/>
    <x v="7"/>
    <x v="0"/>
    <s v="MRG"/>
    <s v="-"/>
    <m/>
    <s v="oui"/>
    <m/>
    <n v="2"/>
    <n v="0.75"/>
    <n v="1.5"/>
  </r>
  <r>
    <d v="2017-02-13T00:00:00"/>
    <x v="1"/>
    <s v="Gilles Lambert"/>
    <x v="2"/>
    <x v="13"/>
    <x v="0"/>
    <s v="CSR"/>
    <s v="-"/>
    <m/>
    <s v="oui"/>
    <m/>
    <n v="2"/>
    <n v="0.75"/>
    <n v="1.5"/>
  </r>
  <r>
    <d v="2017-02-13T00:00:00"/>
    <x v="1"/>
    <s v="Gilles Lambert"/>
    <x v="2"/>
    <x v="7"/>
    <x v="1"/>
    <s v="-"/>
    <n v="131"/>
    <m/>
    <s v="oui"/>
    <m/>
    <n v="2"/>
    <n v="0.75"/>
    <n v="1.5"/>
  </r>
  <r>
    <d v="2017-02-14T00:00:00"/>
    <x v="2"/>
    <s v="-"/>
    <x v="0"/>
    <x v="6"/>
    <x v="0"/>
    <s v="Oc Blanc"/>
    <n v="419"/>
    <m/>
    <s v="oui"/>
    <m/>
    <n v="3"/>
    <n v="0.75"/>
    <n v="2.25"/>
  </r>
  <r>
    <d v="2017-02-15T00:00:00"/>
    <x v="24"/>
    <s v="-"/>
    <x v="2"/>
    <x v="4"/>
    <x v="0"/>
    <s v="-"/>
    <n v="151"/>
    <m/>
    <s v="oui"/>
    <m/>
    <n v="1"/>
    <n v="0.75"/>
    <n v="0.75"/>
  </r>
  <r>
    <d v="2017-02-15T00:00:00"/>
    <x v="1"/>
    <s v="Vailhere Pascal"/>
    <x v="1"/>
    <x v="8"/>
    <x v="0"/>
    <s v="Lot Cinsault"/>
    <s v="Ag301"/>
    <m/>
    <s v="oui"/>
    <m/>
    <n v="2"/>
    <n v="0.75"/>
    <n v="1.5"/>
  </r>
  <r>
    <d v="2017-02-16T00:00:00"/>
    <x v="25"/>
    <s v="-"/>
    <x v="0"/>
    <x v="34"/>
    <x v="0"/>
    <s v="Lot Solis"/>
    <n v="413"/>
    <m/>
    <s v="oui"/>
    <m/>
    <n v="2"/>
    <n v="0.75"/>
    <n v="1.5"/>
  </r>
  <r>
    <d v="2017-02-16T00:00:00"/>
    <x v="25"/>
    <s v="-"/>
    <x v="0"/>
    <x v="34"/>
    <x v="0"/>
    <s v="Lot AR"/>
    <s v="-"/>
    <m/>
    <s v="oui"/>
    <s v="50% Lot Solis + 25% Vio 85 + 23% Vio 23"/>
    <n v="2"/>
    <n v="0.75"/>
    <n v="1.5"/>
  </r>
  <r>
    <d v="2017-02-16T00:00:00"/>
    <x v="1"/>
    <s v="Olivier Castillo"/>
    <x v="2"/>
    <x v="35"/>
    <x v="1"/>
    <s v="Hérault Rouge"/>
    <n v="111"/>
    <m/>
    <s v="oui"/>
    <m/>
    <n v="2"/>
    <n v="0.75"/>
    <n v="1.5"/>
  </r>
  <r>
    <d v="2017-02-16T00:00:00"/>
    <x v="1"/>
    <s v="Olivier Castillo"/>
    <x v="0"/>
    <x v="36"/>
    <x v="0"/>
    <s v="T/V"/>
    <s v="-"/>
    <m/>
    <s v="oui"/>
    <s v="65% 419 (Terret) + 35% 45 (Vermentino)"/>
    <n v="2"/>
    <n v="1"/>
    <n v="2"/>
  </r>
  <r>
    <d v="2017-02-16T00:00:00"/>
    <x v="1"/>
    <s v="Olivier Castillo"/>
    <x v="0"/>
    <x v="37"/>
    <x v="0"/>
    <s v="Chardo/Viognier"/>
    <s v="-"/>
    <m/>
    <s v="oui"/>
    <s v="63% 15 (Lot Solis) + 18% 23 (Viognier craqué) + 19 % 85 (Viognier)"/>
    <n v="2"/>
    <n v="0.75"/>
    <n v="1.5"/>
  </r>
  <r>
    <d v="2017-02-20T00:00:00"/>
    <x v="11"/>
    <s v="-"/>
    <x v="2"/>
    <x v="5"/>
    <x v="0"/>
    <s v="Lot PN"/>
    <n v="129"/>
    <m/>
    <s v="oui"/>
    <m/>
    <n v="1"/>
    <n v="0.75"/>
    <n v="0.75"/>
  </r>
  <r>
    <d v="2017-02-20T00:00:00"/>
    <x v="20"/>
    <s v="-"/>
    <x v="2"/>
    <x v="7"/>
    <x v="0"/>
    <s v="bouteille"/>
    <n v="96"/>
    <m/>
    <s v="oui"/>
    <m/>
    <n v="12"/>
    <n v="0.75"/>
    <n v="9"/>
  </r>
  <r>
    <d v="2017-02-20T00:00:00"/>
    <x v="20"/>
    <s v="-"/>
    <x v="2"/>
    <x v="13"/>
    <x v="0"/>
    <s v="bouteille"/>
    <n v="420"/>
    <m/>
    <s v="oui"/>
    <m/>
    <n v="12"/>
    <n v="0.75"/>
    <n v="9"/>
  </r>
  <r>
    <d v="2017-02-20T00:00:00"/>
    <x v="1"/>
    <s v="San Nicolas"/>
    <x v="2"/>
    <x v="13"/>
    <x v="1"/>
    <s v="-"/>
    <n v="81"/>
    <m/>
    <s v="oui"/>
    <m/>
    <n v="2"/>
    <n v="0.75"/>
    <n v="1.5"/>
  </r>
  <r>
    <d v="2017-02-20T00:00:00"/>
    <x v="1"/>
    <s v="San Nicolas"/>
    <x v="0"/>
    <x v="0"/>
    <x v="0"/>
    <s v="flatteur"/>
    <n v="48"/>
    <m/>
    <s v="oui"/>
    <m/>
    <n v="2"/>
    <n v="0.75"/>
    <n v="1.5"/>
  </r>
  <r>
    <d v="2017-02-20T00:00:00"/>
    <x v="1"/>
    <s v="San Nicolas"/>
    <x v="0"/>
    <x v="0"/>
    <x v="0"/>
    <s v="Lot Solis"/>
    <n v="413"/>
    <m/>
    <s v="oui"/>
    <m/>
    <n v="2"/>
    <n v="0.75"/>
    <n v="1.5"/>
  </r>
  <r>
    <d v="2017-02-20T00:00:00"/>
    <x v="1"/>
    <s v="San Nicolas"/>
    <x v="1"/>
    <x v="38"/>
    <x v="0"/>
    <s v="Lot Oc Rosé 2"/>
    <s v="-"/>
    <m/>
    <s v="oui"/>
    <m/>
    <n v="2"/>
    <n v="0.75"/>
    <n v="1.5"/>
  </r>
  <r>
    <d v="2017-02-20T00:00:00"/>
    <x v="1"/>
    <s v="San Nicolas"/>
    <x v="0"/>
    <x v="16"/>
    <x v="0"/>
    <s v="Oc Blanc"/>
    <n v="419"/>
    <m/>
    <s v="oui"/>
    <m/>
    <n v="2"/>
    <n v="0.75"/>
    <n v="1.5"/>
  </r>
  <r>
    <d v="2017-02-21T00:00:00"/>
    <x v="3"/>
    <s v="-"/>
    <x v="0"/>
    <x v="1"/>
    <x v="0"/>
    <s v="variétal"/>
    <n v="418"/>
    <m/>
    <s v="oui"/>
    <m/>
    <n v="1"/>
    <n v="5"/>
    <n v="5"/>
  </r>
  <r>
    <d v="2017-02-27T00:00:00"/>
    <x v="1"/>
    <s v="Vailhere Pascal"/>
    <x v="2"/>
    <x v="7"/>
    <x v="0"/>
    <s v="MRG"/>
    <n v="205"/>
    <m/>
    <s v="oui"/>
    <m/>
    <n v="3"/>
    <n v="0.75"/>
    <n v="2.25"/>
  </r>
  <r>
    <d v="2017-02-27T00:00:00"/>
    <x v="1"/>
    <s v="Vailhere Pascal"/>
    <x v="2"/>
    <x v="13"/>
    <x v="0"/>
    <s v="CSR"/>
    <n v="403"/>
    <m/>
    <s v="oui"/>
    <m/>
    <n v="3"/>
    <n v="0.75"/>
    <n v="2.25"/>
  </r>
  <r>
    <d v="2017-02-27T00:00:00"/>
    <x v="1"/>
    <s v="Vailhere Pascal"/>
    <x v="0"/>
    <x v="3"/>
    <x v="0"/>
    <s v="Ass integral"/>
    <s v="-"/>
    <m/>
    <s v="oui"/>
    <m/>
    <n v="5"/>
    <n v="0.75"/>
    <n v="3.75"/>
  </r>
  <r>
    <d v="2017-02-27T00:00:00"/>
    <x v="1"/>
    <s v="Vailhere Pascal"/>
    <x v="0"/>
    <x v="0"/>
    <x v="0"/>
    <s v="flatteur"/>
    <n v="48"/>
    <m/>
    <s v="oui"/>
    <m/>
    <n v="3"/>
    <n v="0.75"/>
    <n v="2.25"/>
  </r>
  <r>
    <d v="2017-02-27T00:00:00"/>
    <x v="1"/>
    <s v="Vailhere Pascal"/>
    <x v="0"/>
    <x v="0"/>
    <x v="0"/>
    <s v="riche"/>
    <n v="414"/>
    <m/>
    <s v="oui"/>
    <m/>
    <n v="3"/>
    <n v="0.75"/>
    <n v="2.25"/>
  </r>
  <r>
    <d v="2017-03-02T00:00:00"/>
    <x v="4"/>
    <s v="-"/>
    <x v="0"/>
    <x v="17"/>
    <x v="0"/>
    <s v="Lot Oc Blanc"/>
    <n v="419"/>
    <m/>
    <s v="oui"/>
    <m/>
    <n v="2"/>
    <n v="0.75"/>
    <n v="1.5"/>
  </r>
  <r>
    <d v="2017-03-02T00:00:00"/>
    <x v="4"/>
    <s v="-"/>
    <x v="0"/>
    <x v="0"/>
    <x v="0"/>
    <s v="Lot Solis"/>
    <n v="421"/>
    <m/>
    <s v="oui"/>
    <m/>
    <n v="2"/>
    <n v="0.75"/>
    <n v="1.5"/>
  </r>
  <r>
    <d v="2017-03-02T00:00:00"/>
    <x v="4"/>
    <s v="-"/>
    <x v="0"/>
    <x v="0"/>
    <x v="0"/>
    <s v="Lot Petit degré"/>
    <n v="24"/>
    <m/>
    <s v="oui"/>
    <m/>
    <n v="2"/>
    <n v="0.75"/>
    <n v="1.5"/>
  </r>
  <r>
    <d v="2017-03-02T00:00:00"/>
    <x v="4"/>
    <s v="-"/>
    <x v="0"/>
    <x v="2"/>
    <x v="0"/>
    <s v="Ass. Viognier intégral"/>
    <s v="-"/>
    <m/>
    <s v="oui"/>
    <m/>
    <n v="2"/>
    <n v="0.75"/>
    <n v="1.5"/>
  </r>
  <r>
    <d v="2017-03-02T00:00:00"/>
    <x v="4"/>
    <s v="-"/>
    <x v="0"/>
    <x v="2"/>
    <x v="0"/>
    <s v="Ass. Partiel"/>
    <s v="-"/>
    <m/>
    <s v="oui"/>
    <m/>
    <n v="2"/>
    <n v="0.75"/>
    <n v="1.5"/>
  </r>
  <r>
    <d v="2017-03-02T00:00:00"/>
    <x v="4"/>
    <s v="-"/>
    <x v="0"/>
    <x v="3"/>
    <x v="0"/>
    <s v="Ass integral"/>
    <s v="-"/>
    <m/>
    <s v="oui"/>
    <m/>
    <n v="2"/>
    <n v="0.75"/>
    <n v="1.5"/>
  </r>
  <r>
    <d v="2017-03-03T00:00:00"/>
    <x v="1"/>
    <s v="Vailhere Pascal"/>
    <x v="1"/>
    <x v="39"/>
    <x v="0"/>
    <s v="Lot Cinsault"/>
    <s v="Ag 302"/>
    <m/>
    <s v="oui"/>
    <m/>
    <n v="2"/>
    <n v="0.75"/>
    <n v="1.5"/>
  </r>
  <r>
    <d v="2017-03-03T00:00:00"/>
    <x v="1"/>
    <s v="Vailhere Pascal"/>
    <x v="0"/>
    <x v="3"/>
    <x v="0"/>
    <s v="Ass integral"/>
    <s v="-"/>
    <m/>
    <s v="oui"/>
    <m/>
    <n v="1"/>
    <n v="10"/>
    <n v="10"/>
  </r>
  <r>
    <d v="2017-03-06T00:00:00"/>
    <x v="1"/>
    <s v="SP Wines"/>
    <x v="0"/>
    <x v="0"/>
    <x v="0"/>
    <s v="Lot Solis"/>
    <n v="413"/>
    <m/>
    <s v="oui"/>
    <m/>
    <n v="2"/>
    <n v="0.75"/>
    <n v="1.5"/>
  </r>
  <r>
    <d v="2017-03-06T00:00:00"/>
    <x v="1"/>
    <s v="SP Wines"/>
    <x v="0"/>
    <x v="0"/>
    <x v="0"/>
    <s v="variétal"/>
    <n v="48"/>
    <m/>
    <s v="oui"/>
    <m/>
    <n v="2"/>
    <n v="0.75"/>
    <n v="1.5"/>
  </r>
  <r>
    <d v="2017-03-06T00:00:00"/>
    <x v="1"/>
    <s v="SP Wines"/>
    <x v="2"/>
    <x v="7"/>
    <x v="0"/>
    <s v="MRG"/>
    <n v="205"/>
    <m/>
    <s v="oui"/>
    <m/>
    <n v="2"/>
    <n v="0.75"/>
    <n v="1.5"/>
  </r>
  <r>
    <d v="2017-03-07T00:00:00"/>
    <x v="1"/>
    <s v="Vailhere Pascal"/>
    <x v="2"/>
    <x v="7"/>
    <x v="0"/>
    <s v="MRG"/>
    <n v="150"/>
    <m/>
    <s v="oui"/>
    <m/>
    <n v="1"/>
    <n v="10"/>
    <n v="10"/>
  </r>
  <r>
    <d v="2017-03-07T00:00:00"/>
    <x v="2"/>
    <s v="-"/>
    <x v="0"/>
    <x v="2"/>
    <x v="0"/>
    <s v="Ass integral"/>
    <s v="-"/>
    <m/>
    <s v="oui"/>
    <m/>
    <n v="2"/>
    <n v="0.75"/>
    <n v="1.5"/>
  </r>
  <r>
    <d v="2017-03-07T00:00:00"/>
    <x v="9"/>
    <s v="Jacques Woloviek"/>
    <x v="0"/>
    <x v="3"/>
    <x v="0"/>
    <s v="Ass intégral"/>
    <s v="-"/>
    <m/>
    <s v="oui"/>
    <s v="Muscat 1"/>
    <n v="3"/>
    <n v="0.75"/>
    <n v="2.25"/>
  </r>
  <r>
    <d v="2017-03-07T00:00:00"/>
    <x v="9"/>
    <s v="Jacques Woloviek"/>
    <x v="0"/>
    <x v="3"/>
    <x v="0"/>
    <s v="Ass intégral + 2015"/>
    <s v="-"/>
    <m/>
    <s v="oui"/>
    <s v="Muscat 2 avec 17% Muscat PD 2015"/>
    <n v="3"/>
    <n v="0.75"/>
    <n v="2.25"/>
  </r>
  <r>
    <d v="2017-03-07T00:00:00"/>
    <x v="9"/>
    <s v="Jacques Woloviek"/>
    <x v="0"/>
    <x v="2"/>
    <x v="0"/>
    <s v="Ass 1"/>
    <s v="-"/>
    <m/>
    <s v="oui"/>
    <s v="23+85+324"/>
    <n v="3"/>
    <n v="0.75"/>
    <n v="2.25"/>
  </r>
  <r>
    <d v="2017-03-07T00:00:00"/>
    <x v="9"/>
    <s v="Jacques Woloviek"/>
    <x v="0"/>
    <x v="2"/>
    <x v="0"/>
    <s v="Ass 2"/>
    <s v="-"/>
    <m/>
    <s v="oui"/>
    <s v="324+23"/>
    <n v="3"/>
    <n v="0.75"/>
    <n v="2.25"/>
  </r>
  <r>
    <d v="2017-03-08T00:00:00"/>
    <x v="26"/>
    <s v="-"/>
    <x v="0"/>
    <x v="2"/>
    <x v="0"/>
    <s v="bouteille"/>
    <n v="41"/>
    <m/>
    <s v="oui"/>
    <m/>
    <n v="2"/>
    <n v="0.75"/>
    <n v="1.5"/>
  </r>
  <r>
    <d v="2017-03-08T00:00:00"/>
    <x v="21"/>
    <s v="-"/>
    <x v="0"/>
    <x v="2"/>
    <x v="0"/>
    <s v="-"/>
    <n v="23"/>
    <m/>
    <s v="oui"/>
    <m/>
    <n v="1"/>
    <n v="0.75"/>
    <n v="0.75"/>
  </r>
  <r>
    <d v="2017-03-08T00:00:00"/>
    <x v="21"/>
    <s v="-"/>
    <x v="0"/>
    <x v="2"/>
    <x v="0"/>
    <s v="-"/>
    <n v="85"/>
    <m/>
    <s v="oui"/>
    <m/>
    <n v="1"/>
    <n v="0.75"/>
    <n v="0.75"/>
  </r>
  <r>
    <d v="2017-03-08T00:00:00"/>
    <x v="2"/>
    <s v="-"/>
    <x v="0"/>
    <x v="2"/>
    <x v="0"/>
    <s v="-"/>
    <n v="324"/>
    <m/>
    <s v="oui"/>
    <m/>
    <n v="1"/>
    <n v="0.75"/>
    <n v="0.75"/>
  </r>
  <r>
    <d v="2017-03-08T00:00:00"/>
    <x v="2"/>
    <s v="-"/>
    <x v="1"/>
    <x v="40"/>
    <x v="0"/>
    <s v="Ass Hérault Rosé"/>
    <s v="-"/>
    <m/>
    <s v="oui"/>
    <m/>
    <n v="2"/>
    <n v="0.75"/>
    <n v="1.5"/>
  </r>
  <r>
    <d v="2017-03-08T00:00:00"/>
    <x v="21"/>
    <s v="-"/>
    <x v="0"/>
    <x v="1"/>
    <x v="0"/>
    <s v="classique"/>
    <n v="408"/>
    <m/>
    <s v="oui"/>
    <m/>
    <n v="2"/>
    <n v="0.75"/>
    <n v="1.5"/>
  </r>
  <r>
    <d v="2017-03-08T00:00:00"/>
    <x v="21"/>
    <s v="-"/>
    <x v="0"/>
    <x v="0"/>
    <x v="0"/>
    <s v="flatteur"/>
    <n v="48"/>
    <m/>
    <s v="oui"/>
    <m/>
    <n v="2"/>
    <n v="0.75"/>
    <n v="1.5"/>
  </r>
  <r>
    <d v="2017-03-08T00:00:00"/>
    <x v="21"/>
    <s v="-"/>
    <x v="0"/>
    <x v="0"/>
    <x v="0"/>
    <s v="Petit degré"/>
    <n v="24"/>
    <m/>
    <s v="oui"/>
    <m/>
    <n v="2"/>
    <n v="0.75"/>
    <n v="1.5"/>
  </r>
  <r>
    <d v="2017-03-08T00:00:00"/>
    <x v="21"/>
    <s v="-"/>
    <x v="2"/>
    <x v="25"/>
    <x v="0"/>
    <s v="bouteille"/>
    <n v="100"/>
    <m/>
    <s v="oui"/>
    <m/>
    <n v="2"/>
    <n v="0.75"/>
    <n v="1.5"/>
  </r>
  <r>
    <d v="2017-03-08T00:00:00"/>
    <x v="21"/>
    <s v="-"/>
    <x v="0"/>
    <x v="25"/>
    <x v="0"/>
    <s v="bouteille"/>
    <s v="-"/>
    <m/>
    <s v="oui"/>
    <m/>
    <n v="2"/>
    <n v="0.75"/>
    <n v="1.5"/>
  </r>
  <r>
    <d v="2017-03-10T00:00:00"/>
    <x v="1"/>
    <s v="Gilles Lambert"/>
    <x v="2"/>
    <x v="13"/>
    <x v="0"/>
    <s v="bouteille"/>
    <n v="99"/>
    <m/>
    <s v="oui"/>
    <m/>
    <n v="1"/>
    <n v="0.75"/>
    <n v="0.75"/>
  </r>
  <r>
    <d v="2017-03-13T00:00:00"/>
    <x v="27"/>
    <s v="San Nicolas"/>
    <x v="0"/>
    <x v="0"/>
    <x v="0"/>
    <s v="Lot Solis"/>
    <n v="413"/>
    <m/>
    <s v="oui"/>
    <m/>
    <n v="3"/>
    <n v="0.75"/>
    <n v="2.25"/>
  </r>
  <r>
    <d v="2017-03-13T00:00:00"/>
    <x v="20"/>
    <s v="-"/>
    <x v="0"/>
    <x v="0"/>
    <x v="1"/>
    <s v="Lot boisé Maraval"/>
    <s v="FK01"/>
    <m/>
    <s v="oui"/>
    <m/>
    <n v="2"/>
    <n v="0.75"/>
    <n v="1.5"/>
  </r>
  <r>
    <d v="2017-03-13T00:00:00"/>
    <x v="20"/>
    <s v="-"/>
    <x v="2"/>
    <x v="41"/>
    <x v="1"/>
    <s v="Lot Inde"/>
    <s v="CF01"/>
    <m/>
    <s v="oui"/>
    <m/>
    <n v="2"/>
    <n v="0.75"/>
    <n v="1.5"/>
  </r>
  <r>
    <d v="2017-03-13T00:00:00"/>
    <x v="20"/>
    <s v="-"/>
    <x v="0"/>
    <x v="0"/>
    <x v="1"/>
    <s v="bouteille"/>
    <n v="19"/>
    <m/>
    <s v="oui"/>
    <m/>
    <n v="1"/>
    <n v="0.75"/>
    <n v="0.75"/>
  </r>
  <r>
    <d v="2017-03-13T00:00:00"/>
    <x v="20"/>
    <s v="-"/>
    <x v="0"/>
    <x v="2"/>
    <x v="0"/>
    <s v="bouteille"/>
    <n v="41"/>
    <m/>
    <s v="oui"/>
    <m/>
    <n v="1"/>
    <n v="0.75"/>
    <n v="0.75"/>
  </r>
  <r>
    <d v="2017-03-16T00:00:00"/>
    <x v="1"/>
    <s v="René Jeanjean"/>
    <x v="0"/>
    <x v="31"/>
    <x v="2"/>
    <s v="-"/>
    <s v="-"/>
    <m/>
    <s v="oui"/>
    <s v="Lot Solde 2015 - 2016"/>
    <n v="3"/>
    <n v="0.75"/>
    <n v="2.25"/>
  </r>
  <r>
    <d v="2017-03-16T00:00:00"/>
    <x v="10"/>
    <s v="René Jeanjean"/>
    <x v="0"/>
    <x v="0"/>
    <x v="1"/>
    <s v="-"/>
    <s v="-"/>
    <m/>
    <s v="oui"/>
    <s v="Rafraichi 40% flatteur + 60% 2015 variétal"/>
    <n v="2"/>
    <n v="0.75"/>
    <n v="1.5"/>
  </r>
  <r>
    <d v="2017-03-16T00:00:00"/>
    <x v="1"/>
    <s v="TWS"/>
    <x v="0"/>
    <x v="31"/>
    <x v="2"/>
    <s v="-"/>
    <s v="-"/>
    <m/>
    <s v="oui"/>
    <s v="Lot Solde 2015 - 2016"/>
    <n v="2"/>
    <n v="0.75"/>
    <n v="1.5"/>
  </r>
  <r>
    <d v="2017-03-16T00:00:00"/>
    <x v="1"/>
    <s v="TWS"/>
    <x v="1"/>
    <x v="40"/>
    <x v="0"/>
    <s v="Hérault Rosé"/>
    <s v="-"/>
    <m/>
    <s v="oui"/>
    <m/>
    <n v="2"/>
    <n v="0.75"/>
    <n v="1.5"/>
  </r>
  <r>
    <d v="2017-03-17T00:00:00"/>
    <x v="1"/>
    <s v="TWS"/>
    <x v="0"/>
    <x v="2"/>
    <x v="0"/>
    <s v="-"/>
    <n v="324"/>
    <m/>
    <s v="oui"/>
    <m/>
    <n v="2"/>
    <n v="0.75"/>
    <n v="1.5"/>
  </r>
  <r>
    <d v="2017-03-20T00:00:00"/>
    <x v="9"/>
    <s v="Jacques Woloviek"/>
    <x v="0"/>
    <x v="0"/>
    <x v="0"/>
    <s v="Ass. Jeanjean"/>
    <s v="-"/>
    <m/>
    <s v="oui"/>
    <m/>
    <n v="3"/>
    <n v="0.75"/>
    <n v="2.25"/>
  </r>
  <r>
    <d v="2017-03-20T00:00:00"/>
    <x v="9"/>
    <s v="Jacques Woloviek"/>
    <x v="0"/>
    <x v="1"/>
    <x v="0"/>
    <s v="classique"/>
    <n v="408"/>
    <m/>
    <s v="oui"/>
    <m/>
    <n v="2"/>
    <n v="0.75"/>
    <n v="1.5"/>
  </r>
  <r>
    <d v="2017-03-22T00:00:00"/>
    <x v="3"/>
    <s v="-"/>
    <x v="0"/>
    <x v="1"/>
    <x v="0"/>
    <s v="variétal"/>
    <n v="198"/>
    <m/>
    <s v="oui"/>
    <m/>
    <n v="6"/>
    <n v="0.75"/>
    <n v="4.5"/>
  </r>
  <r>
    <d v="2017-03-22T00:00:00"/>
    <x v="3"/>
    <s v="-"/>
    <x v="0"/>
    <x v="31"/>
    <x v="2"/>
    <s v="-"/>
    <s v="-"/>
    <m/>
    <s v="oui"/>
    <s v="Lot Solde 2015 - 2016"/>
    <n v="2"/>
    <n v="0.75"/>
    <n v="1.5"/>
  </r>
  <r>
    <d v="2017-03-22T00:00:00"/>
    <x v="3"/>
    <s v="-"/>
    <x v="0"/>
    <x v="0"/>
    <x v="1"/>
    <s v="boisé"/>
    <n v="311"/>
    <m/>
    <s v="oui"/>
    <m/>
    <n v="2"/>
    <n v="0.75"/>
    <n v="1.5"/>
  </r>
  <r>
    <d v="2017-03-23T00:00:00"/>
    <x v="4"/>
    <s v="-"/>
    <x v="0"/>
    <x v="1"/>
    <x v="0"/>
    <s v="classique"/>
    <n v="409"/>
    <m/>
    <s v="oui"/>
    <m/>
    <n v="1"/>
    <n v="0.75"/>
    <n v="0.75"/>
  </r>
  <r>
    <d v="2017-03-23T00:00:00"/>
    <x v="4"/>
    <s v="-"/>
    <x v="0"/>
    <x v="1"/>
    <x v="0"/>
    <s v="variétal"/>
    <n v="198"/>
    <m/>
    <s v="oui"/>
    <m/>
    <n v="2"/>
    <n v="0.75"/>
    <n v="1.5"/>
  </r>
  <r>
    <d v="2017-03-23T00:00:00"/>
    <x v="2"/>
    <s v="-"/>
    <x v="0"/>
    <x v="0"/>
    <x v="0"/>
    <s v="supérieur"/>
    <n v="94"/>
    <m/>
    <s v="oui"/>
    <m/>
    <n v="2"/>
    <n v="0.75"/>
    <n v="1.5"/>
  </r>
  <r>
    <d v="2017-03-23T00:00:00"/>
    <x v="2"/>
    <s v="-"/>
    <x v="0"/>
    <x v="0"/>
    <x v="0"/>
    <s v="riche"/>
    <n v="414"/>
    <m/>
    <s v="oui"/>
    <m/>
    <n v="2"/>
    <n v="0.75"/>
    <n v="1.5"/>
  </r>
  <r>
    <d v="2017-03-23T00:00:00"/>
    <x v="5"/>
    <s v="-"/>
    <x v="1"/>
    <x v="7"/>
    <x v="0"/>
    <s v="Lot GCF"/>
    <n v="404"/>
    <m/>
    <s v="oui"/>
    <m/>
    <n v="2"/>
    <n v="0.75"/>
    <n v="1.5"/>
  </r>
  <r>
    <d v="2017-03-23T00:00:00"/>
    <x v="4"/>
    <s v="-"/>
    <x v="1"/>
    <x v="38"/>
    <x v="0"/>
    <s v="Hérault Rosé"/>
    <s v="-"/>
    <m/>
    <s v="oui"/>
    <m/>
    <n v="2"/>
    <n v="0.75"/>
    <n v="1.5"/>
  </r>
  <r>
    <d v="2017-03-24T00:00:00"/>
    <x v="2"/>
    <s v="-"/>
    <x v="0"/>
    <x v="31"/>
    <x v="2"/>
    <s v="-"/>
    <s v="-"/>
    <m/>
    <s v="oui"/>
    <m/>
    <n v="5"/>
    <n v="0.75"/>
    <n v="3.75"/>
  </r>
  <r>
    <d v="2017-03-24T00:00:00"/>
    <x v="2"/>
    <s v="-"/>
    <x v="1"/>
    <x v="10"/>
    <x v="0"/>
    <s v="Hérault Rosé"/>
    <s v="-"/>
    <m/>
    <s v="oui"/>
    <m/>
    <n v="2"/>
    <n v="0.75"/>
    <n v="1.5"/>
  </r>
  <r>
    <d v="2017-03-28T00:00:00"/>
    <x v="2"/>
    <m/>
    <x v="0"/>
    <x v="31"/>
    <x v="2"/>
    <s v="Sans Muscat"/>
    <s v="-"/>
    <m/>
    <s v="oui"/>
    <m/>
    <n v="3"/>
    <n v="0.75"/>
    <n v="2.25"/>
  </r>
  <r>
    <d v="2017-03-28T00:00:00"/>
    <x v="2"/>
    <s v="-"/>
    <x v="0"/>
    <x v="2"/>
    <x v="1"/>
    <s v="-"/>
    <s v="-"/>
    <m/>
    <s v="oui"/>
    <s v="60% NP67 + 40%21"/>
    <n v="1"/>
    <n v="0.75"/>
    <n v="0.75"/>
  </r>
  <r>
    <d v="2017-03-28T00:00:00"/>
    <x v="1"/>
    <s v="San Nicolas"/>
    <x v="0"/>
    <x v="0"/>
    <x v="0"/>
    <s v="Lot Solis"/>
    <n v="413"/>
    <m/>
    <s v="oui"/>
    <m/>
    <n v="2"/>
    <n v="0.75"/>
    <n v="1.5"/>
  </r>
  <r>
    <d v="2017-03-28T00:00:00"/>
    <x v="1"/>
    <s v="San Nicolas"/>
    <x v="1"/>
    <x v="40"/>
    <x v="0"/>
    <s v="Hérault Rosé"/>
    <n v="15"/>
    <m/>
    <s v="oui"/>
    <m/>
    <n v="2"/>
    <n v="0.75"/>
    <n v="1.5"/>
  </r>
  <r>
    <d v="2017-03-28T00:00:00"/>
    <x v="1"/>
    <s v="San Nicolas"/>
    <x v="1"/>
    <x v="8"/>
    <x v="0"/>
    <s v="Lot Cinsault"/>
    <s v="Ag302"/>
    <m/>
    <s v="oui"/>
    <m/>
    <n v="2"/>
    <n v="0.75"/>
    <n v="1.5"/>
  </r>
  <r>
    <d v="2017-03-28T00:00:00"/>
    <x v="20"/>
    <s v="-"/>
    <x v="0"/>
    <x v="42"/>
    <x v="0"/>
    <s v="-"/>
    <s v="-"/>
    <m/>
    <s v="oui"/>
    <s v="60% 409 + 40 % Vio bouteille"/>
    <n v="2"/>
    <n v="0.75"/>
    <n v="1.5"/>
  </r>
  <r>
    <d v="2017-03-29T00:00:00"/>
    <x v="1"/>
    <s v="San Nicolas"/>
    <x v="0"/>
    <x v="21"/>
    <x v="0"/>
    <s v="-"/>
    <n v="45"/>
    <m/>
    <s v="oui"/>
    <m/>
    <n v="2"/>
    <n v="0.75"/>
    <n v="1.5"/>
  </r>
  <r>
    <d v="2017-03-30T00:00:00"/>
    <x v="13"/>
    <s v="-"/>
    <x v="0"/>
    <x v="32"/>
    <x v="0"/>
    <s v="-"/>
    <s v="-"/>
    <m/>
    <s v="oui"/>
    <s v="50 % Vio + 50 % Rouss Mars"/>
    <n v="4"/>
    <n v="0.75"/>
    <n v="3"/>
  </r>
  <r>
    <d v="2017-04-03T00:00:00"/>
    <x v="20"/>
    <s v="-"/>
    <x v="0"/>
    <x v="42"/>
    <x v="0"/>
    <s v="-"/>
    <s v="-"/>
    <m/>
    <s v="oui"/>
    <s v="60% 409 + 40 % Vio 84"/>
    <n v="2"/>
    <n v="0.75"/>
    <n v="1.5"/>
  </r>
  <r>
    <d v="2017-04-03T00:00:00"/>
    <x v="20"/>
    <s v="-"/>
    <x v="0"/>
    <x v="43"/>
    <x v="0"/>
    <s v="Lot 1"/>
    <s v="-"/>
    <m/>
    <s v="oui"/>
    <s v="50% Vio 84 + 25% Char 405 + 25% Chard 48"/>
    <n v="1"/>
    <n v="0.75"/>
    <n v="0.75"/>
  </r>
  <r>
    <d v="2017-04-03T00:00:00"/>
    <x v="20"/>
    <s v="-"/>
    <x v="0"/>
    <x v="43"/>
    <x v="0"/>
    <s v="Lot 2"/>
    <s v="-"/>
    <m/>
    <s v="oui"/>
    <s v="30% Vio 84 + 35 % Char 405 + 35% Chard 48"/>
    <n v="1"/>
    <n v="0.75"/>
    <n v="0.75"/>
  </r>
  <r>
    <d v="2017-04-04T00:00:00"/>
    <x v="28"/>
    <s v="-"/>
    <x v="0"/>
    <x v="0"/>
    <x v="0"/>
    <s v="riche"/>
    <n v="49"/>
    <m/>
    <s v="oui"/>
    <m/>
    <n v="2"/>
    <n v="0.375"/>
    <n v="0.75"/>
  </r>
  <r>
    <d v="2017-04-04T00:00:00"/>
    <x v="28"/>
    <s v="-"/>
    <x v="0"/>
    <x v="0"/>
    <x v="0"/>
    <s v="flatteur"/>
    <n v="48"/>
    <m/>
    <s v="oui"/>
    <m/>
    <n v="2"/>
    <n v="0.75"/>
    <n v="1.5"/>
  </r>
  <r>
    <d v="2017-04-04T00:00:00"/>
    <x v="28"/>
    <s v="-"/>
    <x v="0"/>
    <x v="0"/>
    <x v="0"/>
    <s v="supérieur"/>
    <n v="94"/>
    <m/>
    <s v="oui"/>
    <m/>
    <n v="2"/>
    <n v="0.375"/>
    <n v="0.75"/>
  </r>
  <r>
    <d v="2017-04-05T00:00:00"/>
    <x v="11"/>
    <s v="-"/>
    <x v="0"/>
    <x v="6"/>
    <x v="0"/>
    <s v="Lot Oc Blanc"/>
    <n v="419"/>
    <m/>
    <s v="oui"/>
    <m/>
    <n v="1"/>
    <n v="0.75"/>
    <n v="0.75"/>
  </r>
  <r>
    <d v="2017-04-05T00:00:00"/>
    <x v="9"/>
    <s v="Jacques Woloviek"/>
    <x v="0"/>
    <x v="0"/>
    <x v="0"/>
    <s v="Lot Solis"/>
    <n v="405"/>
    <m/>
    <s v="oui"/>
    <m/>
    <n v="1"/>
    <n v="0.75"/>
    <n v="0.75"/>
  </r>
  <r>
    <d v="2017-04-05T00:00:00"/>
    <x v="29"/>
    <s v="René Jeanjean"/>
    <x v="0"/>
    <x v="3"/>
    <x v="0"/>
    <s v="Lot bouteille + 24% 30"/>
    <s v="-"/>
    <m/>
    <s v="oui"/>
    <s v="76% bt FK7 + 24% c030"/>
    <n v="3"/>
    <n v="0.75"/>
    <n v="2.25"/>
  </r>
  <r>
    <d v="2017-04-05T00:00:00"/>
    <x v="2"/>
    <s v="-"/>
    <x v="0"/>
    <x v="31"/>
    <x v="2"/>
    <s v="Sans Muscat"/>
    <s v="-"/>
    <m/>
    <s v="oui"/>
    <m/>
    <n v="3"/>
    <n v="0.75"/>
    <n v="2.25"/>
  </r>
  <r>
    <d v="2017-04-05T00:00:00"/>
    <x v="9"/>
    <s v="Jacques Woloviek"/>
    <x v="0"/>
    <x v="0"/>
    <x v="0"/>
    <s v="Lot Jeanjean"/>
    <s v="-"/>
    <m/>
    <s v="oui"/>
    <s v="Non boisé"/>
    <n v="1"/>
    <n v="5"/>
    <n v="5"/>
  </r>
  <r>
    <d v="2017-04-05T00:00:00"/>
    <x v="9"/>
    <s v="Jacques Woloviek"/>
    <x v="0"/>
    <x v="0"/>
    <x v="0"/>
    <s v="Lot Jeanjean"/>
    <s v="-"/>
    <m/>
    <s v="oui"/>
    <s v="Bois :"/>
    <n v="1"/>
    <n v="5"/>
    <n v="5"/>
  </r>
  <r>
    <d v="2017-04-05T00:00:00"/>
    <x v="9"/>
    <s v="Jacques Woloviek"/>
    <x v="0"/>
    <x v="0"/>
    <x v="0"/>
    <s v="Lot Jeanjean"/>
    <s v="-"/>
    <m/>
    <s v="oui"/>
    <s v="Bois :"/>
    <n v="1"/>
    <n v="5"/>
    <n v="5"/>
  </r>
  <r>
    <d v="2017-04-10T00:00:00"/>
    <x v="20"/>
    <s v="-"/>
    <x v="0"/>
    <x v="42"/>
    <x v="0"/>
    <s v="-"/>
    <s v="-"/>
    <m/>
    <s v="oui"/>
    <s v="60% 409 + 40 % Vio 84"/>
    <n v="4"/>
    <n v="0.75"/>
    <n v="3"/>
  </r>
  <r>
    <d v="2017-04-11T00:00:00"/>
    <x v="2"/>
    <s v="-"/>
    <x v="0"/>
    <x v="2"/>
    <x v="0"/>
    <s v="-"/>
    <s v="NP79"/>
    <m/>
    <s v="oui"/>
    <m/>
    <n v="2"/>
    <n v="0.75"/>
    <n v="1.5"/>
  </r>
  <r>
    <d v="2017-04-11T00:00:00"/>
    <x v="2"/>
    <s v="-"/>
    <x v="0"/>
    <x v="2"/>
    <x v="0"/>
    <s v="-"/>
    <n v="85"/>
    <m/>
    <s v="oui"/>
    <m/>
    <n v="2"/>
    <n v="0.75"/>
    <n v="1.5"/>
  </r>
  <r>
    <d v="2017-04-12T00:00:00"/>
    <x v="1"/>
    <s v="Olivier Castillo"/>
    <x v="1"/>
    <x v="40"/>
    <x v="0"/>
    <s v="Hérault Rosé"/>
    <n v="16"/>
    <m/>
    <s v="oui"/>
    <m/>
    <n v="2"/>
    <n v="0.75"/>
    <n v="1.5"/>
  </r>
  <r>
    <d v="2017-04-12T00:00:00"/>
    <x v="1"/>
    <s v="JC Simon"/>
    <x v="1"/>
    <x v="8"/>
    <x v="0"/>
    <s v="Lot Cinsault"/>
    <s v="Ag 302"/>
    <m/>
    <s v="oui"/>
    <m/>
    <n v="3"/>
    <n v="0.75"/>
    <n v="2.25"/>
  </r>
  <r>
    <d v="2017-04-13T00:00:00"/>
    <x v="1"/>
    <s v="JC Simon"/>
    <x v="1"/>
    <x v="40"/>
    <x v="0"/>
    <s v="Hérault Rosé"/>
    <n v="16"/>
    <m/>
    <s v="oui"/>
    <m/>
    <n v="2"/>
    <n v="0.75"/>
    <n v="1.5"/>
  </r>
  <r>
    <d v="2017-04-13T00:00:00"/>
    <x v="1"/>
    <s v="JC Simon"/>
    <x v="1"/>
    <x v="40"/>
    <x v="0"/>
    <s v="Buvette Rosé"/>
    <n v="422"/>
    <m/>
    <s v="oui"/>
    <m/>
    <n v="2"/>
    <n v="0.75"/>
    <n v="1.5"/>
  </r>
  <r>
    <d v="2017-04-13T00:00:00"/>
    <x v="10"/>
    <s v="René Jeanjean"/>
    <x v="0"/>
    <x v="2"/>
    <x v="0"/>
    <s v="-"/>
    <s v="NP79"/>
    <m/>
    <s v="oui"/>
    <m/>
    <n v="2"/>
    <n v="0.75"/>
    <n v="1.5"/>
  </r>
  <r>
    <d v="2017-04-13T00:00:00"/>
    <x v="10"/>
    <s v="René Jeanjean"/>
    <x v="0"/>
    <x v="2"/>
    <x v="0"/>
    <s v="-"/>
    <n v="85"/>
    <m/>
    <s v="oui"/>
    <m/>
    <n v="2"/>
    <n v="0.75"/>
    <n v="1.5"/>
  </r>
  <r>
    <d v="2017-04-13T00:00:00"/>
    <x v="10"/>
    <s v="René Jeanjean"/>
    <x v="0"/>
    <x v="2"/>
    <x v="0"/>
    <s v="Ass. Viognier"/>
    <s v="-"/>
    <m/>
    <s v="oui"/>
    <s v="50% Vio NP79 + 50% Vio 85"/>
    <n v="2"/>
    <n v="0.75"/>
    <n v="1.5"/>
  </r>
  <r>
    <d v="2017-04-24T00:00:00"/>
    <x v="11"/>
    <s v="-"/>
    <x v="0"/>
    <x v="6"/>
    <x v="0"/>
    <s v="Lot Oc Blanc"/>
    <n v="419"/>
    <m/>
    <s v="oui"/>
    <m/>
    <n v="1"/>
    <n v="0.75"/>
    <n v="0.75"/>
  </r>
  <r>
    <d v="2017-04-24T00:00:00"/>
    <x v="11"/>
    <s v="-"/>
    <x v="2"/>
    <x v="5"/>
    <x v="0"/>
    <s v="Lot PN"/>
    <n v="129"/>
    <m/>
    <s v="oui"/>
    <m/>
    <n v="1"/>
    <n v="0.75"/>
    <n v="0.75"/>
  </r>
  <r>
    <d v="2017-04-24T00:00:00"/>
    <x v="11"/>
    <s v="-"/>
    <x v="0"/>
    <x v="0"/>
    <x v="0"/>
    <s v="Riche"/>
    <n v="411"/>
    <m/>
    <s v="oui"/>
    <m/>
    <n v="1"/>
    <n v="0.75"/>
    <n v="0.75"/>
  </r>
  <r>
    <d v="2017-04-24T00:00:00"/>
    <x v="11"/>
    <s v="-"/>
    <x v="0"/>
    <x v="3"/>
    <x v="0"/>
    <s v="-"/>
    <n v="328"/>
    <m/>
    <s v="oui"/>
    <m/>
    <n v="1"/>
    <n v="0.75"/>
    <n v="0.75"/>
  </r>
  <r>
    <d v="2017-04-24T00:00:00"/>
    <x v="11"/>
    <s v="-"/>
    <x v="0"/>
    <x v="2"/>
    <x v="0"/>
    <s v="-"/>
    <s v="NP79"/>
    <m/>
    <s v="oui"/>
    <m/>
    <n v="1"/>
    <n v="0.75"/>
    <n v="0.75"/>
  </r>
  <r>
    <d v="2017-04-24T00:00:00"/>
    <x v="11"/>
    <s v="-"/>
    <x v="0"/>
    <x v="2"/>
    <x v="0"/>
    <s v="-"/>
    <n v="85"/>
    <m/>
    <s v="oui"/>
    <m/>
    <n v="1"/>
    <n v="0.75"/>
    <n v="0.75"/>
  </r>
  <r>
    <d v="2017-04-24T00:00:00"/>
    <x v="11"/>
    <s v="-"/>
    <x v="0"/>
    <x v="3"/>
    <x v="0"/>
    <s v="-"/>
    <n v="30"/>
    <m/>
    <s v="oui"/>
    <m/>
    <n v="1"/>
    <n v="0.75"/>
    <n v="0.75"/>
  </r>
  <r>
    <d v="2017-04-24T00:00:00"/>
    <x v="11"/>
    <s v="-"/>
    <x v="1"/>
    <x v="8"/>
    <x v="0"/>
    <s v="-"/>
    <s v="Ag302"/>
    <m/>
    <s v="oui"/>
    <m/>
    <n v="1"/>
    <n v="0.75"/>
    <n v="0.75"/>
  </r>
  <r>
    <d v="2017-04-28T00:00:00"/>
    <x v="14"/>
    <s v="-"/>
    <x v="0"/>
    <x v="0"/>
    <x v="0"/>
    <s v="Riche"/>
    <n v="411"/>
    <m/>
    <s v="oui"/>
    <m/>
    <n v="2"/>
    <n v="0.75"/>
    <n v="1.5"/>
  </r>
  <r>
    <d v="2017-04-28T00:00:00"/>
    <x v="14"/>
    <s v="-"/>
    <x v="0"/>
    <x v="3"/>
    <x v="0"/>
    <s v="Lot 1"/>
    <n v="30"/>
    <m/>
    <s v="oui"/>
    <m/>
    <n v="2"/>
    <n v="0.75"/>
    <n v="1.5"/>
  </r>
  <r>
    <d v="2017-04-28T00:00:00"/>
    <x v="14"/>
    <s v="-"/>
    <x v="0"/>
    <x v="3"/>
    <x v="0"/>
    <s v="Lot 2"/>
    <n v="328"/>
    <m/>
    <s v="oui"/>
    <m/>
    <n v="2"/>
    <n v="0.75"/>
    <n v="1.5"/>
  </r>
  <r>
    <d v="2017-04-28T00:00:00"/>
    <x v="14"/>
    <s v="-"/>
    <x v="0"/>
    <x v="2"/>
    <x v="0"/>
    <s v="-"/>
    <s v="NP79"/>
    <m/>
    <s v="oui"/>
    <m/>
    <n v="3"/>
    <n v="0.75"/>
    <n v="2.25"/>
  </r>
  <r>
    <d v="2017-04-28T00:00:00"/>
    <x v="14"/>
    <s v="-"/>
    <x v="0"/>
    <x v="1"/>
    <x v="0"/>
    <s v="-"/>
    <n v="25"/>
    <m/>
    <s v="oui"/>
    <m/>
    <n v="3"/>
    <n v="0.75"/>
    <n v="2.25"/>
  </r>
  <r>
    <d v="2017-05-02T00:00:00"/>
    <x v="1"/>
    <s v="Vailhere Pascal"/>
    <x v="1"/>
    <x v="40"/>
    <x v="0"/>
    <s v="Hérault Rouge"/>
    <n v="415"/>
    <m/>
    <s v="oui"/>
    <m/>
    <n v="2"/>
    <n v="0.75"/>
    <n v="1.5"/>
  </r>
  <r>
    <d v="2017-05-02T00:00:00"/>
    <x v="2"/>
    <s v="-"/>
    <x v="1"/>
    <x v="8"/>
    <x v="0"/>
    <s v="Lot Cinsault"/>
    <s v="Ag302"/>
    <m/>
    <s v="oui"/>
    <m/>
    <n v="2"/>
    <n v="0.75"/>
    <n v="1.5"/>
  </r>
  <r>
    <d v="2017-05-04T00:00:00"/>
    <x v="1"/>
    <s v="TWS"/>
    <x v="0"/>
    <x v="0"/>
    <x v="0"/>
    <s v="Lot Solis"/>
    <n v="413"/>
    <m/>
    <s v="oui"/>
    <m/>
    <n v="3"/>
    <n v="0.75"/>
    <n v="2.25"/>
  </r>
  <r>
    <d v="2017-05-15T00:00:00"/>
    <x v="2"/>
    <s v="-"/>
    <x v="0"/>
    <x v="0"/>
    <x v="0"/>
    <s v="Lot Solis"/>
    <n v="413"/>
    <m/>
    <s v="oui"/>
    <m/>
    <n v="2"/>
    <n v="0.75"/>
    <n v="1.5"/>
  </r>
  <r>
    <d v="2017-05-15T00:00:00"/>
    <x v="2"/>
    <s v="-"/>
    <x v="2"/>
    <x v="7"/>
    <x v="0"/>
    <s v="-"/>
    <n v="130"/>
    <m/>
    <s v="oui"/>
    <m/>
    <n v="2"/>
    <n v="0.75"/>
    <n v="1.5"/>
  </r>
  <r>
    <d v="2017-05-15T00:00:00"/>
    <x v="9"/>
    <s v="Jacques Woloviek"/>
    <x v="0"/>
    <x v="0"/>
    <x v="0"/>
    <s v="Riche"/>
    <n v="414"/>
    <m/>
    <s v="oui"/>
    <m/>
    <n v="3"/>
    <n v="0.75"/>
    <n v="2.25"/>
  </r>
  <r>
    <d v="2017-05-15T00:00:00"/>
    <x v="9"/>
    <s v="Jacques Woloviek"/>
    <x v="0"/>
    <x v="0"/>
    <x v="0"/>
    <s v="Petit degré"/>
    <n v="24"/>
    <m/>
    <s v="oui"/>
    <m/>
    <n v="3"/>
    <n v="0.75"/>
    <n v="2.25"/>
  </r>
  <r>
    <d v="2017-05-15T00:00:00"/>
    <x v="1"/>
    <s v="San Nicolas"/>
    <x v="0"/>
    <x v="0"/>
    <x v="0"/>
    <s v="Lot Solis"/>
    <n v="413"/>
    <m/>
    <s v="oui"/>
    <s v="2 bouteilles pour LGI 2 bouteille autre client"/>
    <n v="4"/>
    <n v="0.75"/>
    <n v="3"/>
  </r>
  <r>
    <d v="2017-05-17T00:00:00"/>
    <x v="2"/>
    <s v="-"/>
    <x v="0"/>
    <x v="1"/>
    <x v="0"/>
    <s v="Lot Celliers du Vent"/>
    <n v="81"/>
    <m/>
    <s v="oui"/>
    <m/>
    <n v="2"/>
    <n v="0.75"/>
    <n v="1.5"/>
  </r>
  <r>
    <d v="2017-05-17T00:00:00"/>
    <x v="2"/>
    <s v="-"/>
    <x v="0"/>
    <x v="2"/>
    <x v="0"/>
    <m/>
    <s v="NP79"/>
    <m/>
    <s v="oui"/>
    <m/>
    <n v="2"/>
    <n v="0.75"/>
    <n v="1.5"/>
  </r>
  <r>
    <d v="2017-05-17T00:00:00"/>
    <x v="2"/>
    <s v="-"/>
    <x v="0"/>
    <x v="0"/>
    <x v="0"/>
    <s v="flatteur"/>
    <n v="48"/>
    <m/>
    <s v="oui"/>
    <m/>
    <n v="2"/>
    <n v="0.75"/>
    <n v="1.5"/>
  </r>
  <r>
    <d v="2017-05-17T00:00:00"/>
    <x v="20"/>
    <s v="-"/>
    <x v="2"/>
    <x v="5"/>
    <x v="1"/>
    <s v="-"/>
    <n v="39"/>
    <m/>
    <s v="oui"/>
    <m/>
    <n v="1"/>
    <n v="0.75"/>
    <n v="0.75"/>
  </r>
  <r>
    <d v="2017-05-17T00:00:00"/>
    <x v="20"/>
    <s v="-"/>
    <x v="2"/>
    <x v="5"/>
    <x v="0"/>
    <s v="-"/>
    <n v="129"/>
    <m/>
    <s v="oui"/>
    <m/>
    <n v="1"/>
    <n v="0.75"/>
    <n v="0.75"/>
  </r>
  <r>
    <d v="2017-05-17T00:00:00"/>
    <x v="20"/>
    <s v="-"/>
    <x v="2"/>
    <x v="41"/>
    <x v="1"/>
    <s v="Lot Inde"/>
    <n v="98"/>
    <m/>
    <s v="oui"/>
    <m/>
    <n v="1"/>
    <n v="0.75"/>
    <n v="0.75"/>
  </r>
  <r>
    <d v="2017-05-17T00:00:00"/>
    <x v="1"/>
    <s v="Vailhere Pascal"/>
    <x v="1"/>
    <x v="8"/>
    <x v="0"/>
    <s v="-"/>
    <s v="Ag153"/>
    <m/>
    <s v="oui"/>
    <m/>
    <n v="2"/>
    <n v="0.75"/>
    <n v="1.5"/>
  </r>
  <r>
    <d v="2017-05-22T00:00:00"/>
    <x v="30"/>
    <s v="Vailhere Pascal"/>
    <x v="1"/>
    <x v="8"/>
    <x v="0"/>
    <s v="-"/>
    <s v="Ag153"/>
    <m/>
    <s v="oui"/>
    <m/>
    <n v="2"/>
    <n v="0.75"/>
    <n v="1.5"/>
  </r>
  <r>
    <d v="2017-05-23T00:00:00"/>
    <x v="30"/>
    <s v="Vailhere Pascal"/>
    <x v="0"/>
    <x v="2"/>
    <x v="0"/>
    <s v="Lot 1"/>
    <s v="-"/>
    <m/>
    <s v="oui"/>
    <s v="50% NP79 + 25% 85 + 25% 5"/>
    <n v="2"/>
    <n v="0.75"/>
    <n v="1.5"/>
  </r>
  <r>
    <d v="2017-05-23T00:00:00"/>
    <x v="30"/>
    <s v="Vailhere Pascal"/>
    <x v="0"/>
    <x v="2"/>
    <x v="0"/>
    <s v="Lot 2"/>
    <s v="-"/>
    <m/>
    <s v="oui"/>
    <s v="50 % NP79 + 35 % 5 + 15 % 85"/>
    <n v="2"/>
    <n v="0.75"/>
    <n v="1.5"/>
  </r>
  <r>
    <d v="2017-06-13T00:00:00"/>
    <x v="2"/>
    <s v="-"/>
    <x v="0"/>
    <x v="1"/>
    <x v="0"/>
    <s v="VDF Sauvignon"/>
    <s v="-"/>
    <m/>
    <s v="oui"/>
    <s v="Ass 13/06/2017 ss colom"/>
    <n v="1"/>
    <n v="0.75"/>
    <n v="0.75"/>
  </r>
  <r>
    <d v="2017-06-13T00:00:00"/>
    <x v="2"/>
    <s v="-"/>
    <x v="0"/>
    <x v="1"/>
    <x v="0"/>
    <s v="VDF Sauvignon"/>
    <s v="-"/>
    <m/>
    <s v="oui"/>
    <s v="Ass 13/06/2017 avec colom"/>
    <n v="1"/>
    <n v="0.75"/>
    <n v="0.75"/>
  </r>
  <r>
    <d v="2017-06-15T00:00:00"/>
    <x v="1"/>
    <s v="Murphy winecompany"/>
    <x v="0"/>
    <x v="3"/>
    <x v="0"/>
    <s v="Petit degré"/>
    <n v="9"/>
    <m/>
    <s v="oui"/>
    <m/>
    <n v="2"/>
    <n v="0.75"/>
    <n v="1.5"/>
  </r>
  <r>
    <d v="2017-06-15T00:00:00"/>
    <x v="1"/>
    <s v="Murphy winecompany"/>
    <x v="0"/>
    <x v="1"/>
    <x v="0"/>
    <s v="Lot Celliers du Vent"/>
    <n v="81"/>
    <m/>
    <s v="oui"/>
    <m/>
    <n v="2"/>
    <n v="0.75"/>
    <n v="1.5"/>
  </r>
  <r>
    <d v="2017-06-15T00:00:00"/>
    <x v="1"/>
    <s v="Murphy winecompany"/>
    <x v="0"/>
    <x v="3"/>
    <x v="0"/>
    <s v="Muscat O2"/>
    <n v="328"/>
    <m/>
    <s v="oui"/>
    <m/>
    <n v="2"/>
    <n v="0.75"/>
    <n v="1.5"/>
  </r>
  <r>
    <d v="2017-06-15T00:00:00"/>
    <x v="1"/>
    <s v="Murphy winecompany"/>
    <x v="0"/>
    <x v="2"/>
    <x v="0"/>
    <s v="-"/>
    <n v="318"/>
    <m/>
    <s v="oui"/>
    <m/>
    <n v="2"/>
    <n v="0.75"/>
    <n v="1.5"/>
  </r>
  <r>
    <d v="2017-06-15T00:00:00"/>
    <x v="9"/>
    <s v="Jacques Woloviek"/>
    <x v="0"/>
    <x v="0"/>
    <x v="0"/>
    <s v="flatteur"/>
    <n v="21"/>
    <m/>
    <s v="oui"/>
    <m/>
    <n v="2"/>
    <n v="0.75"/>
    <n v="1.5"/>
  </r>
  <r>
    <d v="2017-06-15T00:00:00"/>
    <x v="9"/>
    <s v="Jacques Woloviek"/>
    <x v="0"/>
    <x v="0"/>
    <x v="0"/>
    <s v="riche"/>
    <n v="414"/>
    <m/>
    <s v="oui"/>
    <m/>
    <n v="2"/>
    <n v="0.75"/>
    <n v="1.5"/>
  </r>
  <r>
    <d v="2017-06-15T00:00:00"/>
    <x v="9"/>
    <s v="Jacques Woloviek"/>
    <x v="0"/>
    <x v="0"/>
    <x v="0"/>
    <s v="supérieur"/>
    <n v="94"/>
    <m/>
    <s v="oui"/>
    <m/>
    <n v="2"/>
    <n v="0.75"/>
    <n v="1.5"/>
  </r>
  <r>
    <d v="2017-06-15T00:00:00"/>
    <x v="31"/>
    <s v="Jacques Woloviek"/>
    <x v="0"/>
    <x v="0"/>
    <x v="0"/>
    <s v="Petit degré"/>
    <n v="24"/>
    <m/>
    <s v="oui"/>
    <m/>
    <n v="2"/>
    <n v="0.75"/>
    <n v="1.5"/>
  </r>
  <r>
    <d v="2017-06-15T00:00:00"/>
    <x v="32"/>
    <s v="-"/>
    <x v="0"/>
    <x v="2"/>
    <x v="0"/>
    <s v="-"/>
    <n v="5"/>
    <m/>
    <s v="oui"/>
    <m/>
    <n v="3"/>
    <n v="0.75"/>
    <n v="2.25"/>
  </r>
  <r>
    <d v="2017-06-15T00:00:00"/>
    <x v="32"/>
    <s v="-"/>
    <x v="0"/>
    <x v="2"/>
    <x v="0"/>
    <s v="Lot 1"/>
    <s v="-"/>
    <m/>
    <s v="oui"/>
    <s v="Lot 14/06/2017"/>
    <n v="3"/>
    <n v="0.75"/>
    <n v="2.25"/>
  </r>
  <r>
    <d v="2017-06-15T00:00:00"/>
    <x v="32"/>
    <s v="-"/>
    <x v="0"/>
    <x v="2"/>
    <x v="0"/>
    <s v="Lot 2"/>
    <s v="-"/>
    <m/>
    <s v="oui"/>
    <s v="Lot 14/06/2017"/>
    <n v="3"/>
    <n v="0.75"/>
    <n v="2.25"/>
  </r>
  <r>
    <d v="2017-06-15T00:00:00"/>
    <x v="10"/>
    <s v="-"/>
    <x v="0"/>
    <x v="0"/>
    <x v="1"/>
    <s v="-"/>
    <s v="-"/>
    <m/>
    <s v="oui"/>
    <s v="Rafraichi 40% flatteur + 60% 2015 variétal"/>
    <n v="1"/>
    <n v="0.75"/>
    <n v="0.75"/>
  </r>
  <r>
    <d v="2017-06-15T00:00:00"/>
    <x v="2"/>
    <s v="-"/>
    <x v="0"/>
    <x v="1"/>
    <x v="0"/>
    <s v="VDF Sauvignon"/>
    <s v="-"/>
    <m/>
    <s v="oui"/>
    <s v="Ass 13/06/2017 avec colom"/>
    <n v="2"/>
    <n v="0.75"/>
    <n v="1.5"/>
  </r>
  <r>
    <d v="2017-06-20T00:00:00"/>
    <x v="3"/>
    <s v="-"/>
    <x v="0"/>
    <x v="1"/>
    <x v="0"/>
    <s v="variétal"/>
    <n v="10"/>
    <m/>
    <s v="oui"/>
    <m/>
    <n v="1"/>
    <n v="5"/>
    <n v="5"/>
  </r>
  <r>
    <d v="2017-06-20T00:00:00"/>
    <x v="31"/>
    <s v="Jacques Woloviek"/>
    <x v="0"/>
    <x v="0"/>
    <x v="0"/>
    <s v="Petit degré"/>
    <n v="24"/>
    <m/>
    <s v="oui"/>
    <m/>
    <n v="1"/>
    <n v="0.75"/>
    <n v="0.75"/>
  </r>
  <r>
    <d v="2017-06-20T00:00:00"/>
    <x v="31"/>
    <s v="Jacques Woloviek"/>
    <x v="0"/>
    <x v="0"/>
    <x v="0"/>
    <s v="riche"/>
    <n v="414"/>
    <m/>
    <s v="oui"/>
    <m/>
    <n v="1"/>
    <n v="0.75"/>
    <n v="0.75"/>
  </r>
  <r>
    <d v="2017-06-20T00:00:00"/>
    <x v="31"/>
    <s v="Jacques Woloviek"/>
    <x v="0"/>
    <x v="6"/>
    <x v="0"/>
    <s v="Lot Oc Blanc"/>
    <n v="419"/>
    <m/>
    <s v="oui"/>
    <m/>
    <n v="1"/>
    <n v="0.75"/>
    <n v="0.75"/>
  </r>
  <r>
    <d v="2017-06-20T00:00:00"/>
    <x v="31"/>
    <s v="Jacques Woloviek"/>
    <x v="0"/>
    <x v="20"/>
    <x v="0"/>
    <s v="-"/>
    <n v="189"/>
    <m/>
    <s v="oui"/>
    <m/>
    <n v="1"/>
    <n v="0.75"/>
    <n v="0.75"/>
  </r>
  <r>
    <d v="2017-06-20T00:00:00"/>
    <x v="31"/>
    <s v="Jacques Woloviek"/>
    <x v="0"/>
    <x v="0"/>
    <x v="0"/>
    <s v="supérieur"/>
    <n v="329"/>
    <m/>
    <s v="oui"/>
    <m/>
    <n v="1"/>
    <n v="0.75"/>
    <n v="0.75"/>
  </r>
  <r>
    <d v="2017-07-11T00:00:00"/>
    <x v="33"/>
    <s v="-"/>
    <x v="0"/>
    <x v="16"/>
    <x v="0"/>
    <s v="Vic"/>
    <s v="-"/>
    <m/>
    <s v="oui"/>
    <s v="70%Vermentino45 + 30% LotSolis"/>
    <n v="2"/>
    <n v="0.75"/>
    <n v="1.5"/>
  </r>
  <r>
    <d v="2017-07-17T00:00:00"/>
    <x v="34"/>
    <s v="Pasquetto"/>
    <x v="0"/>
    <x v="0"/>
    <x v="0"/>
    <s v="Lot Solis"/>
    <n v="405"/>
    <m/>
    <s v="oui"/>
    <m/>
    <n v="2"/>
    <n v="0.75"/>
    <n v="1.5"/>
  </r>
  <r>
    <d v="2017-07-18T00:00:00"/>
    <x v="35"/>
    <s v="Pasquetto"/>
    <x v="0"/>
    <x v="0"/>
    <x v="0"/>
    <s v="Lot Solis"/>
    <n v="405"/>
    <m/>
    <s v="oui"/>
    <m/>
    <n v="6"/>
    <n v="0.75"/>
    <n v="4.5"/>
  </r>
  <r>
    <d v="2017-07-18T00:00:00"/>
    <x v="2"/>
    <s v="-"/>
    <x v="0"/>
    <x v="34"/>
    <x v="0"/>
    <s v="VDF Sauvignon"/>
    <n v="209"/>
    <m/>
    <s v="oui"/>
    <m/>
    <n v="2"/>
    <n v="0.75"/>
    <n v="1.5"/>
  </r>
  <r>
    <d v="2017-07-28T00:00:00"/>
    <x v="35"/>
    <s v="Pasquetto"/>
    <x v="0"/>
    <x v="44"/>
    <x v="0"/>
    <s v="VDF Chardonnay"/>
    <n v="18"/>
    <m/>
    <s v="oui"/>
    <m/>
    <n v="4"/>
    <n v="0.75"/>
    <n v="3"/>
  </r>
  <r>
    <d v="2017-08-07T00:00:00"/>
    <x v="1"/>
    <s v="SP Wines"/>
    <x v="0"/>
    <x v="3"/>
    <x v="0"/>
    <s v="Lot 2"/>
    <s v="-"/>
    <m/>
    <s v="oui"/>
    <s v="30 % C85 + 40% C328 + 30% C84"/>
    <n v="1"/>
    <n v="0.75"/>
    <n v="0.75"/>
  </r>
  <r>
    <d v="2017-08-07T00:00:00"/>
    <x v="1"/>
    <s v="SP Wines"/>
    <x v="0"/>
    <x v="3"/>
    <x v="0"/>
    <s v="-"/>
    <n v="85"/>
    <m/>
    <s v="oui"/>
    <m/>
    <n v="2"/>
    <n v="0.75"/>
    <n v="1.5"/>
  </r>
  <r>
    <d v="2017-08-07T00:00:00"/>
    <x v="1"/>
    <s v="SP Wines"/>
    <x v="0"/>
    <x v="3"/>
    <x v="0"/>
    <s v="Lot 3"/>
    <s v="-"/>
    <m/>
    <s v="oui"/>
    <s v="60% 328 + 40% 84"/>
    <n v="2"/>
    <n v="0.75"/>
    <n v="1.5"/>
  </r>
  <r>
    <d v="2017-09-27T00:00:00"/>
    <x v="2"/>
    <s v="-"/>
    <x v="0"/>
    <x v="3"/>
    <x v="3"/>
    <s v="-"/>
    <n v="313"/>
    <m/>
    <s v="oui"/>
    <m/>
    <n v="2"/>
    <n v="0.75"/>
    <n v="1.5"/>
  </r>
  <r>
    <d v="2017-09-27T00:00:00"/>
    <x v="2"/>
    <s v="-"/>
    <x v="0"/>
    <x v="3"/>
    <x v="3"/>
    <s v="-"/>
    <n v="49"/>
    <m/>
    <s v="oui"/>
    <m/>
    <n v="2"/>
    <n v="0.75"/>
    <n v="1.5"/>
  </r>
  <r>
    <d v="2017-09-27T00:00:00"/>
    <x v="29"/>
    <s v="René Jeanjean"/>
    <x v="0"/>
    <x v="1"/>
    <x v="3"/>
    <s v="-"/>
    <n v="124"/>
    <m/>
    <s v="oui"/>
    <m/>
    <n v="10"/>
    <n v="0.75"/>
    <n v="7.5"/>
  </r>
  <r>
    <d v="2017-09-27T00:00:00"/>
    <x v="2"/>
    <s v="-"/>
    <x v="0"/>
    <x v="1"/>
    <x v="3"/>
    <s v="-"/>
    <n v="402"/>
    <m/>
    <s v="oui"/>
    <m/>
    <n v="2"/>
    <n v="0.75"/>
    <n v="1.5"/>
  </r>
  <r>
    <d v="2017-09-27T00:00:00"/>
    <x v="2"/>
    <s v="-"/>
    <x v="0"/>
    <x v="1"/>
    <x v="3"/>
    <s v="-"/>
    <n v="418"/>
    <m/>
    <s v="oui"/>
    <m/>
    <n v="2"/>
    <n v="0.75"/>
    <n v="1.5"/>
  </r>
  <r>
    <d v="2017-09-27T00:00:00"/>
    <x v="2"/>
    <s v="-"/>
    <x v="0"/>
    <x v="1"/>
    <x v="3"/>
    <s v="-"/>
    <n v="420"/>
    <m/>
    <s v="oui"/>
    <m/>
    <n v="2"/>
    <n v="0.75"/>
    <n v="1.5"/>
  </r>
  <r>
    <d v="2017-09-27T00:00:00"/>
    <x v="2"/>
    <s v="-"/>
    <x v="0"/>
    <x v="1"/>
    <x v="3"/>
    <s v="-"/>
    <n v="421"/>
    <m/>
    <s v="oui"/>
    <m/>
    <n v="2"/>
    <n v="0.75"/>
    <n v="1.5"/>
  </r>
  <r>
    <d v="2017-09-27T00:00:00"/>
    <x v="2"/>
    <s v="-"/>
    <x v="0"/>
    <x v="1"/>
    <x v="3"/>
    <s v="-"/>
    <n v="15"/>
    <m/>
    <s v="oui"/>
    <m/>
    <n v="2"/>
    <n v="0.75"/>
    <n v="1.5"/>
  </r>
  <r>
    <d v="2017-09-27T00:00:00"/>
    <x v="2"/>
    <s v="-"/>
    <x v="0"/>
    <x v="3"/>
    <x v="3"/>
    <s v="-"/>
    <n v="313"/>
    <m/>
    <s v="oui"/>
    <m/>
    <n v="1"/>
    <n v="0.75"/>
    <n v="0.75"/>
  </r>
  <r>
    <d v="2017-09-27T00:00:00"/>
    <x v="2"/>
    <s v="-"/>
    <x v="0"/>
    <x v="3"/>
    <x v="3"/>
    <s v="-"/>
    <n v="49"/>
    <m/>
    <s v="oui"/>
    <m/>
    <n v="1"/>
    <n v="0.75"/>
    <n v="0.75"/>
  </r>
  <r>
    <d v="2017-09-27T00:00:00"/>
    <x v="2"/>
    <s v="-"/>
    <x v="0"/>
    <x v="3"/>
    <x v="3"/>
    <s v="-"/>
    <n v="78"/>
    <m/>
    <s v="oui"/>
    <m/>
    <n v="1"/>
    <n v="0.75"/>
    <n v="0.75"/>
  </r>
  <r>
    <d v="2017-09-27T00:00:00"/>
    <x v="2"/>
    <s v="-"/>
    <x v="0"/>
    <x v="0"/>
    <x v="3"/>
    <s v="-"/>
    <n v="413"/>
    <m/>
    <s v="oui"/>
    <m/>
    <n v="2"/>
    <n v="0.75"/>
    <n v="1.5"/>
  </r>
  <r>
    <d v="2017-09-27T00:00:00"/>
    <x v="2"/>
    <s v="-"/>
    <x v="0"/>
    <x v="0"/>
    <x v="3"/>
    <s v="-"/>
    <n v="209"/>
    <m/>
    <s v="oui"/>
    <m/>
    <n v="2"/>
    <n v="0.75"/>
    <n v="1.5"/>
  </r>
  <r>
    <d v="2017-09-27T00:00:00"/>
    <x v="10"/>
    <s v="René Jeanjean"/>
    <x v="0"/>
    <x v="2"/>
    <x v="0"/>
    <s v="Ass refresh"/>
    <s v="-"/>
    <m/>
    <s v="oui"/>
    <s v="39% 318 + 21% 192 + 40% 84"/>
    <n v="1"/>
    <n v="0.75"/>
    <n v="0.75"/>
  </r>
  <r>
    <d v="2017-10-02T00:00:00"/>
    <x v="2"/>
    <s v="-"/>
    <x v="0"/>
    <x v="1"/>
    <x v="3"/>
    <s v="Ass. Variétal"/>
    <s v="-"/>
    <m/>
    <s v="oui"/>
    <m/>
    <n v="3"/>
    <n v="0.75"/>
    <n v="2.25"/>
  </r>
  <r>
    <d v="2017-10-02T00:00:00"/>
    <x v="2"/>
    <s v="-"/>
    <x v="0"/>
    <x v="1"/>
    <x v="3"/>
    <s v="Ass. Classique"/>
    <s v="-"/>
    <m/>
    <s v="oui"/>
    <m/>
    <n v="3"/>
    <n v="0.75"/>
    <n v="2.25"/>
  </r>
  <r>
    <d v="2017-10-02T00:00:00"/>
    <x v="2"/>
    <s v="-"/>
    <x v="0"/>
    <x v="1"/>
    <x v="3"/>
    <s v="Ass supérieur"/>
    <s v="-"/>
    <m/>
    <s v="oui"/>
    <m/>
    <n v="3"/>
    <n v="0.75"/>
    <n v="2.25"/>
  </r>
  <r>
    <d v="2017-10-02T00:00:00"/>
    <x v="2"/>
    <s v="-"/>
    <x v="0"/>
    <x v="0"/>
    <x v="3"/>
    <s v="Ass. Classique"/>
    <s v="-"/>
    <m/>
    <s v="oui"/>
    <m/>
    <n v="2"/>
    <n v="0.75"/>
    <n v="1.5"/>
  </r>
  <r>
    <d v="2017-10-02T00:00:00"/>
    <x v="2"/>
    <s v="-"/>
    <x v="0"/>
    <x v="0"/>
    <x v="3"/>
    <s v="Ass. Variétal"/>
    <s v="-"/>
    <m/>
    <s v="oui"/>
    <m/>
    <n v="2"/>
    <n v="0.75"/>
    <n v="1.5"/>
  </r>
  <r>
    <d v="2017-10-02T00:00:00"/>
    <x v="2"/>
    <s v="-"/>
    <x v="0"/>
    <x v="0"/>
    <x v="3"/>
    <s v="Ass supérieur"/>
    <s v="-"/>
    <m/>
    <s v="oui"/>
    <m/>
    <n v="2"/>
    <n v="0.75"/>
    <n v="1.5"/>
  </r>
  <r>
    <d v="2017-10-03T00:00:00"/>
    <x v="1"/>
    <s v="-"/>
    <x v="0"/>
    <x v="1"/>
    <x v="3"/>
    <s v="Ass supérieur"/>
    <s v="-"/>
    <m/>
    <s v="oui"/>
    <m/>
    <n v="3"/>
    <n v="0.75"/>
    <n v="2.25"/>
  </r>
  <r>
    <d v="2017-10-05T00:00:00"/>
    <x v="2"/>
    <s v="-"/>
    <x v="2"/>
    <x v="45"/>
    <x v="2"/>
    <s v="Ass 1"/>
    <s v="-"/>
    <m/>
    <s v="oui"/>
    <s v="387 hL Hérault Rouge + 355 hL Cab 2015 + 50 hL Merlot bt 2016 + 50 hL CCF1 Maraval "/>
    <n v="1"/>
    <n v="0.75"/>
    <n v="0.75"/>
  </r>
  <r>
    <d v="2017-10-05T00:00:00"/>
    <x v="2"/>
    <s v="-"/>
    <x v="2"/>
    <x v="45"/>
    <x v="2"/>
    <s v="Ass 2"/>
    <s v="-"/>
    <m/>
    <s v="oui"/>
    <s v="387 hL Hérault Rouge + 255 hL Cab 2015 + 50 hL Merlot bt 2016 + 100 hL CF1"/>
    <n v="1"/>
    <n v="0.75"/>
    <n v="0.75"/>
  </r>
  <r>
    <d v="2017-10-06T00:00:00"/>
    <x v="2"/>
    <s v="-"/>
    <x v="0"/>
    <x v="1"/>
    <x v="2"/>
    <s v="Ass. Variétal"/>
    <s v="-"/>
    <m/>
    <s v="oui"/>
    <m/>
    <n v="1"/>
    <n v="0.75"/>
    <n v="0.75"/>
  </r>
  <r>
    <d v="2017-10-09T00:00:00"/>
    <x v="2"/>
    <s v="-"/>
    <x v="0"/>
    <x v="1"/>
    <x v="3"/>
    <s v="Ass. Variétal"/>
    <s v="-"/>
    <m/>
    <s v="oui"/>
    <m/>
    <n v="3"/>
    <n v="0.75"/>
    <n v="2.25"/>
  </r>
  <r>
    <d v="2017-10-09T00:00:00"/>
    <x v="2"/>
    <s v="-"/>
    <x v="0"/>
    <x v="1"/>
    <x v="3"/>
    <s v="Ass. Classique"/>
    <s v="-"/>
    <m/>
    <s v="oui"/>
    <m/>
    <n v="3"/>
    <n v="0.75"/>
    <n v="2.25"/>
  </r>
  <r>
    <d v="2017-10-09T00:00:00"/>
    <x v="2"/>
    <s v="-"/>
    <x v="0"/>
    <x v="1"/>
    <x v="3"/>
    <s v="Ass supérieur"/>
    <s v="-"/>
    <m/>
    <s v="oui"/>
    <m/>
    <n v="3"/>
    <n v="0.75"/>
    <n v="2.25"/>
  </r>
  <r>
    <d v="2017-10-09T00:00:00"/>
    <x v="2"/>
    <s v="-"/>
    <x v="0"/>
    <x v="0"/>
    <x v="3"/>
    <s v="Ass. Classique"/>
    <s v="-"/>
    <m/>
    <s v="oui"/>
    <m/>
    <n v="3"/>
    <n v="0.75"/>
    <n v="2.25"/>
  </r>
  <r>
    <d v="2017-10-09T00:00:00"/>
    <x v="2"/>
    <s v="-"/>
    <x v="0"/>
    <x v="0"/>
    <x v="3"/>
    <s v="Ass. Variétal"/>
    <s v="-"/>
    <m/>
    <s v="oui"/>
    <m/>
    <n v="3"/>
    <n v="0.75"/>
    <n v="2.25"/>
  </r>
  <r>
    <d v="2017-10-09T00:00:00"/>
    <x v="2"/>
    <s v="-"/>
    <x v="0"/>
    <x v="0"/>
    <x v="3"/>
    <s v="Ass supérieur"/>
    <s v="-"/>
    <m/>
    <s v="oui"/>
    <m/>
    <n v="3"/>
    <n v="0.75"/>
    <n v="2.25"/>
  </r>
  <r>
    <d v="2017-10-09T00:00:00"/>
    <x v="2"/>
    <s v="-"/>
    <x v="1"/>
    <x v="10"/>
    <x v="3"/>
    <s v="-"/>
    <n v="202"/>
    <m/>
    <s v="oui"/>
    <m/>
    <n v="1"/>
    <n v="0.75"/>
    <n v="0.75"/>
  </r>
  <r>
    <d v="2017-10-09T00:00:00"/>
    <x v="2"/>
    <s v="-"/>
    <x v="0"/>
    <x v="31"/>
    <x v="3"/>
    <s v="-"/>
    <n v="197"/>
    <m/>
    <s v="oui"/>
    <m/>
    <n v="1"/>
    <n v="0.75"/>
    <n v="0.75"/>
  </r>
  <r>
    <d v="2017-10-10T00:00:00"/>
    <x v="1"/>
    <s v="Vailhere Pascal"/>
    <x v="0"/>
    <x v="0"/>
    <x v="0"/>
    <s v="Riche"/>
    <n v="20"/>
    <m/>
    <s v="oui"/>
    <m/>
    <n v="2"/>
    <n v="0.75"/>
    <n v="1.5"/>
  </r>
  <r>
    <d v="2017-10-10T00:00:00"/>
    <x v="1"/>
    <s v="Vailhere Pascal"/>
    <x v="2"/>
    <x v="35"/>
    <x v="0"/>
    <s v="Ass solde"/>
    <s v="-"/>
    <m/>
    <s v="oui"/>
    <s v="36% 148 + 30% 154 + 15% CF1 + 5% FK3 + 15% 139"/>
    <n v="1"/>
    <n v="0.75"/>
    <n v="0.75"/>
  </r>
  <r>
    <d v="2017-10-10T00:00:00"/>
    <x v="1"/>
    <s v="SP Wines"/>
    <x v="2"/>
    <x v="35"/>
    <x v="0"/>
    <s v="Ass solde"/>
    <s v="-"/>
    <m/>
    <s v="oui"/>
    <s v="36% 148 + 30% 154 + 15% CF1 + 5% FK3 + 15% 139"/>
    <n v="1"/>
    <n v="0.75"/>
    <n v="0.75"/>
  </r>
  <r>
    <d v="2017-10-11T00:00:00"/>
    <x v="1"/>
    <s v="Olivier Castillo"/>
    <x v="0"/>
    <x v="0"/>
    <x v="3"/>
    <s v="Ass. Classique"/>
    <s v="-"/>
    <m/>
    <s v="oui"/>
    <m/>
    <n v="3"/>
    <n v="0.75"/>
    <n v="2.25"/>
  </r>
  <r>
    <d v="2017-10-11T00:00:00"/>
    <x v="1"/>
    <s v="Olivier Castillo"/>
    <x v="0"/>
    <x v="0"/>
    <x v="3"/>
    <s v="Ass. Variétal"/>
    <s v="-"/>
    <m/>
    <s v="oui"/>
    <m/>
    <n v="3"/>
    <n v="0.75"/>
    <n v="2.25"/>
  </r>
  <r>
    <d v="2017-10-11T00:00:00"/>
    <x v="1"/>
    <s v="Olivier Castillo"/>
    <x v="0"/>
    <x v="1"/>
    <x v="3"/>
    <s v="Ass. Classique"/>
    <s v="-"/>
    <m/>
    <s v="oui"/>
    <m/>
    <n v="3"/>
    <n v="0.75"/>
    <n v="2.25"/>
  </r>
  <r>
    <d v="2017-10-12T00:00:00"/>
    <x v="1"/>
    <s v="Vailhere Pascal"/>
    <x v="0"/>
    <x v="3"/>
    <x v="3"/>
    <s v="Lot Petit degré"/>
    <s v="-"/>
    <m/>
    <s v="oui"/>
    <s v="50% 79 + 50% 313"/>
    <n v="2"/>
    <n v="0.75"/>
    <n v="1.5"/>
  </r>
  <r>
    <d v="2017-10-12T00:00:00"/>
    <x v="5"/>
    <m/>
    <x v="1"/>
    <x v="7"/>
    <x v="3"/>
    <s v="-"/>
    <n v="206"/>
    <m/>
    <s v="oui"/>
    <m/>
    <n v="6"/>
    <n v="0.75"/>
    <n v="4.5"/>
  </r>
  <r>
    <d v="2017-10-12T00:00:00"/>
    <x v="2"/>
    <m/>
    <x v="0"/>
    <x v="3"/>
    <x v="3"/>
    <s v="-"/>
    <n v="48"/>
    <m/>
    <s v="oui"/>
    <m/>
    <n v="1"/>
    <n v="0.75"/>
    <n v="0.75"/>
  </r>
  <r>
    <d v="2017-10-12T00:00:00"/>
    <x v="2"/>
    <m/>
    <x v="0"/>
    <x v="3"/>
    <x v="3"/>
    <s v="-"/>
    <n v="49"/>
    <m/>
    <s v="oui"/>
    <m/>
    <n v="1"/>
    <n v="0.75"/>
    <n v="0.75"/>
  </r>
  <r>
    <d v="2017-10-12T00:00:00"/>
    <x v="2"/>
    <m/>
    <x v="0"/>
    <x v="3"/>
    <x v="3"/>
    <s v="-"/>
    <n v="313"/>
    <m/>
    <s v="oui"/>
    <m/>
    <n v="1"/>
    <n v="0.75"/>
    <n v="0.75"/>
  </r>
  <r>
    <d v="2017-10-12T00:00:00"/>
    <x v="1"/>
    <s v="San Nicolas"/>
    <x v="0"/>
    <x v="0"/>
    <x v="3"/>
    <s v="classique"/>
    <s v="-"/>
    <m/>
    <s v="oui"/>
    <m/>
    <n v="2"/>
    <n v="0.75"/>
    <n v="1.5"/>
  </r>
  <r>
    <d v="2017-10-12T00:00:00"/>
    <x v="1"/>
    <s v="San Nicolas"/>
    <x v="0"/>
    <x v="0"/>
    <x v="3"/>
    <s v="variétal"/>
    <s v="-"/>
    <m/>
    <s v="oui"/>
    <m/>
    <n v="1"/>
    <n v="0.75"/>
    <n v="0.75"/>
  </r>
  <r>
    <d v="2017-10-12T00:00:00"/>
    <x v="1"/>
    <s v="San Nicolas"/>
    <x v="0"/>
    <x v="0"/>
    <x v="3"/>
    <s v="supérieur"/>
    <s v="-"/>
    <m/>
    <s v="oui"/>
    <m/>
    <n v="2"/>
    <n v="0.75"/>
    <n v="1.5"/>
  </r>
  <r>
    <d v="2017-10-12T00:00:00"/>
    <x v="1"/>
    <s v="San Nicolas"/>
    <x v="0"/>
    <x v="1"/>
    <x v="3"/>
    <s v="classique"/>
    <s v="-"/>
    <m/>
    <s v="oui"/>
    <m/>
    <n v="2"/>
    <n v="0.75"/>
    <n v="1.5"/>
  </r>
  <r>
    <d v="2017-10-12T00:00:00"/>
    <x v="1"/>
    <s v="San Nicolas"/>
    <x v="0"/>
    <x v="1"/>
    <x v="3"/>
    <s v="variétal"/>
    <s v="-"/>
    <m/>
    <s v="oui"/>
    <m/>
    <n v="2"/>
    <n v="0.75"/>
    <n v="1.5"/>
  </r>
  <r>
    <d v="2017-10-12T00:00:00"/>
    <x v="1"/>
    <s v="San Nicolas"/>
    <x v="0"/>
    <x v="2"/>
    <x v="3"/>
    <s v="-"/>
    <n v="6"/>
    <m/>
    <s v="oui"/>
    <m/>
    <n v="2"/>
    <n v="0.75"/>
    <n v="1.5"/>
  </r>
  <r>
    <d v="2017-10-16T00:00:00"/>
    <x v="1"/>
    <s v="René Jeanjean"/>
    <x v="0"/>
    <x v="0"/>
    <x v="3"/>
    <s v="Petit degré"/>
    <s v="NP68"/>
    <m/>
    <s v="oui"/>
    <m/>
    <n v="3"/>
    <n v="0.75"/>
    <n v="2.25"/>
  </r>
  <r>
    <d v="2017-10-16T00:00:00"/>
    <x v="1"/>
    <s v="TWS"/>
    <x v="0"/>
    <x v="3"/>
    <x v="3"/>
    <s v="-"/>
    <n v="49"/>
    <m/>
    <s v="oui"/>
    <m/>
    <n v="3"/>
    <n v="0.75"/>
    <n v="2.25"/>
  </r>
  <r>
    <d v="2017-10-16T00:00:00"/>
    <x v="1"/>
    <s v="TWS"/>
    <x v="0"/>
    <x v="3"/>
    <x v="3"/>
    <s v="-"/>
    <n v="313"/>
    <m/>
    <s v="oui"/>
    <m/>
    <n v="3"/>
    <n v="0.75"/>
    <n v="2.25"/>
  </r>
  <r>
    <d v="2017-10-16T00:00:00"/>
    <x v="2"/>
    <m/>
    <x v="0"/>
    <x v="6"/>
    <x v="3"/>
    <s v="-"/>
    <n v="197"/>
    <m/>
    <s v="oui"/>
    <m/>
    <n v="2"/>
    <n v="0.75"/>
    <n v="1.5"/>
  </r>
  <r>
    <d v="2017-10-16T00:00:00"/>
    <x v="2"/>
    <m/>
    <x v="0"/>
    <x v="6"/>
    <x v="3"/>
    <s v="-"/>
    <n v="201"/>
    <m/>
    <s v="oui"/>
    <m/>
    <n v="2"/>
    <n v="0.75"/>
    <n v="1.5"/>
  </r>
  <r>
    <d v="2017-10-16T00:00:00"/>
    <x v="2"/>
    <m/>
    <x v="1"/>
    <x v="10"/>
    <x v="3"/>
    <s v="-"/>
    <n v="202"/>
    <m/>
    <s v="oui"/>
    <m/>
    <n v="2"/>
    <n v="0.75"/>
    <n v="1.5"/>
  </r>
  <r>
    <d v="2017-10-16T00:00:00"/>
    <x v="2"/>
    <m/>
    <x v="0"/>
    <x v="3"/>
    <x v="3"/>
    <s v="-"/>
    <n v="49"/>
    <m/>
    <s v="oui"/>
    <m/>
    <n v="2"/>
    <n v="0.75"/>
    <n v="1.5"/>
  </r>
  <r>
    <d v="2017-10-16T00:00:00"/>
    <x v="2"/>
    <m/>
    <x v="0"/>
    <x v="3"/>
    <x v="3"/>
    <s v="-"/>
    <n v="313"/>
    <m/>
    <s v="oui"/>
    <m/>
    <n v="2"/>
    <n v="0.75"/>
    <n v="1.5"/>
  </r>
  <r>
    <d v="2017-10-16T00:00:00"/>
    <x v="2"/>
    <m/>
    <x v="0"/>
    <x v="2"/>
    <x v="3"/>
    <s v="-"/>
    <n v="6"/>
    <m/>
    <s v="oui"/>
    <m/>
    <n v="2"/>
    <n v="0.75"/>
    <n v="1.5"/>
  </r>
  <r>
    <d v="2017-10-16T00:00:00"/>
    <x v="2"/>
    <m/>
    <x v="0"/>
    <x v="2"/>
    <x v="3"/>
    <s v="-"/>
    <n v="78"/>
    <m/>
    <s v="oui"/>
    <m/>
    <n v="2"/>
    <n v="0.75"/>
    <n v="1.5"/>
  </r>
  <r>
    <d v="2017-10-16T00:00:00"/>
    <x v="2"/>
    <m/>
    <x v="0"/>
    <x v="0"/>
    <x v="3"/>
    <s v="classique"/>
    <s v="-"/>
    <m/>
    <s v="oui"/>
    <m/>
    <n v="3"/>
    <n v="0.75"/>
    <n v="2.25"/>
  </r>
  <r>
    <d v="2017-10-16T00:00:00"/>
    <x v="2"/>
    <m/>
    <x v="0"/>
    <x v="0"/>
    <x v="3"/>
    <s v="variétal"/>
    <s v="-"/>
    <m/>
    <s v="oui"/>
    <m/>
    <n v="3"/>
    <n v="0.75"/>
    <n v="2.25"/>
  </r>
  <r>
    <d v="2017-10-16T00:00:00"/>
    <x v="2"/>
    <m/>
    <x v="0"/>
    <x v="0"/>
    <x v="3"/>
    <s v="supérieur"/>
    <s v="-"/>
    <m/>
    <s v="oui"/>
    <m/>
    <n v="3"/>
    <n v="0.75"/>
    <n v="2.25"/>
  </r>
  <r>
    <d v="2017-10-16T00:00:00"/>
    <x v="2"/>
    <m/>
    <x v="0"/>
    <x v="1"/>
    <x v="3"/>
    <s v="classique"/>
    <s v="-"/>
    <m/>
    <s v="oui"/>
    <m/>
    <n v="3"/>
    <n v="0.75"/>
    <n v="2.25"/>
  </r>
  <r>
    <d v="2017-10-16T00:00:00"/>
    <x v="2"/>
    <m/>
    <x v="0"/>
    <x v="1"/>
    <x v="3"/>
    <s v="variétal"/>
    <s v="-"/>
    <m/>
    <s v="oui"/>
    <m/>
    <n v="2"/>
    <n v="0.75"/>
    <n v="1.5"/>
  </r>
  <r>
    <d v="2017-10-17T00:00:00"/>
    <x v="36"/>
    <s v="SP Wines"/>
    <x v="0"/>
    <x v="2"/>
    <x v="3"/>
    <s v="-"/>
    <n v="6"/>
    <m/>
    <s v="oui"/>
    <m/>
    <n v="2"/>
    <n v="0.75"/>
    <n v="1.5"/>
  </r>
  <r>
    <d v="2017-10-17T00:00:00"/>
    <x v="36"/>
    <s v="SP Wines"/>
    <x v="0"/>
    <x v="2"/>
    <x v="3"/>
    <s v="-"/>
    <n v="78"/>
    <m/>
    <s v="oui"/>
    <m/>
    <n v="2"/>
    <n v="0.75"/>
    <n v="1.5"/>
  </r>
  <r>
    <d v="2017-10-17T00:00:00"/>
    <x v="36"/>
    <s v="SP Wines"/>
    <x v="0"/>
    <x v="2"/>
    <x v="3"/>
    <s v="-"/>
    <n v="54"/>
    <m/>
    <s v="oui"/>
    <m/>
    <n v="2"/>
    <n v="0.75"/>
    <n v="1.5"/>
  </r>
  <r>
    <d v="2017-10-17T00:00:00"/>
    <x v="36"/>
    <s v="SP Wines"/>
    <x v="0"/>
    <x v="2"/>
    <x v="3"/>
    <s v="-"/>
    <n v="84"/>
    <m/>
    <s v="oui"/>
    <m/>
    <n v="2"/>
    <n v="0.75"/>
    <n v="1.5"/>
  </r>
  <r>
    <d v="2017-10-17T00:00:00"/>
    <x v="36"/>
    <s v="SP Wines"/>
    <x v="0"/>
    <x v="21"/>
    <x v="3"/>
    <s v="-"/>
    <n v="80"/>
    <m/>
    <s v="oui"/>
    <m/>
    <n v="2"/>
    <n v="0.75"/>
    <n v="1.5"/>
  </r>
  <r>
    <d v="2017-10-17T00:00:00"/>
    <x v="36"/>
    <s v="SP Wines"/>
    <x v="0"/>
    <x v="21"/>
    <x v="3"/>
    <s v="-"/>
    <n v="26"/>
    <m/>
    <s v="oui"/>
    <m/>
    <n v="2"/>
    <n v="0.75"/>
    <n v="1.5"/>
  </r>
  <r>
    <d v="2017-10-17T00:00:00"/>
    <x v="25"/>
    <s v="SP Wines"/>
    <x v="0"/>
    <x v="0"/>
    <x v="3"/>
    <s v="classique"/>
    <s v="-"/>
    <m/>
    <s v="oui"/>
    <m/>
    <n v="2"/>
    <n v="0.75"/>
    <n v="1.5"/>
  </r>
  <r>
    <d v="2017-10-17T00:00:00"/>
    <x v="25"/>
    <s v="SP Wines"/>
    <x v="0"/>
    <x v="0"/>
    <x v="3"/>
    <s v="variétal"/>
    <s v="-"/>
    <m/>
    <s v="oui"/>
    <m/>
    <n v="2"/>
    <n v="0.75"/>
    <n v="1.5"/>
  </r>
  <r>
    <d v="2017-10-17T00:00:00"/>
    <x v="25"/>
    <s v="SP Wines"/>
    <x v="0"/>
    <x v="0"/>
    <x v="3"/>
    <s v="supérieur"/>
    <s v="-"/>
    <m/>
    <s v="oui"/>
    <m/>
    <n v="2"/>
    <n v="0.75"/>
    <n v="1.5"/>
  </r>
  <r>
    <d v="2017-10-17T00:00:00"/>
    <x v="37"/>
    <s v="Murphy winecompany"/>
    <x v="0"/>
    <x v="0"/>
    <x v="3"/>
    <s v="Petit degré"/>
    <s v="-"/>
    <m/>
    <s v="oui"/>
    <s v="Nommé Lot 1 Petit degré"/>
    <n v="1"/>
    <n v="0.75"/>
    <n v="0.75"/>
  </r>
  <r>
    <d v="2017-10-17T00:00:00"/>
    <x v="37"/>
    <s v="Murphy winecompany"/>
    <x v="0"/>
    <x v="0"/>
    <x v="3"/>
    <s v="Petit degré Lot 2"/>
    <s v="-"/>
    <m/>
    <s v="oui"/>
    <s v="Lot 2 = 70% Lot Petit degré + 30% Lot classique"/>
    <n v="1"/>
    <n v="0.75"/>
    <n v="0.75"/>
  </r>
  <r>
    <d v="2017-10-17T00:00:00"/>
    <x v="37"/>
    <s v="Murphy winecompany"/>
    <x v="0"/>
    <x v="0"/>
    <x v="3"/>
    <s v="variétal"/>
    <s v="-"/>
    <m/>
    <s v="oui"/>
    <m/>
    <n v="1"/>
    <n v="0.75"/>
    <n v="0.75"/>
  </r>
  <r>
    <d v="2017-10-17T00:00:00"/>
    <x v="37"/>
    <s v="Murphy winecompany"/>
    <x v="0"/>
    <x v="0"/>
    <x v="3"/>
    <s v="supérieur"/>
    <s v="-"/>
    <m/>
    <s v="oui"/>
    <m/>
    <n v="1"/>
    <n v="0.75"/>
    <n v="0.75"/>
  </r>
  <r>
    <d v="2017-10-17T00:00:00"/>
    <x v="37"/>
    <s v="Murphy winecompany"/>
    <x v="1"/>
    <x v="38"/>
    <x v="3"/>
    <s v="Lot 1"/>
    <s v="-"/>
    <m/>
    <s v="oui"/>
    <s v="60% 202 (Rosé trad) + 40 % 65 (Caladoc)"/>
    <n v="1"/>
    <n v="0.75"/>
    <n v="0.75"/>
  </r>
  <r>
    <d v="2017-10-17T00:00:00"/>
    <x v="37"/>
    <s v="Murphy winecompany"/>
    <x v="1"/>
    <x v="38"/>
    <x v="3"/>
    <s v="Lot 2"/>
    <s v="-"/>
    <m/>
    <s v="oui"/>
    <s v="75 % 202 (Rosé trad) + 25% 65 (Caladoc)"/>
    <n v="1"/>
    <n v="0.75"/>
    <n v="0.75"/>
  </r>
  <r>
    <d v="2017-10-17T00:00:00"/>
    <x v="38"/>
    <s v="Murphy winecompany"/>
    <x v="1"/>
    <x v="46"/>
    <x v="3"/>
    <s v="-"/>
    <n v="202"/>
    <m/>
    <s v="oui"/>
    <m/>
    <n v="3"/>
    <n v="0.75"/>
    <n v="2.25"/>
  </r>
  <r>
    <d v="2017-10-18T00:00:00"/>
    <x v="1"/>
    <s v="Gilles Lambert"/>
    <x v="0"/>
    <x v="1"/>
    <x v="3"/>
    <s v="classique"/>
    <s v="-"/>
    <m/>
    <s v="oui"/>
    <m/>
    <n v="2"/>
    <n v="0.75"/>
    <n v="1.5"/>
  </r>
  <r>
    <d v="2017-10-18T00:00:00"/>
    <x v="1"/>
    <s v="Gilles Lambert"/>
    <x v="0"/>
    <x v="0"/>
    <x v="3"/>
    <s v="classique"/>
    <n v="75"/>
    <m/>
    <s v="oui"/>
    <m/>
    <n v="2"/>
    <n v="0.75"/>
    <n v="1.5"/>
  </r>
  <r>
    <d v="2017-10-18T00:00:00"/>
    <x v="1"/>
    <s v="Gilles Lambert"/>
    <x v="0"/>
    <x v="0"/>
    <x v="3"/>
    <s v="variétal"/>
    <s v="-"/>
    <m/>
    <s v="oui"/>
    <m/>
    <n v="2"/>
    <n v="0.75"/>
    <n v="1.5"/>
  </r>
  <r>
    <d v="2017-10-19T00:00:00"/>
    <x v="38"/>
    <s v="Murphy winecompany"/>
    <x v="1"/>
    <x v="46"/>
    <x v="3"/>
    <s v="Lot Prov"/>
    <s v="-"/>
    <m/>
    <s v="oui"/>
    <s v="Lot Rosé pâle défini le 19/10/2017"/>
    <n v="4"/>
    <n v="0.75"/>
    <n v="3"/>
  </r>
  <r>
    <d v="2017-10-19T00:00:00"/>
    <x v="5"/>
    <s v="-"/>
    <x v="0"/>
    <x v="1"/>
    <x v="3"/>
    <s v="variétal"/>
    <n v="423"/>
    <m/>
    <s v="oui"/>
    <m/>
    <n v="2"/>
    <n v="0.75"/>
    <n v="1.5"/>
  </r>
  <r>
    <d v="2017-10-19T00:00:00"/>
    <x v="39"/>
    <s v="SP Wines"/>
    <x v="1"/>
    <x v="47"/>
    <x v="3"/>
    <s v="Lot Prov"/>
    <s v="-"/>
    <m/>
    <s v="oui"/>
    <s v="Lot Rosé pâle défini le 19/10/2017"/>
    <n v="2"/>
    <n v="0.75"/>
    <n v="1.5"/>
  </r>
  <r>
    <d v="2017-10-20T00:00:00"/>
    <x v="9"/>
    <s v="Jacques Woloviek"/>
    <x v="1"/>
    <x v="10"/>
    <x v="3"/>
    <s v="Lot 1"/>
    <s v="-"/>
    <m/>
    <s v="oui"/>
    <s v="Lot Prov"/>
    <n v="6"/>
    <n v="0.75"/>
    <n v="4.5"/>
  </r>
  <r>
    <d v="2017-10-20T00:00:00"/>
    <x v="9"/>
    <s v="Jacques Woloviek"/>
    <x v="1"/>
    <x v="10"/>
    <x v="3"/>
    <s v="Lot 2"/>
    <s v="-"/>
    <m/>
    <s v="oui"/>
    <s v="Lot Hérault"/>
    <n v="6"/>
    <n v="0.75"/>
    <n v="4.5"/>
  </r>
  <r>
    <d v="2017-10-23T00:00:00"/>
    <x v="9"/>
    <s v="Jacques Woloviek"/>
    <x v="0"/>
    <x v="3"/>
    <x v="3"/>
    <s v="-"/>
    <n v="313"/>
    <m/>
    <s v="oui"/>
    <m/>
    <n v="6"/>
    <n v="0.75"/>
    <n v="4.5"/>
  </r>
  <r>
    <d v="2017-10-23T00:00:00"/>
    <x v="9"/>
    <s v="Jacques Woloviek"/>
    <x v="0"/>
    <x v="3"/>
    <x v="3"/>
    <s v="-"/>
    <n v="79"/>
    <m/>
    <s v="oui"/>
    <m/>
    <n v="6"/>
    <n v="0.75"/>
    <n v="4.5"/>
  </r>
  <r>
    <d v="2017-10-23T00:00:00"/>
    <x v="4"/>
    <s v="-"/>
    <x v="0"/>
    <x v="0"/>
    <x v="3"/>
    <s v="classique"/>
    <n v="14"/>
    <m/>
    <s v="oui"/>
    <m/>
    <n v="2"/>
    <n v="0.75"/>
    <n v="1.5"/>
  </r>
  <r>
    <d v="2017-10-23T00:00:00"/>
    <x v="4"/>
    <s v="-"/>
    <x v="0"/>
    <x v="0"/>
    <x v="3"/>
    <s v="variétal"/>
    <s v="-"/>
    <m/>
    <s v="oui"/>
    <m/>
    <n v="2"/>
    <n v="0.75"/>
    <n v="1.5"/>
  </r>
  <r>
    <d v="2017-10-23T00:00:00"/>
    <x v="4"/>
    <s v="-"/>
    <x v="0"/>
    <x v="0"/>
    <x v="3"/>
    <s v="supérieur"/>
    <s v="-"/>
    <m/>
    <s v="oui"/>
    <m/>
    <n v="2"/>
    <n v="0.75"/>
    <n v="1.5"/>
  </r>
  <r>
    <d v="2017-10-23T00:00:00"/>
    <x v="4"/>
    <s v="-"/>
    <x v="0"/>
    <x v="1"/>
    <x v="3"/>
    <s v="classique"/>
    <s v="-"/>
    <m/>
    <s v="oui"/>
    <m/>
    <n v="2"/>
    <n v="0.75"/>
    <n v="1.5"/>
  </r>
  <r>
    <d v="2017-10-23T00:00:00"/>
    <x v="4"/>
    <s v="-"/>
    <x v="1"/>
    <x v="10"/>
    <x v="3"/>
    <s v="Lot 1"/>
    <s v="-"/>
    <m/>
    <s v="oui"/>
    <s v="Lot Prov"/>
    <n v="2"/>
    <n v="0.75"/>
    <n v="1.5"/>
  </r>
  <r>
    <d v="2017-10-23T00:00:00"/>
    <x v="4"/>
    <s v="-"/>
    <x v="1"/>
    <x v="10"/>
    <x v="3"/>
    <s v="Lot 2"/>
    <s v="-"/>
    <m/>
    <s v="oui"/>
    <s v="Lot Hérault"/>
    <n v="2"/>
    <n v="0.75"/>
    <n v="1.5"/>
  </r>
  <r>
    <d v="2017-10-23T00:00:00"/>
    <x v="3"/>
    <s v="-"/>
    <x v="0"/>
    <x v="1"/>
    <x v="3"/>
    <s v="classique"/>
    <s v="-"/>
    <m/>
    <s v="oui"/>
    <m/>
    <n v="2"/>
    <n v="0.75"/>
    <n v="1.5"/>
  </r>
  <r>
    <d v="2017-10-23T00:00:00"/>
    <x v="3"/>
    <s v="-"/>
    <x v="0"/>
    <x v="0"/>
    <x v="3"/>
    <s v="classique"/>
    <s v="-"/>
    <m/>
    <s v="oui"/>
    <m/>
    <n v="1"/>
    <n v="0.75"/>
    <n v="0.75"/>
  </r>
  <r>
    <d v="2017-10-23T00:00:00"/>
    <x v="3"/>
    <s v="-"/>
    <x v="0"/>
    <x v="0"/>
    <x v="3"/>
    <s v="variétal"/>
    <s v="-"/>
    <m/>
    <s v="oui"/>
    <m/>
    <n v="2"/>
    <n v="0.75"/>
    <n v="1.5"/>
  </r>
  <r>
    <d v="2017-10-23T00:00:00"/>
    <x v="3"/>
    <s v="-"/>
    <x v="0"/>
    <x v="3"/>
    <x v="3"/>
    <s v="-"/>
    <n v="313"/>
    <m/>
    <s v="oui"/>
    <m/>
    <n v="2"/>
    <n v="0.75"/>
    <n v="1.5"/>
  </r>
  <r>
    <d v="2017-10-23T00:00:00"/>
    <x v="3"/>
    <s v="-"/>
    <x v="0"/>
    <x v="2"/>
    <x v="3"/>
    <s v="-"/>
    <s v="-"/>
    <m/>
    <s v="oui"/>
    <s v="400 hL 6 + 300 hL 78"/>
    <n v="2"/>
    <n v="0.75"/>
    <n v="1.5"/>
  </r>
  <r>
    <d v="2017-10-24T00:00:00"/>
    <x v="2"/>
    <s v="-"/>
    <x v="0"/>
    <x v="0"/>
    <x v="3"/>
    <s v="classique"/>
    <n v="14"/>
    <m/>
    <s v="oui"/>
    <m/>
    <n v="4"/>
    <n v="0.75"/>
    <n v="3"/>
  </r>
  <r>
    <d v="2017-10-24T00:00:00"/>
    <x v="2"/>
    <s v="-"/>
    <x v="0"/>
    <x v="0"/>
    <x v="3"/>
    <s v="variétal"/>
    <s v="-"/>
    <m/>
    <s v="oui"/>
    <m/>
    <n v="2"/>
    <n v="0.75"/>
    <n v="1.5"/>
  </r>
  <r>
    <d v="2017-10-24T00:00:00"/>
    <x v="2"/>
    <s v="-"/>
    <x v="0"/>
    <x v="0"/>
    <x v="3"/>
    <s v="supérieur"/>
    <s v="-"/>
    <m/>
    <s v="oui"/>
    <m/>
    <n v="4"/>
    <n v="0.75"/>
    <n v="3"/>
  </r>
  <r>
    <d v="2017-10-24T00:00:00"/>
    <x v="2"/>
    <s v="-"/>
    <x v="0"/>
    <x v="1"/>
    <x v="3"/>
    <s v="classique"/>
    <s v="-"/>
    <m/>
    <s v="oui"/>
    <m/>
    <n v="2"/>
    <n v="0.75"/>
    <n v="1.5"/>
  </r>
  <r>
    <d v="2017-10-24T00:00:00"/>
    <x v="2"/>
    <s v="-"/>
    <x v="0"/>
    <x v="1"/>
    <x v="3"/>
    <s v="variétal"/>
    <n v="423"/>
    <m/>
    <s v="oui"/>
    <m/>
    <n v="2"/>
    <n v="0.75"/>
    <n v="1.5"/>
  </r>
  <r>
    <d v="2017-10-24T00:00:00"/>
    <x v="2"/>
    <s v="-"/>
    <x v="0"/>
    <x v="2"/>
    <x v="3"/>
    <s v="boisé"/>
    <n v="318"/>
    <m/>
    <s v="oui"/>
    <m/>
    <n v="2"/>
    <n v="0.75"/>
    <n v="1.5"/>
  </r>
  <r>
    <d v="2017-10-24T00:00:00"/>
    <x v="2"/>
    <s v="-"/>
    <x v="0"/>
    <x v="2"/>
    <x v="3"/>
    <s v="-"/>
    <n v="78"/>
    <m/>
    <s v="oui"/>
    <m/>
    <n v="1"/>
    <n v="0.75"/>
    <n v="0.75"/>
  </r>
  <r>
    <d v="2017-10-24T00:00:00"/>
    <x v="2"/>
    <s v="-"/>
    <x v="0"/>
    <x v="2"/>
    <x v="3"/>
    <s v="-"/>
    <n v="6"/>
    <m/>
    <s v="oui"/>
    <m/>
    <n v="1"/>
    <n v="0.75"/>
    <n v="0.75"/>
  </r>
  <r>
    <d v="2017-10-24T00:00:00"/>
    <x v="2"/>
    <s v="-"/>
    <x v="0"/>
    <x v="2"/>
    <x v="3"/>
    <s v="-"/>
    <n v="84"/>
    <m/>
    <s v="oui"/>
    <m/>
    <n v="1"/>
    <n v="0.75"/>
    <n v="0.75"/>
  </r>
  <r>
    <d v="2017-10-24T00:00:00"/>
    <x v="1"/>
    <s v="San Nicolas"/>
    <x v="0"/>
    <x v="16"/>
    <x v="3"/>
    <s v="Oc Blanc"/>
    <s v="-"/>
    <m/>
    <s v="oui"/>
    <m/>
    <n v="1"/>
    <n v="0.75"/>
    <n v="0.75"/>
  </r>
  <r>
    <d v="2017-10-24T00:00:00"/>
    <x v="1"/>
    <s v="San Nicolas"/>
    <x v="0"/>
    <x v="1"/>
    <x v="3"/>
    <s v="classique"/>
    <s v="-"/>
    <m/>
    <s v="oui"/>
    <m/>
    <n v="2"/>
    <n v="0.75"/>
    <n v="1.5"/>
  </r>
  <r>
    <d v="2017-10-24T00:00:00"/>
    <x v="1"/>
    <s v="San Nicolas"/>
    <x v="0"/>
    <x v="0"/>
    <x v="3"/>
    <s v="classique"/>
    <s v="-"/>
    <m/>
    <s v="oui"/>
    <m/>
    <n v="2"/>
    <n v="0.75"/>
    <n v="1.5"/>
  </r>
  <r>
    <d v="2017-10-24T00:00:00"/>
    <x v="1"/>
    <s v="San Nicolas"/>
    <x v="0"/>
    <x v="0"/>
    <x v="3"/>
    <s v="variétal"/>
    <s v="-"/>
    <m/>
    <s v="oui"/>
    <m/>
    <n v="2"/>
    <n v="0.75"/>
    <n v="1.5"/>
  </r>
  <r>
    <d v="2017-10-24T00:00:00"/>
    <x v="1"/>
    <s v="San Nicolas"/>
    <x v="0"/>
    <x v="0"/>
    <x v="3"/>
    <s v="supérieur"/>
    <s v="-"/>
    <m/>
    <s v="oui"/>
    <m/>
    <n v="2"/>
    <n v="0.75"/>
    <n v="1.5"/>
  </r>
  <r>
    <d v="2017-10-24T00:00:00"/>
    <x v="1"/>
    <s v="San Nicolas"/>
    <x v="1"/>
    <x v="10"/>
    <x v="3"/>
    <s v="Lot 1"/>
    <s v="-"/>
    <m/>
    <s v="oui"/>
    <m/>
    <n v="2"/>
    <n v="0.75"/>
    <n v="1.5"/>
  </r>
  <r>
    <d v="2017-10-25T00:00:00"/>
    <x v="7"/>
    <s v="-"/>
    <x v="0"/>
    <x v="1"/>
    <x v="3"/>
    <s v="classique"/>
    <s v="-"/>
    <m/>
    <s v="oui"/>
    <m/>
    <n v="1"/>
    <n v="0.75"/>
    <n v="0.75"/>
  </r>
  <r>
    <d v="2017-10-25T00:00:00"/>
    <x v="7"/>
    <s v="-"/>
    <x v="0"/>
    <x v="1"/>
    <x v="3"/>
    <s v="variétal"/>
    <n v="423"/>
    <m/>
    <s v="oui"/>
    <m/>
    <n v="1"/>
    <n v="0.75"/>
    <n v="0.75"/>
  </r>
  <r>
    <d v="2017-10-25T00:00:00"/>
    <x v="7"/>
    <s v="-"/>
    <x v="0"/>
    <x v="1"/>
    <x v="3"/>
    <s v="supérieur"/>
    <s v="-"/>
    <m/>
    <s v="oui"/>
    <m/>
    <n v="1"/>
    <n v="0.75"/>
    <n v="0.75"/>
  </r>
  <r>
    <d v="2017-10-25T00:00:00"/>
    <x v="7"/>
    <s v="-"/>
    <x v="0"/>
    <x v="31"/>
    <x v="3"/>
    <s v="Oc Blanc"/>
    <s v="-"/>
    <m/>
    <s v="oui"/>
    <m/>
    <n v="1"/>
    <n v="0.75"/>
    <n v="0.75"/>
  </r>
  <r>
    <d v="2017-10-25T00:00:00"/>
    <x v="7"/>
    <s v="-"/>
    <x v="1"/>
    <x v="10"/>
    <x v="3"/>
    <s v="Lot 1"/>
    <s v="-"/>
    <m/>
    <s v="oui"/>
    <m/>
    <n v="1"/>
    <n v="0.75"/>
    <n v="0.75"/>
  </r>
  <r>
    <d v="2017-10-26T00:00:00"/>
    <x v="40"/>
    <s v="SP Wines"/>
    <x v="1"/>
    <x v="10"/>
    <x v="3"/>
    <s v="Lot 1"/>
    <s v="-"/>
    <m/>
    <s v="oui"/>
    <m/>
    <n v="2"/>
    <n v="0.75"/>
    <n v="1.5"/>
  </r>
  <r>
    <d v="2017-10-26T00:00:00"/>
    <x v="40"/>
    <s v="SP Wines"/>
    <x v="0"/>
    <x v="0"/>
    <x v="3"/>
    <s v="supérieur"/>
    <s v="-"/>
    <m/>
    <s v="oui"/>
    <m/>
    <n v="2"/>
    <n v="0.75"/>
    <n v="1.5"/>
  </r>
  <r>
    <d v="2017-10-26T00:00:00"/>
    <x v="40"/>
    <s v="SP Wines"/>
    <x v="0"/>
    <x v="0"/>
    <x v="3"/>
    <s v="variétal"/>
    <s v="-"/>
    <m/>
    <s v="oui"/>
    <m/>
    <n v="2"/>
    <n v="0.75"/>
    <n v="1.5"/>
  </r>
  <r>
    <d v="2017-10-29T00:00:00"/>
    <x v="29"/>
    <s v="René Jeanjean"/>
    <x v="0"/>
    <x v="1"/>
    <x v="3"/>
    <s v="variétal"/>
    <n v="423"/>
    <m/>
    <s v="oui"/>
    <m/>
    <n v="1"/>
    <n v="0.75"/>
    <n v="0.75"/>
  </r>
  <r>
    <d v="2017-10-29T00:00:00"/>
    <x v="29"/>
    <s v="René Jeanjean"/>
    <x v="0"/>
    <x v="1"/>
    <x v="3"/>
    <s v="supérieur"/>
    <s v="-"/>
    <m/>
    <s v="oui"/>
    <m/>
    <n v="1"/>
    <n v="0.75"/>
    <n v="0.75"/>
  </r>
  <r>
    <d v="2017-10-29T00:00:00"/>
    <x v="29"/>
    <s v="René Jeanjean"/>
    <x v="0"/>
    <x v="1"/>
    <x v="3"/>
    <s v="classique"/>
    <s v="-"/>
    <m/>
    <s v="oui"/>
    <m/>
    <n v="1"/>
    <n v="0.75"/>
    <n v="0.75"/>
  </r>
  <r>
    <d v="2017-10-29T00:00:00"/>
    <x v="29"/>
    <s v="René Jeanjean"/>
    <x v="0"/>
    <x v="0"/>
    <x v="3"/>
    <s v="classique"/>
    <n v="14"/>
    <m/>
    <s v="oui"/>
    <m/>
    <n v="1"/>
    <n v="0.75"/>
    <n v="0.75"/>
  </r>
  <r>
    <d v="2017-10-29T00:00:00"/>
    <x v="29"/>
    <s v="René Jeanjean"/>
    <x v="0"/>
    <x v="0"/>
    <x v="3"/>
    <s v="variétal"/>
    <s v="-"/>
    <m/>
    <s v="oui"/>
    <m/>
    <n v="1"/>
    <n v="0.75"/>
    <n v="0.75"/>
  </r>
  <r>
    <d v="2017-10-29T00:00:00"/>
    <x v="29"/>
    <s v="René Jeanjean"/>
    <x v="0"/>
    <x v="0"/>
    <x v="3"/>
    <s v="supérieur"/>
    <s v="-"/>
    <m/>
    <s v="oui"/>
    <m/>
    <n v="1"/>
    <n v="0.75"/>
    <n v="0.75"/>
  </r>
  <r>
    <d v="2017-10-29T00:00:00"/>
    <x v="29"/>
    <s v="René Jeanjean"/>
    <x v="1"/>
    <x v="40"/>
    <x v="3"/>
    <s v="Lot 2"/>
    <s v="-"/>
    <m/>
    <s v="oui"/>
    <m/>
    <n v="1"/>
    <n v="0.75"/>
    <n v="0.75"/>
  </r>
  <r>
    <d v="2017-10-29T00:00:00"/>
    <x v="29"/>
    <s v="René Jeanjean"/>
    <x v="1"/>
    <x v="7"/>
    <x v="3"/>
    <s v="Lot"/>
    <s v="-"/>
    <m/>
    <s v="oui"/>
    <m/>
    <n v="1"/>
    <n v="0.75"/>
    <n v="0.75"/>
  </r>
  <r>
    <d v="2017-10-29T00:00:00"/>
    <x v="29"/>
    <s v="René Jeanjean"/>
    <x v="1"/>
    <x v="13"/>
    <x v="3"/>
    <s v="Lot"/>
    <s v="-"/>
    <m/>
    <s v="oui"/>
    <m/>
    <n v="1"/>
    <n v="0.75"/>
    <n v="0.75"/>
  </r>
  <r>
    <d v="2017-10-29T00:00:00"/>
    <x v="29"/>
    <s v="René Jeanjean"/>
    <x v="0"/>
    <x v="31"/>
    <x v="3"/>
    <s v="Oc Blanc"/>
    <s v="-"/>
    <m/>
    <s v="oui"/>
    <m/>
    <n v="1"/>
    <n v="0.75"/>
    <n v="0.75"/>
  </r>
  <r>
    <d v="2017-10-30T00:00:00"/>
    <x v="2"/>
    <s v="-"/>
    <x v="0"/>
    <x v="0"/>
    <x v="3"/>
    <s v="classique"/>
    <n v="14"/>
    <m/>
    <s v="oui"/>
    <m/>
    <n v="3"/>
    <n v="0.75"/>
    <n v="2.25"/>
  </r>
  <r>
    <d v="2017-10-30T00:00:00"/>
    <x v="2"/>
    <s v="-"/>
    <x v="0"/>
    <x v="0"/>
    <x v="3"/>
    <s v="variétal"/>
    <s v="-"/>
    <m/>
    <s v="oui"/>
    <m/>
    <n v="3"/>
    <n v="0.75"/>
    <n v="2.25"/>
  </r>
  <r>
    <d v="2017-10-30T00:00:00"/>
    <x v="2"/>
    <s v="-"/>
    <x v="0"/>
    <x v="0"/>
    <x v="3"/>
    <s v="supérieur"/>
    <s v="-"/>
    <m/>
    <s v="oui"/>
    <m/>
    <n v="3"/>
    <n v="0.75"/>
    <n v="2.25"/>
  </r>
  <r>
    <d v="2017-10-30T00:00:00"/>
    <x v="2"/>
    <s v="-"/>
    <x v="0"/>
    <x v="3"/>
    <x v="3"/>
    <s v="-"/>
    <n v="313"/>
    <m/>
    <s v="oui"/>
    <m/>
    <n v="1"/>
    <n v="0.75"/>
    <n v="0.75"/>
  </r>
  <r>
    <d v="2017-10-31T00:00:00"/>
    <x v="19"/>
    <s v="Pasquetto"/>
    <x v="0"/>
    <x v="44"/>
    <x v="3"/>
    <s v="Lot 1"/>
    <s v="-"/>
    <m/>
    <s v="oui"/>
    <s v="Voir assemblage 2017"/>
    <n v="1"/>
    <n v="0.75"/>
    <n v="0.75"/>
  </r>
  <r>
    <d v="2017-10-31T00:00:00"/>
    <x v="19"/>
    <s v="Pasquetto"/>
    <x v="0"/>
    <x v="44"/>
    <x v="3"/>
    <s v="Lot 2"/>
    <s v="-"/>
    <m/>
    <s v="oui"/>
    <s v="Voir assemblage 2017"/>
    <n v="1"/>
    <n v="0.75"/>
    <n v="0.75"/>
  </r>
  <r>
    <d v="2017-10-31T00:00:00"/>
    <x v="19"/>
    <s v="Pasquetto"/>
    <x v="0"/>
    <x v="44"/>
    <x v="3"/>
    <s v="Lot 3"/>
    <s v="-"/>
    <m/>
    <s v="oui"/>
    <s v="Voir assemblage 2017"/>
    <n v="1"/>
    <n v="0.75"/>
    <n v="0.75"/>
  </r>
  <r>
    <d v="2017-10-31T00:00:00"/>
    <x v="1"/>
    <s v="San Nicolas"/>
    <x v="0"/>
    <x v="0"/>
    <x v="3"/>
    <s v="variétal"/>
    <s v="-"/>
    <m/>
    <s v="oui"/>
    <m/>
    <n v="2"/>
    <n v="0.75"/>
    <n v="1.5"/>
  </r>
  <r>
    <d v="2017-10-31T00:00:00"/>
    <x v="1"/>
    <s v="San Nicolas"/>
    <x v="0"/>
    <x v="0"/>
    <x v="3"/>
    <s v="supérieur"/>
    <s v="-"/>
    <m/>
    <s v="oui"/>
    <m/>
    <n v="2"/>
    <n v="0.75"/>
    <n v="1.5"/>
  </r>
  <r>
    <d v="2017-10-31T00:00:00"/>
    <x v="3"/>
    <s v="-"/>
    <x v="0"/>
    <x v="1"/>
    <x v="3"/>
    <s v="classique"/>
    <s v="-"/>
    <m/>
    <s v="oui"/>
    <m/>
    <n v="3"/>
    <n v="10"/>
    <n v="30"/>
  </r>
  <r>
    <d v="2017-10-31T00:00:00"/>
    <x v="3"/>
    <s v="-"/>
    <x v="0"/>
    <x v="2"/>
    <x v="3"/>
    <s v="Lot Viognier"/>
    <n v="417"/>
    <m/>
    <s v="oui"/>
    <m/>
    <n v="1"/>
    <n v="15"/>
    <n v="15"/>
  </r>
  <r>
    <d v="2017-11-02T00:00:00"/>
    <x v="12"/>
    <s v="San Nicolas"/>
    <x v="0"/>
    <x v="0"/>
    <x v="3"/>
    <s v="classique"/>
    <n v="14"/>
    <m/>
    <s v="oui"/>
    <m/>
    <n v="2"/>
    <n v="0.75"/>
    <n v="1.5"/>
  </r>
  <r>
    <d v="2017-11-02T00:00:00"/>
    <x v="1"/>
    <s v="Lambert Gilles"/>
    <x v="0"/>
    <x v="0"/>
    <x v="3"/>
    <s v="variétal"/>
    <s v="-"/>
    <m/>
    <s v="oui"/>
    <s v="Voir assemblage 2017"/>
    <n v="3"/>
    <n v="0.75"/>
    <n v="2.25"/>
  </r>
  <r>
    <d v="2017-11-06T00:00:00"/>
    <x v="1"/>
    <s v="TWS"/>
    <x v="0"/>
    <x v="3"/>
    <x v="3"/>
    <s v="-"/>
    <n v="313"/>
    <m/>
    <s v="oui"/>
    <m/>
    <n v="6"/>
    <n v="0.75"/>
    <n v="4.5"/>
  </r>
  <r>
    <d v="2017-11-07T00:00:00"/>
    <x v="2"/>
    <s v="-"/>
    <x v="0"/>
    <x v="0"/>
    <x v="3"/>
    <s v="classique"/>
    <n v="14"/>
    <m/>
    <s v="oui"/>
    <m/>
    <n v="4"/>
    <n v="0.75"/>
    <n v="3"/>
  </r>
  <r>
    <d v="2017-11-07T00:00:00"/>
    <x v="2"/>
    <s v="-"/>
    <x v="0"/>
    <x v="0"/>
    <x v="3"/>
    <s v="variétal"/>
    <s v="-"/>
    <m/>
    <s v="oui"/>
    <m/>
    <n v="2"/>
    <n v="0.75"/>
    <n v="1.5"/>
  </r>
  <r>
    <d v="2017-11-07T00:00:00"/>
    <x v="2"/>
    <s v="-"/>
    <x v="0"/>
    <x v="0"/>
    <x v="3"/>
    <s v="supérieur"/>
    <s v="-"/>
    <m/>
    <s v="oui"/>
    <m/>
    <n v="2"/>
    <n v="0.75"/>
    <n v="1.5"/>
  </r>
  <r>
    <d v="2017-11-07T00:00:00"/>
    <x v="2"/>
    <s v="-"/>
    <x v="0"/>
    <x v="2"/>
    <x v="3"/>
    <s v="-"/>
    <n v="417"/>
    <m/>
    <s v="oui"/>
    <m/>
    <n v="2"/>
    <n v="0.75"/>
    <n v="1.5"/>
  </r>
  <r>
    <d v="2017-11-07T00:00:00"/>
    <x v="2"/>
    <s v="-"/>
    <x v="0"/>
    <x v="2"/>
    <x v="3"/>
    <s v="boisé"/>
    <n v="318"/>
    <m/>
    <s v="oui"/>
    <m/>
    <n v="2"/>
    <n v="0.75"/>
    <n v="1.5"/>
  </r>
  <r>
    <d v="2017-11-07T00:00:00"/>
    <x v="2"/>
    <s v="-"/>
    <x v="0"/>
    <x v="3"/>
    <x v="3"/>
    <s v="-"/>
    <n v="313"/>
    <m/>
    <s v="oui"/>
    <m/>
    <n v="3"/>
    <n v="0.75"/>
    <n v="2.25"/>
  </r>
  <r>
    <d v="2017-11-07T00:00:00"/>
    <x v="1"/>
    <s v="San Nicolas"/>
    <x v="1"/>
    <x v="10"/>
    <x v="3"/>
    <s v="Lot 2"/>
    <s v="-"/>
    <m/>
    <s v="oui"/>
    <s v="Hérault Rosé"/>
    <n v="3"/>
    <n v="0.75"/>
    <n v="2.25"/>
  </r>
  <r>
    <d v="2017-11-08T00:00:00"/>
    <x v="1"/>
    <s v="Gilles Louvet"/>
    <x v="0"/>
    <x v="9"/>
    <x v="3"/>
    <s v="-"/>
    <n v="88"/>
    <m/>
    <s v="oui"/>
    <m/>
    <n v="2"/>
    <n v="0.75"/>
    <n v="1.5"/>
  </r>
  <r>
    <d v="2017-11-08T00:00:00"/>
    <x v="1"/>
    <s v="Gilles Louvet"/>
    <x v="0"/>
    <x v="11"/>
    <x v="3"/>
    <s v="-"/>
    <n v="98"/>
    <m/>
    <s v="oui"/>
    <m/>
    <n v="2"/>
    <n v="0.75"/>
    <n v="1.5"/>
  </r>
  <r>
    <d v="2017-11-08T00:00:00"/>
    <x v="1"/>
    <s v="Gilles Louvet"/>
    <x v="0"/>
    <x v="0"/>
    <x v="3"/>
    <s v="variétal"/>
    <s v="-"/>
    <m/>
    <s v="oui"/>
    <m/>
    <n v="2"/>
    <n v="0.75"/>
    <n v="1.5"/>
  </r>
  <r>
    <d v="2017-11-08T00:00:00"/>
    <x v="1"/>
    <s v="Gilles Louvet"/>
    <x v="0"/>
    <x v="0"/>
    <x v="3"/>
    <s v="supérieur"/>
    <s v="-"/>
    <m/>
    <s v="oui"/>
    <m/>
    <n v="2"/>
    <n v="0.75"/>
    <n v="1.5"/>
  </r>
  <r>
    <d v="2017-11-08T00:00:00"/>
    <x v="1"/>
    <s v="Gilles Louvet"/>
    <x v="1"/>
    <x v="10"/>
    <x v="3"/>
    <s v="Lot 1"/>
    <s v="-"/>
    <m/>
    <s v="oui"/>
    <m/>
    <n v="2"/>
    <n v="0.75"/>
    <n v="1.5"/>
  </r>
  <r>
    <d v="2017-11-08T00:00:00"/>
    <x v="1"/>
    <s v="SP Wines"/>
    <x v="0"/>
    <x v="0"/>
    <x v="3"/>
    <s v="variétal"/>
    <s v="-"/>
    <m/>
    <s v="oui"/>
    <m/>
    <n v="2"/>
    <n v="0.75"/>
    <n v="1.5"/>
  </r>
  <r>
    <d v="2017-11-08T00:00:00"/>
    <x v="1"/>
    <s v="SP Wines"/>
    <x v="0"/>
    <x v="0"/>
    <x v="3"/>
    <s v="supérieur"/>
    <s v="-"/>
    <m/>
    <s v="oui"/>
    <m/>
    <n v="2"/>
    <n v="0.75"/>
    <n v="1.5"/>
  </r>
  <r>
    <d v="2017-11-08T00:00:00"/>
    <x v="1"/>
    <s v="SP Wines"/>
    <x v="0"/>
    <x v="2"/>
    <x v="3"/>
    <s v="-"/>
    <n v="417"/>
    <m/>
    <s v="oui"/>
    <m/>
    <n v="2"/>
    <n v="0.75"/>
    <n v="1.5"/>
  </r>
  <r>
    <d v="2017-11-08T00:00:00"/>
    <x v="1"/>
    <s v="SP Wines"/>
    <x v="1"/>
    <x v="19"/>
    <x v="3"/>
    <s v="Lot Grenache"/>
    <s v="-"/>
    <m/>
    <s v="oui"/>
    <m/>
    <n v="2"/>
    <n v="0.75"/>
    <n v="1.5"/>
  </r>
  <r>
    <d v="2017-11-08T00:00:00"/>
    <x v="1"/>
    <s v="SP Wines"/>
    <x v="1"/>
    <x v="13"/>
    <x v="3"/>
    <s v="Lot Cabernet"/>
    <s v="-"/>
    <m/>
    <s v="oui"/>
    <m/>
    <n v="2"/>
    <n v="0.75"/>
    <n v="1.5"/>
  </r>
  <r>
    <d v="2017-11-08T00:00:00"/>
    <x v="1"/>
    <s v="SP Wines"/>
    <x v="2"/>
    <x v="13"/>
    <x v="3"/>
    <s v="Lot Cabernet"/>
    <s v="-"/>
    <m/>
    <s v="oui"/>
    <m/>
    <n v="2"/>
    <n v="0.75"/>
    <n v="1.5"/>
  </r>
  <r>
    <d v="2017-11-08T00:00:00"/>
    <x v="1"/>
    <s v="JC Simon"/>
    <x v="0"/>
    <x v="0"/>
    <x v="3"/>
    <s v="variétal"/>
    <s v="-"/>
    <m/>
    <s v="oui"/>
    <m/>
    <n v="4"/>
    <n v="0.75"/>
    <n v="3"/>
  </r>
  <r>
    <d v="2017-11-08T00:00:00"/>
    <x v="1"/>
    <s v="JC Simon"/>
    <x v="0"/>
    <x v="0"/>
    <x v="3"/>
    <s v="supérieur"/>
    <s v="-"/>
    <m/>
    <s v="oui"/>
    <m/>
    <n v="4"/>
    <n v="0.75"/>
    <n v="3"/>
  </r>
  <r>
    <d v="2017-11-08T00:00:00"/>
    <x v="1"/>
    <s v="JC Simon"/>
    <x v="0"/>
    <x v="2"/>
    <x v="3"/>
    <s v="-"/>
    <n v="417"/>
    <m/>
    <s v="oui"/>
    <m/>
    <n v="2"/>
    <n v="0.75"/>
    <n v="1.5"/>
  </r>
  <r>
    <d v="2017-11-08T00:00:00"/>
    <x v="1"/>
    <s v="JC Simon"/>
    <x v="0"/>
    <x v="3"/>
    <x v="3"/>
    <s v="Lot"/>
    <s v="-"/>
    <m/>
    <s v="oui"/>
    <m/>
    <n v="2"/>
    <n v="0.75"/>
    <n v="1.5"/>
  </r>
  <r>
    <d v="2017-11-08T00:00:00"/>
    <x v="1"/>
    <s v="JC Simon"/>
    <x v="1"/>
    <x v="10"/>
    <x v="3"/>
    <s v="Lot 1"/>
    <s v="-"/>
    <m/>
    <s v="oui"/>
    <m/>
    <n v="2"/>
    <n v="0.75"/>
    <n v="1.5"/>
  </r>
  <r>
    <d v="2017-11-08T00:00:00"/>
    <x v="1"/>
    <s v="Murphy winecompany"/>
    <x v="0"/>
    <x v="0"/>
    <x v="3"/>
    <s v="variétal"/>
    <s v="-"/>
    <m/>
    <s v="oui"/>
    <m/>
    <n v="4"/>
    <n v="0.75"/>
    <n v="3"/>
  </r>
  <r>
    <d v="2017-11-08T00:00:00"/>
    <x v="1"/>
    <s v="Murphy winecompany"/>
    <x v="0"/>
    <x v="0"/>
    <x v="3"/>
    <s v="supérieur"/>
    <s v="-"/>
    <m/>
    <s v="oui"/>
    <m/>
    <n v="4"/>
    <n v="0.75"/>
    <n v="3"/>
  </r>
  <r>
    <d v="2017-11-08T00:00:00"/>
    <x v="1"/>
    <s v="Murphy winecompany"/>
    <x v="0"/>
    <x v="2"/>
    <x v="3"/>
    <s v="-"/>
    <n v="417"/>
    <m/>
    <s v="oui"/>
    <m/>
    <n v="4"/>
    <n v="0.75"/>
    <n v="3"/>
  </r>
  <r>
    <d v="2017-11-08T00:00:00"/>
    <x v="1"/>
    <s v="Murphy winecompany"/>
    <x v="1"/>
    <x v="10"/>
    <x v="3"/>
    <s v="Lot 1"/>
    <s v="-"/>
    <m/>
    <s v="oui"/>
    <m/>
    <n v="4"/>
    <n v="0.75"/>
    <n v="3"/>
  </r>
  <r>
    <d v="2017-11-08T00:00:00"/>
    <x v="2"/>
    <s v="-"/>
    <x v="0"/>
    <x v="31"/>
    <x v="3"/>
    <s v="-"/>
    <n v="201"/>
    <m/>
    <s v="oui"/>
    <m/>
    <n v="2"/>
    <n v="0.75"/>
    <n v="1.5"/>
  </r>
  <r>
    <d v="2017-11-09T00:00:00"/>
    <x v="2"/>
    <s v="-"/>
    <x v="0"/>
    <x v="0"/>
    <x v="3"/>
    <s v="variétal"/>
    <s v="-"/>
    <m/>
    <s v="oui"/>
    <m/>
    <n v="1"/>
    <n v="10"/>
    <n v="10"/>
  </r>
  <r>
    <d v="2017-11-09T00:00:00"/>
    <x v="0"/>
    <s v="Olivier Castillo"/>
    <x v="1"/>
    <x v="10"/>
    <x v="3"/>
    <s v="Lot 1"/>
    <s v="-"/>
    <m/>
    <s v="oui"/>
    <m/>
    <n v="2"/>
    <n v="0.75"/>
    <n v="1.5"/>
  </r>
  <r>
    <d v="2017-11-10T00:00:00"/>
    <x v="1"/>
    <s v="San Nicolas"/>
    <x v="0"/>
    <x v="0"/>
    <x v="3"/>
    <s v="variétal"/>
    <s v="-"/>
    <m/>
    <s v="oui"/>
    <m/>
    <n v="2"/>
    <n v="0.75"/>
    <n v="1.5"/>
  </r>
  <r>
    <d v="2017-11-10T00:00:00"/>
    <x v="1"/>
    <s v="San Nicolas"/>
    <x v="0"/>
    <x v="0"/>
    <x v="3"/>
    <s v="supérieur"/>
    <s v="-"/>
    <m/>
    <s v="oui"/>
    <m/>
    <n v="2"/>
    <n v="0.75"/>
    <n v="1.5"/>
  </r>
  <r>
    <d v="2017-11-10T00:00:00"/>
    <x v="41"/>
    <s v="San Nicolas"/>
    <x v="0"/>
    <x v="0"/>
    <x v="3"/>
    <s v="variétal"/>
    <s v="-"/>
    <m/>
    <s v="oui"/>
    <m/>
    <n v="2"/>
    <n v="0.75"/>
    <n v="1.5"/>
  </r>
  <r>
    <d v="2017-11-10T00:00:00"/>
    <x v="41"/>
    <s v="San Nicolas"/>
    <x v="0"/>
    <x v="0"/>
    <x v="3"/>
    <s v="supérieur"/>
    <s v="-"/>
    <m/>
    <s v="oui"/>
    <m/>
    <n v="2"/>
    <n v="0.75"/>
    <n v="1.5"/>
  </r>
  <r>
    <d v="2017-11-10T00:00:00"/>
    <x v="41"/>
    <s v="San Nicolas"/>
    <x v="0"/>
    <x v="16"/>
    <x v="3"/>
    <s v="Oc Blanc"/>
    <s v="-"/>
    <m/>
    <s v="oui"/>
    <m/>
    <n v="2"/>
    <n v="0.75"/>
    <n v="1.5"/>
  </r>
  <r>
    <d v="2017-11-10T00:00:00"/>
    <x v="41"/>
    <s v="San Nicolas"/>
    <x v="1"/>
    <x v="10"/>
    <x v="3"/>
    <s v="Lot 1"/>
    <s v="-"/>
    <m/>
    <s v="oui"/>
    <m/>
    <n v="1"/>
    <n v="0.75"/>
    <n v="0.75"/>
  </r>
  <r>
    <d v="2017-11-13T00:00:00"/>
    <x v="11"/>
    <s v="-"/>
    <x v="0"/>
    <x v="0"/>
    <x v="3"/>
    <s v="variétal"/>
    <s v="-"/>
    <m/>
    <s v="oui"/>
    <m/>
    <n v="2"/>
    <n v="0.75"/>
    <n v="1.5"/>
  </r>
  <r>
    <d v="2017-11-13T00:00:00"/>
    <x v="11"/>
    <s v="-"/>
    <x v="0"/>
    <x v="0"/>
    <x v="3"/>
    <s v="supérieur"/>
    <s v="-"/>
    <m/>
    <s v="oui"/>
    <m/>
    <n v="2"/>
    <n v="0.75"/>
    <n v="1.5"/>
  </r>
  <r>
    <d v="2017-11-13T00:00:00"/>
    <x v="11"/>
    <s v="-"/>
    <x v="0"/>
    <x v="1"/>
    <x v="3"/>
    <s v="classique"/>
    <n v="26"/>
    <m/>
    <s v="oui"/>
    <m/>
    <n v="2"/>
    <n v="0.75"/>
    <n v="1.5"/>
  </r>
  <r>
    <d v="2017-11-13T00:00:00"/>
    <x v="11"/>
    <s v="-"/>
    <x v="0"/>
    <x v="6"/>
    <x v="3"/>
    <s v="Oc Blanc"/>
    <s v="-"/>
    <m/>
    <s v="oui"/>
    <m/>
    <n v="2"/>
    <n v="0.75"/>
    <n v="1.5"/>
  </r>
  <r>
    <d v="2017-11-13T00:00:00"/>
    <x v="11"/>
    <s v="-"/>
    <x v="1"/>
    <x v="7"/>
    <x v="3"/>
    <s v="Lot Merlot"/>
    <s v="-"/>
    <m/>
    <s v="oui"/>
    <m/>
    <n v="2"/>
    <n v="0.75"/>
    <n v="1.5"/>
  </r>
  <r>
    <d v="2017-11-13T00:00:00"/>
    <x v="11"/>
    <s v="-"/>
    <x v="1"/>
    <x v="5"/>
    <x v="3"/>
    <s v="-"/>
    <n v="334"/>
    <m/>
    <s v="oui"/>
    <m/>
    <n v="2"/>
    <n v="0.75"/>
    <n v="1.5"/>
  </r>
  <r>
    <d v="2017-11-13T00:00:00"/>
    <x v="9"/>
    <s v="Jacques Woloviek"/>
    <x v="0"/>
    <x v="3"/>
    <x v="3"/>
    <s v="Lot Muscat"/>
    <s v="-"/>
    <m/>
    <s v="oui"/>
    <m/>
    <n v="6"/>
    <n v="0.75"/>
    <n v="4.5"/>
  </r>
  <r>
    <d v="2017-11-13T00:00:00"/>
    <x v="2"/>
    <s v="-"/>
    <x v="0"/>
    <x v="2"/>
    <x v="3"/>
    <s v="-"/>
    <n v="417"/>
    <m/>
    <s v="oui"/>
    <m/>
    <n v="6"/>
    <n v="0.75"/>
    <n v="4.5"/>
  </r>
  <r>
    <d v="2017-11-13T00:00:00"/>
    <x v="2"/>
    <s v="-"/>
    <x v="0"/>
    <x v="0"/>
    <x v="3"/>
    <s v="variétal"/>
    <s v="-"/>
    <m/>
    <s v="oui"/>
    <m/>
    <n v="4"/>
    <n v="0.75"/>
    <n v="3"/>
  </r>
  <r>
    <d v="2017-11-13T00:00:00"/>
    <x v="2"/>
    <s v="-"/>
    <x v="0"/>
    <x v="0"/>
    <x v="3"/>
    <s v="supérieur"/>
    <s v="-"/>
    <m/>
    <s v="oui"/>
    <m/>
    <n v="4"/>
    <n v="0.75"/>
    <n v="3"/>
  </r>
  <r>
    <d v="2017-11-13T00:00:00"/>
    <x v="1"/>
    <s v="JC Simon"/>
    <x v="0"/>
    <x v="0"/>
    <x v="3"/>
    <s v="variétal"/>
    <s v="-"/>
    <m/>
    <s v="oui"/>
    <m/>
    <n v="2"/>
    <n v="0.75"/>
    <n v="1.5"/>
  </r>
  <r>
    <d v="2017-11-13T00:00:00"/>
    <x v="1"/>
    <s v="JC Simon"/>
    <x v="0"/>
    <x v="0"/>
    <x v="3"/>
    <s v="supérieur"/>
    <s v="-"/>
    <m/>
    <s v="oui"/>
    <m/>
    <n v="2"/>
    <n v="0.75"/>
    <n v="1.5"/>
  </r>
  <r>
    <d v="2017-11-13T00:00:00"/>
    <x v="1"/>
    <s v="JC Simon"/>
    <x v="0"/>
    <x v="2"/>
    <x v="3"/>
    <s v="-"/>
    <n v="417"/>
    <m/>
    <s v="oui"/>
    <m/>
    <n v="2"/>
    <n v="0.75"/>
    <n v="1.5"/>
  </r>
  <r>
    <d v="2017-11-13T00:00:00"/>
    <x v="1"/>
    <s v="JC Simon"/>
    <x v="1"/>
    <x v="10"/>
    <x v="3"/>
    <s v="Lot 1"/>
    <s v="-"/>
    <m/>
    <s v="oui"/>
    <m/>
    <n v="2"/>
    <n v="0.75"/>
    <n v="1.5"/>
  </r>
  <r>
    <d v="2017-11-13T00:00:00"/>
    <x v="42"/>
    <s v="SP Wines"/>
    <x v="1"/>
    <x v="10"/>
    <x v="3"/>
    <s v="Lot 1"/>
    <s v="-"/>
    <m/>
    <s v="oui"/>
    <m/>
    <n v="2"/>
    <n v="0.75"/>
    <n v="1.5"/>
  </r>
  <r>
    <d v="2017-11-13T00:00:00"/>
    <x v="42"/>
    <s v="SP Wines"/>
    <x v="0"/>
    <x v="0"/>
    <x v="3"/>
    <s v="variétal"/>
    <s v="-"/>
    <m/>
    <s v="oui"/>
    <m/>
    <n v="2"/>
    <n v="0.75"/>
    <n v="1.5"/>
  </r>
  <r>
    <d v="2017-11-13T00:00:00"/>
    <x v="42"/>
    <s v="SP Wines"/>
    <x v="0"/>
    <x v="0"/>
    <x v="3"/>
    <s v="supérieur"/>
    <s v="-"/>
    <m/>
    <s v="oui"/>
    <m/>
    <n v="2"/>
    <n v="0.75"/>
    <n v="1.5"/>
  </r>
  <r>
    <d v="2017-11-13T00:00:00"/>
    <x v="42"/>
    <s v="SP Wines"/>
    <x v="0"/>
    <x v="16"/>
    <x v="3"/>
    <s v="Oc Blanc"/>
    <s v="-"/>
    <m/>
    <s v="oui"/>
    <m/>
    <n v="2"/>
    <n v="0.75"/>
    <n v="1.5"/>
  </r>
  <r>
    <d v="2017-11-13T00:00:00"/>
    <x v="4"/>
    <s v="-"/>
    <x v="0"/>
    <x v="1"/>
    <x v="3"/>
    <s v="classique"/>
    <n v="26"/>
    <m/>
    <s v="oui"/>
    <m/>
    <n v="3"/>
    <n v="0.75"/>
    <n v="2.25"/>
  </r>
  <r>
    <d v="2017-11-13T00:00:00"/>
    <x v="4"/>
    <s v="-"/>
    <x v="0"/>
    <x v="0"/>
    <x v="3"/>
    <s v="variétal"/>
    <s v="-"/>
    <m/>
    <s v="oui"/>
    <m/>
    <n v="3"/>
    <n v="0.75"/>
    <n v="2.25"/>
  </r>
  <r>
    <d v="2017-11-13T00:00:00"/>
    <x v="4"/>
    <s v="-"/>
    <x v="0"/>
    <x v="1"/>
    <x v="0"/>
    <s v="-"/>
    <s v="-"/>
    <m/>
    <s v="oui"/>
    <s v="60% Sauv class + 40% chard riche"/>
    <n v="4"/>
    <n v="0.75"/>
    <n v="3"/>
  </r>
  <r>
    <d v="2017-11-16T00:00:00"/>
    <x v="2"/>
    <s v="-"/>
    <x v="0"/>
    <x v="1"/>
    <x v="3"/>
    <s v="variétal"/>
    <n v="423"/>
    <m/>
    <s v="oui"/>
    <m/>
    <n v="2"/>
    <n v="0.75"/>
    <n v="1.5"/>
  </r>
  <r>
    <d v="2017-11-16T00:00:00"/>
    <x v="2"/>
    <s v="-"/>
    <x v="0"/>
    <x v="1"/>
    <x v="3"/>
    <s v="supérieur"/>
    <n v="405"/>
    <m/>
    <s v="oui"/>
    <m/>
    <n v="2"/>
    <n v="0.75"/>
    <n v="1.5"/>
  </r>
  <r>
    <d v="2017-11-16T00:00:00"/>
    <x v="5"/>
    <s v="-"/>
    <x v="0"/>
    <x v="1"/>
    <x v="3"/>
    <s v="classique"/>
    <n v="310"/>
    <m/>
    <s v="oui"/>
    <m/>
    <n v="3"/>
    <n v="0.75"/>
    <n v="2.25"/>
  </r>
  <r>
    <d v="2017-11-16T00:00:00"/>
    <x v="5"/>
    <s v="-"/>
    <x v="0"/>
    <x v="8"/>
    <x v="3"/>
    <s v="-"/>
    <n v="313"/>
    <m/>
    <s v="oui"/>
    <m/>
    <n v="3"/>
    <n v="0.75"/>
    <n v="2.25"/>
  </r>
  <r>
    <d v="2017-11-16T00:00:00"/>
    <x v="1"/>
    <s v="TWS"/>
    <x v="0"/>
    <x v="3"/>
    <x v="3"/>
    <s v="Lot Muscat"/>
    <s v="-"/>
    <m/>
    <s v="oui"/>
    <m/>
    <n v="6"/>
    <n v="0.75"/>
    <n v="4.5"/>
  </r>
  <r>
    <d v="2017-11-16T00:00:00"/>
    <x v="12"/>
    <s v="René Jeanjean"/>
    <x v="0"/>
    <x v="3"/>
    <x v="3"/>
    <s v="Lot Muscat"/>
    <s v="-"/>
    <m/>
    <s v="oui"/>
    <m/>
    <n v="2"/>
    <n v="0.75"/>
    <n v="1.5"/>
  </r>
  <r>
    <d v="2017-11-16T00:00:00"/>
    <x v="21"/>
    <s v="Conraads"/>
    <x v="0"/>
    <x v="2"/>
    <x v="3"/>
    <s v="-"/>
    <n v="417"/>
    <m/>
    <s v="oui"/>
    <m/>
    <n v="2"/>
    <n v="0.75"/>
    <n v="1.5"/>
  </r>
  <r>
    <d v="2017-11-16T00:00:00"/>
    <x v="21"/>
    <s v="Conraads"/>
    <x v="0"/>
    <x v="0"/>
    <x v="3"/>
    <s v="supérieur"/>
    <s v="-"/>
    <m/>
    <s v="oui"/>
    <m/>
    <n v="2"/>
    <n v="0.75"/>
    <n v="1.5"/>
  </r>
  <r>
    <d v="2017-11-16T00:00:00"/>
    <x v="21"/>
    <s v="Conraads"/>
    <x v="0"/>
    <x v="0"/>
    <x v="3"/>
    <s v="variétal"/>
    <n v="199"/>
    <m/>
    <s v="oui"/>
    <m/>
    <n v="2"/>
    <n v="0.75"/>
    <n v="1.5"/>
  </r>
  <r>
    <d v="2017-11-16T00:00:00"/>
    <x v="29"/>
    <s v="René Jeanjean"/>
    <x v="0"/>
    <x v="2"/>
    <x v="3"/>
    <s v="-"/>
    <n v="417"/>
    <m/>
    <s v="oui"/>
    <m/>
    <n v="1"/>
    <n v="0.75"/>
    <n v="0.75"/>
  </r>
  <r>
    <d v="2017-11-16T00:00:00"/>
    <x v="29"/>
    <s v="René Jeanjean"/>
    <x v="1"/>
    <x v="10"/>
    <x v="3"/>
    <s v="Lot 2"/>
    <s v="-"/>
    <m/>
    <s v="oui"/>
    <m/>
    <n v="2"/>
    <n v="0.75"/>
    <n v="1.5"/>
  </r>
  <r>
    <d v="2017-11-16T00:00:00"/>
    <x v="29"/>
    <s v="René Jeanjean"/>
    <x v="1"/>
    <x v="7"/>
    <x v="3"/>
    <s v="Lot Merlot"/>
    <s v="-"/>
    <m/>
    <s v="oui"/>
    <m/>
    <n v="2"/>
    <n v="0.75"/>
    <n v="1.5"/>
  </r>
  <r>
    <d v="2017-11-16T00:00:00"/>
    <x v="29"/>
    <s v="René Jeanjean"/>
    <x v="1"/>
    <x v="8"/>
    <x v="3"/>
    <s v="-"/>
    <n v="313"/>
    <m/>
    <s v="oui"/>
    <m/>
    <n v="2"/>
    <n v="0.75"/>
    <n v="1.5"/>
  </r>
  <r>
    <d v="2017-11-16T00:00:00"/>
    <x v="1"/>
    <s v="Ranvier"/>
    <x v="0"/>
    <x v="9"/>
    <x v="3"/>
    <s v="-"/>
    <n v="88"/>
    <m/>
    <s v="oui"/>
    <m/>
    <n v="1"/>
    <n v="0.75"/>
    <n v="0.75"/>
  </r>
  <r>
    <d v="2017-11-16T00:00:00"/>
    <x v="1"/>
    <s v="Ranvier"/>
    <x v="0"/>
    <x v="11"/>
    <x v="3"/>
    <s v="-"/>
    <n v="98"/>
    <m/>
    <s v="oui"/>
    <m/>
    <n v="1"/>
    <n v="0.75"/>
    <n v="0.75"/>
  </r>
  <r>
    <d v="2017-11-20T00:00:00"/>
    <x v="43"/>
    <s v="Vailhere Pascal"/>
    <x v="0"/>
    <x v="3"/>
    <x v="3"/>
    <s v="Lot Muscat"/>
    <s v="-"/>
    <m/>
    <s v="oui"/>
    <m/>
    <n v="2"/>
    <n v="0.75"/>
    <n v="1.5"/>
  </r>
  <r>
    <d v="2017-11-20T00:00:00"/>
    <x v="43"/>
    <s v="Vailhere Pascal"/>
    <x v="2"/>
    <x v="13"/>
    <x v="3"/>
    <s v="Lot Cabernet"/>
    <s v="-"/>
    <m/>
    <s v="oui"/>
    <m/>
    <n v="2"/>
    <n v="0.75"/>
    <n v="1.5"/>
  </r>
  <r>
    <d v="2017-11-20T00:00:00"/>
    <x v="2"/>
    <s v="-"/>
    <x v="0"/>
    <x v="2"/>
    <x v="3"/>
    <s v="-"/>
    <n v="417"/>
    <m/>
    <s v="oui"/>
    <m/>
    <n v="3"/>
    <n v="0.75"/>
    <n v="2.25"/>
  </r>
  <r>
    <d v="2017-11-20T00:00:00"/>
    <x v="2"/>
    <s v="-"/>
    <x v="0"/>
    <x v="3"/>
    <x v="3"/>
    <s v="-"/>
    <n v="56"/>
    <m/>
    <s v="oui"/>
    <m/>
    <n v="3"/>
    <n v="0.75"/>
    <n v="2.25"/>
  </r>
  <r>
    <d v="2017-11-20T00:00:00"/>
    <x v="2"/>
    <s v="-"/>
    <x v="0"/>
    <x v="0"/>
    <x v="3"/>
    <s v="variétal"/>
    <n v="199"/>
    <m/>
    <s v="oui"/>
    <m/>
    <n v="2"/>
    <n v="0.75"/>
    <n v="1.5"/>
  </r>
  <r>
    <d v="2017-11-20T00:00:00"/>
    <x v="2"/>
    <s v="-"/>
    <x v="0"/>
    <x v="0"/>
    <x v="3"/>
    <s v="supérieur"/>
    <s v="-"/>
    <m/>
    <s v="oui"/>
    <m/>
    <n v="2"/>
    <n v="0.75"/>
    <n v="1.5"/>
  </r>
  <r>
    <d v="2017-11-21T00:00:00"/>
    <x v="31"/>
    <s v="Jacques Woloviek"/>
    <x v="0"/>
    <x v="0"/>
    <x v="3"/>
    <s v="Petit degré"/>
    <n v="17"/>
    <m/>
    <s v="oui"/>
    <m/>
    <n v="3"/>
    <n v="0.75"/>
    <n v="2.25"/>
  </r>
  <r>
    <d v="2017-11-21T00:00:00"/>
    <x v="31"/>
    <s v="Jacques Woloviek"/>
    <x v="0"/>
    <x v="6"/>
    <x v="3"/>
    <s v="Oc Blanc"/>
    <s v="-"/>
    <m/>
    <s v="oui"/>
    <m/>
    <n v="3"/>
    <n v="0.75"/>
    <n v="2.25"/>
  </r>
  <r>
    <d v="2017-11-23T00:00:00"/>
    <x v="5"/>
    <s v="-"/>
    <x v="0"/>
    <x v="1"/>
    <x v="3"/>
    <s v="classique"/>
    <n v="332"/>
    <m/>
    <s v="oui"/>
    <m/>
    <n v="6"/>
    <n v="0.75"/>
    <n v="4.5"/>
  </r>
  <r>
    <d v="2017-11-23T00:00:00"/>
    <x v="5"/>
    <s v="-"/>
    <x v="0"/>
    <x v="0"/>
    <x v="3"/>
    <s v="variétal"/>
    <n v="16"/>
    <m/>
    <s v="oui"/>
    <m/>
    <n v="3"/>
    <n v="0.75"/>
    <n v="2.25"/>
  </r>
  <r>
    <d v="2017-11-23T00:00:00"/>
    <x v="20"/>
    <s v="-"/>
    <x v="2"/>
    <x v="7"/>
    <x v="3"/>
    <s v="-"/>
    <n v="135"/>
    <m/>
    <s v="oui"/>
    <m/>
    <n v="3"/>
    <n v="0.75"/>
    <n v="2.25"/>
  </r>
  <r>
    <d v="2017-11-23T00:00:00"/>
    <x v="20"/>
    <s v="-"/>
    <x v="1"/>
    <x v="5"/>
    <x v="3"/>
    <s v="-"/>
    <n v="334"/>
    <m/>
    <s v="oui"/>
    <m/>
    <n v="1"/>
    <n v="0.75"/>
    <n v="0.75"/>
  </r>
  <r>
    <d v="2017-11-24T00:00:00"/>
    <x v="3"/>
    <s v="-"/>
    <x v="0"/>
    <x v="2"/>
    <x v="3"/>
    <s v="-"/>
    <n v="417"/>
    <m/>
    <s v="oui"/>
    <m/>
    <n v="6"/>
    <n v="0.75"/>
    <n v="4.5"/>
  </r>
  <r>
    <d v="2017-11-27T00:00:00"/>
    <x v="2"/>
    <s v="-"/>
    <x v="0"/>
    <x v="2"/>
    <x v="3"/>
    <s v="-"/>
    <n v="417"/>
    <m/>
    <s v="oui"/>
    <m/>
    <n v="6"/>
    <n v="0.75"/>
    <n v="4.5"/>
  </r>
  <r>
    <d v="2017-11-27T00:00:00"/>
    <x v="2"/>
    <s v="-"/>
    <x v="0"/>
    <x v="1"/>
    <x v="3"/>
    <s v="variétal"/>
    <n v="423"/>
    <m/>
    <s v="oui"/>
    <m/>
    <n v="3"/>
    <n v="0.75"/>
    <n v="2.25"/>
  </r>
  <r>
    <d v="2017-11-27T00:00:00"/>
    <x v="2"/>
    <s v="-"/>
    <x v="0"/>
    <x v="1"/>
    <x v="3"/>
    <s v="supérieur"/>
    <n v="86"/>
    <m/>
    <s v="oui"/>
    <m/>
    <n v="3"/>
    <n v="0.75"/>
    <n v="2.25"/>
  </r>
  <r>
    <d v="2017-11-27T00:00:00"/>
    <x v="29"/>
    <s v="René Jeanjean"/>
    <x v="0"/>
    <x v="1"/>
    <x v="3"/>
    <s v="supérieur"/>
    <n v="405"/>
    <m/>
    <s v="oui"/>
    <m/>
    <n v="2"/>
    <n v="0.75"/>
    <n v="1.5"/>
  </r>
  <r>
    <d v="2017-11-27T00:00:00"/>
    <x v="29"/>
    <s v="René Jeanjean"/>
    <x v="0"/>
    <x v="1"/>
    <x v="3"/>
    <s v="variétal"/>
    <n v="423"/>
    <m/>
    <s v="oui"/>
    <m/>
    <n v="2"/>
    <n v="0.75"/>
    <n v="1.5"/>
  </r>
  <r>
    <d v="2017-11-27T00:00:00"/>
    <x v="29"/>
    <s v="René Jeanjean"/>
    <x v="0"/>
    <x v="0"/>
    <x v="3"/>
    <s v="variétal"/>
    <n v="421"/>
    <m/>
    <s v="oui"/>
    <m/>
    <n v="2"/>
    <n v="0.75"/>
    <n v="1.5"/>
  </r>
  <r>
    <d v="2017-11-27T00:00:00"/>
    <x v="29"/>
    <s v="René Jeanjean"/>
    <x v="0"/>
    <x v="0"/>
    <x v="3"/>
    <s v="supérieur"/>
    <n v="414"/>
    <m/>
    <s v="oui"/>
    <m/>
    <n v="2"/>
    <n v="0.75"/>
    <n v="1.5"/>
  </r>
  <r>
    <d v="2017-11-27T00:00:00"/>
    <x v="29"/>
    <s v="René Jeanjean"/>
    <x v="0"/>
    <x v="2"/>
    <x v="3"/>
    <s v="-"/>
    <n v="417"/>
    <m/>
    <s v="oui"/>
    <m/>
    <n v="2"/>
    <n v="0.75"/>
    <n v="1.5"/>
  </r>
  <r>
    <d v="2017-11-27T00:00:00"/>
    <x v="29"/>
    <s v="René Jeanjean"/>
    <x v="0"/>
    <x v="48"/>
    <x v="3"/>
    <s v="Thau Blanc"/>
    <s v="-"/>
    <m/>
    <s v="oui"/>
    <m/>
    <n v="2"/>
    <n v="0.75"/>
    <n v="1.5"/>
  </r>
  <r>
    <d v="2017-11-29T00:00:00"/>
    <x v="0"/>
    <s v="Olivier Castillo"/>
    <x v="1"/>
    <x v="10"/>
    <x v="3"/>
    <s v="Lot 1"/>
    <n v="413"/>
    <m/>
    <s v="oui"/>
    <m/>
    <n v="3"/>
    <n v="0.75"/>
    <n v="2.25"/>
  </r>
  <r>
    <d v="2017-11-29T00:00:00"/>
    <x v="1"/>
    <s v="Olivier Castillo"/>
    <x v="1"/>
    <x v="5"/>
    <x v="3"/>
    <s v="-"/>
    <n v="334"/>
    <m/>
    <s v="oui"/>
    <m/>
    <n v="2"/>
    <n v="0.75"/>
    <n v="1.5"/>
  </r>
  <r>
    <d v="2017-12-04T00:00:00"/>
    <x v="29"/>
    <s v="René Jeanjean"/>
    <x v="0"/>
    <x v="2"/>
    <x v="3"/>
    <s v="-"/>
    <n v="417"/>
    <m/>
    <s v="oui"/>
    <m/>
    <n v="2"/>
    <n v="0.75"/>
    <n v="1.5"/>
  </r>
  <r>
    <d v="2017-12-04T00:00:00"/>
    <x v="29"/>
    <s v="René Jeanjean"/>
    <x v="0"/>
    <x v="1"/>
    <x v="3"/>
    <s v="supérieur"/>
    <n v="86"/>
    <m/>
    <s v="oui"/>
    <m/>
    <n v="3"/>
    <n v="0.75"/>
    <n v="2.25"/>
  </r>
  <r>
    <d v="2017-12-04T00:00:00"/>
    <x v="11"/>
    <s v="-"/>
    <x v="0"/>
    <x v="1"/>
    <x v="3"/>
    <s v="classique"/>
    <n v="310"/>
    <m/>
    <s v="oui"/>
    <s v="nommé variétal pour Skalli"/>
    <n v="2"/>
    <n v="0.75"/>
    <n v="1.5"/>
  </r>
  <r>
    <d v="2017-12-04T00:00:00"/>
    <x v="11"/>
    <s v="-"/>
    <x v="0"/>
    <x v="16"/>
    <x v="3"/>
    <s v="Oc Blanc"/>
    <n v="301"/>
    <m/>
    <s v="oui"/>
    <m/>
    <n v="1"/>
    <n v="0.75"/>
    <n v="0.75"/>
  </r>
  <r>
    <d v="2017-12-04T00:00:00"/>
    <x v="11"/>
    <s v="-"/>
    <x v="0"/>
    <x v="16"/>
    <x v="3"/>
    <s v="Thau Blanc"/>
    <s v="-"/>
    <m/>
    <s v="oui"/>
    <m/>
    <n v="1"/>
    <n v="0.75"/>
    <n v="0.75"/>
  </r>
  <r>
    <d v="2017-12-04T00:00:00"/>
    <x v="11"/>
    <s v="-"/>
    <x v="1"/>
    <x v="7"/>
    <x v="3"/>
    <s v="-"/>
    <n v="206"/>
    <m/>
    <s v="oui"/>
    <m/>
    <n v="1"/>
    <n v="0.75"/>
    <n v="0.75"/>
  </r>
  <r>
    <d v="2017-12-04T00:00:00"/>
    <x v="2"/>
    <s v="-"/>
    <x v="0"/>
    <x v="3"/>
    <x v="3"/>
    <s v="-"/>
    <n v="56"/>
    <m/>
    <s v="oui"/>
    <m/>
    <n v="3"/>
    <n v="0.75"/>
    <n v="2.25"/>
  </r>
  <r>
    <d v="2017-12-04T00:00:00"/>
    <x v="5"/>
    <s v="-"/>
    <x v="0"/>
    <x v="0"/>
    <x v="3"/>
    <s v="variétal"/>
    <n v="421"/>
    <m/>
    <s v="oui"/>
    <m/>
    <n v="4"/>
    <n v="0.75"/>
    <n v="3"/>
  </r>
  <r>
    <d v="2017-12-04T00:00:00"/>
    <x v="5"/>
    <s v="-"/>
    <x v="0"/>
    <x v="1"/>
    <x v="3"/>
    <s v="classique"/>
    <n v="332"/>
    <m/>
    <s v="oui"/>
    <m/>
    <n v="3"/>
    <n v="0.75"/>
    <n v="2.25"/>
  </r>
  <r>
    <d v="2017-12-05T00:00:00"/>
    <x v="43"/>
    <s v="Vailhere Pascal"/>
    <x v="0"/>
    <x v="3"/>
    <x v="3"/>
    <s v="Lot 1"/>
    <s v="-"/>
    <m/>
    <s v="oui"/>
    <s v="C56+C49"/>
    <n v="2"/>
    <n v="0.75"/>
    <n v="1.5"/>
  </r>
  <r>
    <d v="2017-12-05T00:00:00"/>
    <x v="43"/>
    <s v="Vailhere Pascal"/>
    <x v="0"/>
    <x v="3"/>
    <x v="3"/>
    <s v="Lot 2"/>
    <s v="-"/>
    <m/>
    <s v="oui"/>
    <s v="C56+C49+C79"/>
    <n v="2"/>
    <n v="0.75"/>
    <n v="1.5"/>
  </r>
  <r>
    <d v="2017-12-05T00:00:00"/>
    <x v="30"/>
    <s v="Vailhere Pascal"/>
    <x v="2"/>
    <x v="7"/>
    <x v="0"/>
    <s v="-"/>
    <n v="147"/>
    <m/>
    <s v="oui"/>
    <m/>
    <n v="12"/>
    <n v="0.75"/>
    <n v="9"/>
  </r>
  <r>
    <d v="2017-12-05T00:00:00"/>
    <x v="1"/>
    <s v="San Nicolas"/>
    <x v="0"/>
    <x v="0"/>
    <x v="3"/>
    <s v="supérieur"/>
    <n v="414"/>
    <m/>
    <s v="oui"/>
    <m/>
    <n v="4"/>
    <n v="0.75"/>
    <n v="3"/>
  </r>
  <r>
    <d v="2017-12-08T00:00:00"/>
    <x v="9"/>
    <s v="Jacques Woloviek"/>
    <x v="1"/>
    <x v="7"/>
    <x v="3"/>
    <s v="Lot Merlot"/>
    <n v="325"/>
    <m/>
    <s v="oui"/>
    <m/>
    <n v="4"/>
    <n v="0.75"/>
    <n v="3"/>
  </r>
  <r>
    <d v="2017-12-08T00:00:00"/>
    <x v="9"/>
    <s v="Jacques Woloviek"/>
    <x v="1"/>
    <x v="13"/>
    <x v="3"/>
    <s v="Lot Cabernet"/>
    <n v="308"/>
    <m/>
    <s v="oui"/>
    <m/>
    <n v="4"/>
    <n v="0.75"/>
    <n v="3"/>
  </r>
  <r>
    <d v="2017-12-08T00:00:00"/>
    <x v="9"/>
    <s v="Jacques Woloviek"/>
    <x v="0"/>
    <x v="0"/>
    <x v="3"/>
    <s v="-"/>
    <s v="-"/>
    <m/>
    <s v="oui"/>
    <s v="60% var + 40% sup"/>
    <n v="2"/>
    <n v="0.75"/>
    <n v="1.5"/>
  </r>
  <r>
    <d v="2017-12-08T00:00:00"/>
    <x v="31"/>
    <s v="Jacques Woloviek"/>
    <x v="0"/>
    <x v="0"/>
    <x v="3"/>
    <s v="Petit degré"/>
    <n v="10"/>
    <m/>
    <s v="oui"/>
    <m/>
    <n v="2"/>
    <n v="0.75"/>
    <n v="1.5"/>
  </r>
  <r>
    <d v="2017-12-08T00:00:00"/>
    <x v="31"/>
    <s v="Jacques Woloviek"/>
    <x v="0"/>
    <x v="6"/>
    <x v="3"/>
    <s v="Lot Oc Blanc"/>
    <n v="332"/>
    <m/>
    <s v="oui"/>
    <m/>
    <n v="2"/>
    <n v="0.75"/>
    <n v="1.5"/>
  </r>
  <r>
    <d v="2017-12-08T00:00:00"/>
    <x v="1"/>
    <s v="TWS"/>
    <x v="0"/>
    <x v="3"/>
    <x v="3"/>
    <s v="-"/>
    <n v="79"/>
    <m/>
    <s v="oui"/>
    <m/>
    <n v="2"/>
    <n v="0.75"/>
    <n v="1.5"/>
  </r>
  <r>
    <d v="2017-12-08T00:00:00"/>
    <x v="1"/>
    <s v="TWS"/>
    <x v="0"/>
    <x v="3"/>
    <x v="3"/>
    <s v="-"/>
    <s v="-"/>
    <m/>
    <s v="oui"/>
    <s v="30% 328 + 70% 79"/>
    <n v="2"/>
    <n v="0.75"/>
    <n v="1.5"/>
  </r>
  <r>
    <d v="2017-12-11T00:00:00"/>
    <x v="11"/>
    <s v="-"/>
    <x v="0"/>
    <x v="1"/>
    <x v="3"/>
    <s v="classique"/>
    <n v="310"/>
    <m/>
    <s v="oui"/>
    <s v="nommé variétal pour Skalli"/>
    <n v="4"/>
    <n v="0.75"/>
    <n v="3"/>
  </r>
  <r>
    <d v="2017-12-12T00:00:00"/>
    <x v="4"/>
    <s v="-"/>
    <x v="0"/>
    <x v="3"/>
    <x v="3"/>
    <s v="-"/>
    <n v="79"/>
    <m/>
    <s v="oui"/>
    <m/>
    <n v="4"/>
    <n v="0.75"/>
    <n v="3"/>
  </r>
  <r>
    <d v="2017-12-12T00:00:00"/>
    <x v="20"/>
    <s v="-"/>
    <x v="0"/>
    <x v="0"/>
    <x v="3"/>
    <s v="Bouteille"/>
    <s v="FK07"/>
    <m/>
    <s v="oui"/>
    <m/>
    <n v="3"/>
    <n v="0.75"/>
    <n v="2.25"/>
  </r>
  <r>
    <d v="2017-12-14T00:00:00"/>
    <x v="1"/>
    <s v="Jacques Woloviek"/>
    <x v="0"/>
    <x v="3"/>
    <x v="3"/>
    <s v="-"/>
    <n v="79"/>
    <m/>
    <s v="oui"/>
    <m/>
    <n v="6"/>
    <n v="0.75"/>
    <n v="4.5"/>
  </r>
  <r>
    <d v="2017-12-14T00:00:00"/>
    <x v="2"/>
    <s v="-"/>
    <x v="0"/>
    <x v="2"/>
    <x v="3"/>
    <s v="-"/>
    <n v="69"/>
    <m/>
    <s v="oui"/>
    <m/>
    <n v="2"/>
    <n v="0.75"/>
    <n v="1.5"/>
  </r>
  <r>
    <d v="2017-12-14T00:00:00"/>
    <x v="0"/>
    <s v="Olivier Castillo"/>
    <x v="1"/>
    <x v="10"/>
    <x v="3"/>
    <s v="Lot 1"/>
    <n v="413"/>
    <m/>
    <s v="oui"/>
    <s v="Cap d'Agde"/>
    <n v="3"/>
    <n v="0.75"/>
    <n v="2.25"/>
  </r>
  <r>
    <d v="2017-12-18T00:00:00"/>
    <x v="5"/>
    <s v="-"/>
    <x v="0"/>
    <x v="0"/>
    <x v="3"/>
    <s v="variétal"/>
    <n v="421"/>
    <m/>
    <s v="oui"/>
    <m/>
    <n v="1"/>
    <n v="0.75"/>
    <n v="0.75"/>
  </r>
  <r>
    <d v="2017-12-18T00:00:00"/>
    <x v="5"/>
    <s v="-"/>
    <x v="0"/>
    <x v="1"/>
    <x v="3"/>
    <s v="classique"/>
    <n v="310"/>
    <m/>
    <s v="oui"/>
    <m/>
    <n v="1"/>
    <n v="0.75"/>
    <n v="0.75"/>
  </r>
  <r>
    <d v="2017-12-18T00:00:00"/>
    <x v="5"/>
    <s v="-"/>
    <x v="0"/>
    <x v="49"/>
    <x v="3"/>
    <s v="50% Piquepoul + 50% Sauvignon supérieur"/>
    <s v="-"/>
    <m/>
    <s v="oui"/>
    <m/>
    <n v="1"/>
    <n v="0.75"/>
    <n v="0.75"/>
  </r>
  <r>
    <d v="2017-12-18T00:00:00"/>
    <x v="5"/>
    <s v="-"/>
    <x v="0"/>
    <x v="17"/>
    <x v="3"/>
    <s v="Thau Blanc"/>
    <n v="199"/>
    <m/>
    <s v="oui"/>
    <m/>
    <n v="1"/>
    <n v="0.75"/>
    <n v="0.75"/>
  </r>
  <r>
    <d v="2017-12-18T00:00:00"/>
    <x v="5"/>
    <s v="-"/>
    <x v="1"/>
    <x v="7"/>
    <x v="3"/>
    <s v="Lot Merlot"/>
    <n v="202"/>
    <m/>
    <s v="oui"/>
    <m/>
    <n v="1"/>
    <n v="0.75"/>
    <n v="0.75"/>
  </r>
  <r>
    <d v="2017-12-18T00:00:00"/>
    <x v="5"/>
    <s v="-"/>
    <x v="1"/>
    <x v="8"/>
    <x v="3"/>
    <s v="Lot Cinsault"/>
    <n v="313"/>
    <m/>
    <s v="oui"/>
    <m/>
    <n v="1"/>
    <n v="0.75"/>
    <n v="0.75"/>
  </r>
  <r>
    <d v="2017-12-18T00:00:00"/>
    <x v="5"/>
    <s v="-"/>
    <x v="1"/>
    <x v="19"/>
    <x v="3"/>
    <s v="Lot Grenache"/>
    <n v="322"/>
    <m/>
    <s v="oui"/>
    <m/>
    <n v="1"/>
    <n v="0.75"/>
    <n v="0.75"/>
  </r>
  <r>
    <d v="2017-12-18T00:00:00"/>
    <x v="5"/>
    <s v="-"/>
    <x v="1"/>
    <x v="10"/>
    <x v="3"/>
    <s v="Lot 2"/>
    <n v="416"/>
    <m/>
    <s v="oui"/>
    <m/>
    <n v="1"/>
    <n v="0.75"/>
    <n v="0.75"/>
  </r>
  <r>
    <d v="2017-12-19T00:00:00"/>
    <x v="19"/>
    <s v="Pasquetto"/>
    <x v="0"/>
    <x v="34"/>
    <x v="3"/>
    <s v="Lot Solis"/>
    <n v="14"/>
    <m/>
    <s v="oui"/>
    <m/>
    <n v="2"/>
    <n v="0.75"/>
    <n v="1.5"/>
  </r>
  <r>
    <d v="2017-12-19T00:00:00"/>
    <x v="21"/>
    <s v="Conraads"/>
    <x v="2"/>
    <x v="13"/>
    <x v="3"/>
    <s v="Bouteille"/>
    <s v="-"/>
    <m/>
    <s v="oui"/>
    <s v="4 g/L sucre  + 20 cL/hL Stabivin SP"/>
    <n v="3"/>
    <n v="0.75"/>
    <n v="2.25"/>
  </r>
  <r>
    <d v="2018-01-03T00:00:00"/>
    <x v="2"/>
    <s v="-"/>
    <x v="0"/>
    <x v="1"/>
    <x v="3"/>
    <s v="variétal"/>
    <n v="9"/>
    <m/>
    <s v="oui"/>
    <m/>
    <n v="2"/>
    <n v="0.75"/>
    <n v="1.5"/>
  </r>
  <r>
    <d v="2018-01-03T00:00:00"/>
    <x v="2"/>
    <s v="-"/>
    <x v="0"/>
    <x v="1"/>
    <x v="3"/>
    <s v="supérieur"/>
    <n v="33"/>
    <m/>
    <s v="oui"/>
    <m/>
    <n v="2"/>
    <n v="0.75"/>
    <n v="1.5"/>
  </r>
  <r>
    <d v="2018-01-03T00:00:00"/>
    <x v="43"/>
    <s v="Vailhere Pascal"/>
    <x v="0"/>
    <x v="3"/>
    <x v="3"/>
    <s v="Petit degré"/>
    <s v="NP78"/>
    <m/>
    <s v="oui"/>
    <m/>
    <n v="1"/>
    <n v="5"/>
    <n v="5"/>
  </r>
  <r>
    <d v="2018-01-03T00:00:00"/>
    <x v="43"/>
    <s v="Vailhere Pascal"/>
    <x v="2"/>
    <x v="13"/>
    <x v="3"/>
    <s v="Lot Cabernet"/>
    <n v="201"/>
    <m/>
    <s v="oui"/>
    <m/>
    <n v="1"/>
    <n v="5"/>
    <n v="5"/>
  </r>
  <r>
    <d v="2018-01-03T00:00:00"/>
    <x v="2"/>
    <s v="-"/>
    <x v="0"/>
    <x v="2"/>
    <x v="3"/>
    <s v="Boisé"/>
    <n v="318"/>
    <m/>
    <s v="oui"/>
    <m/>
    <n v="3"/>
    <n v="0.75"/>
    <n v="2.25"/>
  </r>
  <r>
    <d v="2018-01-08T00:00:00"/>
    <x v="2"/>
    <s v="-"/>
    <x v="0"/>
    <x v="3"/>
    <x v="3"/>
    <s v="-"/>
    <s v="CF4"/>
    <m/>
    <s v="oui"/>
    <m/>
    <n v="2"/>
    <n v="0.75"/>
    <n v="1.5"/>
  </r>
  <r>
    <d v="2018-01-08T00:00:00"/>
    <x v="11"/>
    <s v="-"/>
    <x v="0"/>
    <x v="1"/>
    <x v="3"/>
    <s v="classique"/>
    <n v="11"/>
    <m/>
    <s v="oui"/>
    <s v="nommé variétal pour Skalli"/>
    <n v="6"/>
    <n v="0.75"/>
    <n v="4.5"/>
  </r>
  <r>
    <d v="2018-01-09T00:00:00"/>
    <x v="31"/>
    <s v="Jacques Woloviek"/>
    <x v="0"/>
    <x v="0"/>
    <x v="0"/>
    <s v="-"/>
    <s v="-"/>
    <m/>
    <s v="oui"/>
    <s v="60% Chardo riche 2016 + 40% Terret Oc"/>
    <n v="3"/>
    <n v="0.75"/>
    <n v="2.25"/>
  </r>
  <r>
    <d v="2018-01-09T00:00:00"/>
    <x v="31"/>
    <s v="Jacques Woloviek"/>
    <x v="0"/>
    <x v="0"/>
    <x v="0"/>
    <s v="-"/>
    <s v="-"/>
    <m/>
    <s v="oui"/>
    <s v="70% Chardo riche 2016 + 30% Terret Oc"/>
    <n v="3"/>
    <n v="0.75"/>
    <n v="2.25"/>
  </r>
  <r>
    <d v="2018-01-09T00:00:00"/>
    <x v="5"/>
    <s v="-"/>
    <x v="0"/>
    <x v="1"/>
    <x v="3"/>
    <s v="classique"/>
    <n v="310"/>
    <m/>
    <s v="oui"/>
    <m/>
    <n v="2"/>
    <n v="0.75"/>
    <n v="1.5"/>
  </r>
  <r>
    <d v="2018-01-09T00:00:00"/>
    <x v="5"/>
    <s v="-"/>
    <x v="1"/>
    <x v="19"/>
    <x v="3"/>
    <s v="Lot Grenache"/>
    <n v="322"/>
    <m/>
    <s v="oui"/>
    <m/>
    <n v="2"/>
    <n v="0.75"/>
    <n v="1.5"/>
  </r>
  <r>
    <d v="2018-01-09T00:00:00"/>
    <x v="5"/>
    <s v="-"/>
    <x v="1"/>
    <x v="8"/>
    <x v="3"/>
    <s v="Lot Cinsault"/>
    <n v="205"/>
    <m/>
    <s v="oui"/>
    <m/>
    <n v="2"/>
    <n v="0.75"/>
    <n v="1.5"/>
  </r>
  <r>
    <d v="2018-01-09T00:00:00"/>
    <x v="5"/>
    <s v="-"/>
    <x v="1"/>
    <x v="7"/>
    <x v="3"/>
    <s v="Lot Merlot"/>
    <n v="202"/>
    <m/>
    <s v="oui"/>
    <m/>
    <n v="2"/>
    <n v="0.75"/>
    <n v="1.5"/>
  </r>
  <r>
    <d v="2018-01-11T00:00:00"/>
    <x v="31"/>
    <s v="-"/>
    <x v="0"/>
    <x v="0"/>
    <x v="3"/>
    <s v="Petit degré"/>
    <n v="10"/>
    <m/>
    <s v="oui"/>
    <m/>
    <n v="1"/>
    <n v="0.75"/>
    <n v="0.75"/>
  </r>
  <r>
    <d v="2018-01-11T00:00:00"/>
    <x v="31"/>
    <s v="-"/>
    <x v="0"/>
    <x v="0"/>
    <x v="3"/>
    <s v="variétal"/>
    <n v="421"/>
    <m/>
    <s v="oui"/>
    <m/>
    <n v="1"/>
    <n v="0.75"/>
    <n v="0.75"/>
  </r>
  <r>
    <d v="2018-01-11T00:00:00"/>
    <x v="31"/>
    <s v="-"/>
    <x v="0"/>
    <x v="0"/>
    <x v="0"/>
    <s v="riche"/>
    <n v="21"/>
    <m/>
    <s v="oui"/>
    <m/>
    <n v="1"/>
    <n v="0.75"/>
    <n v="0.75"/>
  </r>
  <r>
    <d v="2018-01-11T00:00:00"/>
    <x v="31"/>
    <s v="-"/>
    <x v="0"/>
    <x v="6"/>
    <x v="3"/>
    <s v="Lot Oc Blanc"/>
    <n v="331"/>
    <m/>
    <s v="oui"/>
    <m/>
    <n v="1"/>
    <n v="0.75"/>
    <n v="0.75"/>
  </r>
  <r>
    <d v="2018-01-11T00:00:00"/>
    <x v="1"/>
    <s v="TWS"/>
    <x v="0"/>
    <x v="3"/>
    <x v="3"/>
    <s v="-"/>
    <n v="84"/>
    <m/>
    <s v="oui"/>
    <m/>
    <n v="4"/>
    <n v="0.75"/>
    <n v="3"/>
  </r>
  <r>
    <d v="2018-01-12T00:00:00"/>
    <x v="1"/>
    <s v="TWS"/>
    <x v="0"/>
    <x v="3"/>
    <x v="3"/>
    <s v="-"/>
    <n v="84"/>
    <m/>
    <s v="oui"/>
    <m/>
    <n v="2"/>
    <n v="0.75"/>
    <n v="1.5"/>
  </r>
  <r>
    <d v="2018-01-12T00:00:00"/>
    <x v="1"/>
    <s v="TWS"/>
    <x v="0"/>
    <x v="0"/>
    <x v="3"/>
    <s v="Lot Solis"/>
    <n v="420"/>
    <m/>
    <s v="oui"/>
    <m/>
    <n v="2"/>
    <n v="0.75"/>
    <n v="1.5"/>
  </r>
  <r>
    <d v="2018-01-15T00:00:00"/>
    <x v="2"/>
    <s v="-"/>
    <x v="0"/>
    <x v="0"/>
    <x v="3"/>
    <s v="supérieur"/>
    <n v="414"/>
    <m/>
    <s v="oui"/>
    <m/>
    <n v="2"/>
    <n v="0.75"/>
    <n v="1.5"/>
  </r>
  <r>
    <d v="2018-01-15T00:00:00"/>
    <x v="2"/>
    <s v="-"/>
    <x v="0"/>
    <x v="0"/>
    <x v="3"/>
    <s v="variétal"/>
    <n v="421"/>
    <m/>
    <s v="oui"/>
    <m/>
    <n v="2"/>
    <n v="0.75"/>
    <n v="1.5"/>
  </r>
  <r>
    <d v="2018-01-15T00:00:00"/>
    <x v="2"/>
    <s v="-"/>
    <x v="0"/>
    <x v="6"/>
    <x v="3"/>
    <s v="-"/>
    <n v="196"/>
    <m/>
    <s v="oui"/>
    <m/>
    <n v="3"/>
    <n v="0.75"/>
    <n v="2.25"/>
  </r>
  <r>
    <d v="2018-01-15T00:00:00"/>
    <x v="20"/>
    <s v="-"/>
    <x v="0"/>
    <x v="0"/>
    <x v="3"/>
    <s v="Bouteille"/>
    <n v="29"/>
    <m/>
    <s v="oui"/>
    <m/>
    <n v="6"/>
    <n v="0.75"/>
    <n v="4.5"/>
  </r>
  <r>
    <d v="2018-01-15T00:00:00"/>
    <x v="20"/>
    <s v="-"/>
    <x v="0"/>
    <x v="1"/>
    <x v="3"/>
    <s v="Bouteille"/>
    <n v="19"/>
    <m/>
    <s v="oui"/>
    <m/>
    <n v="6"/>
    <n v="0.75"/>
    <n v="4.5"/>
  </r>
  <r>
    <d v="2018-01-15T00:00:00"/>
    <x v="20"/>
    <s v="-"/>
    <x v="0"/>
    <x v="6"/>
    <x v="3"/>
    <s v="Bouteille"/>
    <n v="38"/>
    <m/>
    <s v="oui"/>
    <m/>
    <n v="6"/>
    <n v="0.75"/>
    <n v="4.5"/>
  </r>
  <r>
    <d v="2018-01-15T00:00:00"/>
    <x v="20"/>
    <s v="-"/>
    <x v="0"/>
    <x v="50"/>
    <x v="3"/>
    <s v="Bouteille"/>
    <s v="FK05"/>
    <m/>
    <s v="oui"/>
    <m/>
    <n v="6"/>
    <n v="0.75"/>
    <n v="4.5"/>
  </r>
  <r>
    <d v="2018-01-15T00:00:00"/>
    <x v="20"/>
    <s v="-"/>
    <x v="1"/>
    <x v="29"/>
    <x v="3"/>
    <s v="Bouteille"/>
    <n v="82"/>
    <m/>
    <s v="oui"/>
    <m/>
    <n v="6"/>
    <n v="0.75"/>
    <n v="4.5"/>
  </r>
  <r>
    <d v="2018-01-15T00:00:00"/>
    <x v="20"/>
    <s v="-"/>
    <x v="1"/>
    <x v="51"/>
    <x v="3"/>
    <s v="Bouteille"/>
    <n v="70"/>
    <m/>
    <s v="oui"/>
    <m/>
    <n v="1"/>
    <n v="0.75"/>
    <n v="0.75"/>
  </r>
  <r>
    <d v="2018-01-15T00:00:00"/>
    <x v="20"/>
    <s v="-"/>
    <x v="1"/>
    <x v="5"/>
    <x v="3"/>
    <s v="-"/>
    <n v="334"/>
    <m/>
    <s v="oui"/>
    <m/>
    <n v="1"/>
    <n v="0.75"/>
    <n v="0.75"/>
  </r>
  <r>
    <d v="2018-01-15T00:00:00"/>
    <x v="20"/>
    <s v="-"/>
    <x v="2"/>
    <x v="13"/>
    <x v="3"/>
    <s v="Bouteille"/>
    <n v="418"/>
    <m/>
    <s v="oui"/>
    <m/>
    <n v="6"/>
    <n v="0.75"/>
    <n v="4.5"/>
  </r>
  <r>
    <d v="2018-01-15T00:00:00"/>
    <x v="20"/>
    <s v="-"/>
    <x v="2"/>
    <x v="25"/>
    <x v="3"/>
    <s v="Bouteille"/>
    <s v="FK10"/>
    <m/>
    <s v="oui"/>
    <m/>
    <n v="6"/>
    <n v="0.75"/>
    <n v="4.5"/>
  </r>
  <r>
    <d v="2018-01-16T00:00:00"/>
    <x v="10"/>
    <s v="René Jeanjean"/>
    <x v="0"/>
    <x v="16"/>
    <x v="3"/>
    <s v="Oc Blanc"/>
    <n v="331"/>
    <m/>
    <s v="oui"/>
    <m/>
    <n v="6"/>
    <n v="0.75"/>
    <n v="4.5"/>
  </r>
  <r>
    <d v="2018-01-16T00:00:00"/>
    <x v="29"/>
    <s v="René Jeanjean"/>
    <x v="0"/>
    <x v="1"/>
    <x v="3"/>
    <s v="supérieur"/>
    <n v="405"/>
    <m/>
    <s v="oui"/>
    <m/>
    <n v="2"/>
    <n v="0.75"/>
    <n v="1.5"/>
  </r>
  <r>
    <d v="2018-01-16T00:00:00"/>
    <x v="29"/>
    <s v="René Jeanjean"/>
    <x v="0"/>
    <x v="2"/>
    <x v="3"/>
    <s v="-"/>
    <n v="88"/>
    <m/>
    <s v="oui"/>
    <m/>
    <n v="1"/>
    <n v="0.75"/>
    <n v="0.75"/>
  </r>
  <r>
    <d v="2018-01-18T00:00:00"/>
    <x v="27"/>
    <s v="San Nicolas"/>
    <x v="0"/>
    <x v="0"/>
    <x v="3"/>
    <s v="supérieur"/>
    <n v="414"/>
    <m/>
    <s v="oui"/>
    <m/>
    <n v="4"/>
    <n v="0.75"/>
    <n v="3"/>
  </r>
  <r>
    <d v="2018-01-18T00:00:00"/>
    <x v="27"/>
    <s v="San Nicolas"/>
    <x v="0"/>
    <x v="0"/>
    <x v="0"/>
    <s v="Lot Solis"/>
    <n v="306"/>
    <m/>
    <s v="oui"/>
    <m/>
    <n v="4"/>
    <n v="0.75"/>
    <n v="3"/>
  </r>
  <r>
    <d v="2018-01-18T00:00:00"/>
    <x v="44"/>
    <s v="San Nicolas"/>
    <x v="0"/>
    <x v="10"/>
    <x v="3"/>
    <s v="Lot 1"/>
    <n v="413"/>
    <m/>
    <s v="oui"/>
    <m/>
    <n v="4"/>
    <n v="0.75"/>
    <n v="3"/>
  </r>
  <r>
    <d v="2018-01-18T00:00:00"/>
    <x v="44"/>
    <s v="San Nicolas"/>
    <x v="0"/>
    <x v="10"/>
    <x v="3"/>
    <s v="Lot 2"/>
    <n v="416"/>
    <m/>
    <s v="oui"/>
    <m/>
    <n v="4"/>
    <n v="0.75"/>
    <n v="3"/>
  </r>
  <r>
    <d v="2018-01-18T00:00:00"/>
    <x v="45"/>
    <s v="-"/>
    <x v="0"/>
    <x v="16"/>
    <x v="3"/>
    <s v="Lot Ranvier"/>
    <s v="-"/>
    <m/>
    <s v="oui"/>
    <m/>
    <n v="6"/>
    <n v="0.75"/>
    <n v="4.5"/>
  </r>
  <r>
    <d v="2018-01-22T00:00:00"/>
    <x v="2"/>
    <s v="-"/>
    <x v="0"/>
    <x v="2"/>
    <x v="3"/>
    <s v="Boisé"/>
    <n v="318"/>
    <m/>
    <s v="oui"/>
    <m/>
    <n v="3"/>
    <n v="0.75"/>
    <n v="2.25"/>
  </r>
  <r>
    <d v="2018-01-23T00:00:00"/>
    <x v="5"/>
    <s v="-"/>
    <x v="0"/>
    <x v="17"/>
    <x v="3"/>
    <s v="Thau Blanc"/>
    <n v="199"/>
    <m/>
    <s v="oui"/>
    <m/>
    <n v="4"/>
    <n v="0.75"/>
    <n v="3"/>
  </r>
  <r>
    <d v="2018-01-23T00:00:00"/>
    <x v="5"/>
    <s v="-"/>
    <x v="1"/>
    <x v="7"/>
    <x v="3"/>
    <s v="Lot Merlot"/>
    <n v="326"/>
    <m/>
    <s v="oui"/>
    <m/>
    <n v="4"/>
    <n v="0.75"/>
    <n v="3"/>
  </r>
  <r>
    <d v="2018-01-23T00:00:00"/>
    <x v="5"/>
    <s v="-"/>
    <x v="0"/>
    <x v="0"/>
    <x v="3"/>
    <s v="supérieur"/>
    <n v="414"/>
    <m/>
    <s v="oui"/>
    <m/>
    <n v="1"/>
    <n v="0.75"/>
    <n v="0.75"/>
  </r>
  <r>
    <d v="2018-01-24T00:00:00"/>
    <x v="10"/>
    <s v="René Jeanjean"/>
    <x v="0"/>
    <x v="2"/>
    <x v="3"/>
    <s v="-"/>
    <n v="88"/>
    <m/>
    <s v="oui"/>
    <s v="ex 78"/>
    <n v="1"/>
    <n v="0.75"/>
    <n v="0.75"/>
  </r>
  <r>
    <d v="2018-01-26T00:00:00"/>
    <x v="2"/>
    <s v="-"/>
    <x v="0"/>
    <x v="1"/>
    <x v="3"/>
    <s v="variétal"/>
    <n v="21"/>
    <m/>
    <s v="oui"/>
    <m/>
    <n v="2"/>
    <n v="0.75"/>
    <n v="1.5"/>
  </r>
  <r>
    <d v="2018-01-26T00:00:00"/>
    <x v="2"/>
    <s v="-"/>
    <x v="0"/>
    <x v="1"/>
    <x v="3"/>
    <s v="supérieur"/>
    <n v="77"/>
    <m/>
    <s v="oui"/>
    <m/>
    <n v="2"/>
    <n v="0.75"/>
    <n v="1.5"/>
  </r>
  <r>
    <d v="2018-01-26T00:00:00"/>
    <x v="11"/>
    <s v="-"/>
    <x v="0"/>
    <x v="0"/>
    <x v="3"/>
    <s v="supérieur"/>
    <n v="414"/>
    <m/>
    <s v="oui"/>
    <m/>
    <n v="1"/>
    <n v="0.75"/>
    <n v="0.75"/>
  </r>
  <r>
    <d v="2018-01-29T00:00:00"/>
    <x v="9"/>
    <s v="Jacques Woloviek"/>
    <x v="0"/>
    <x v="0"/>
    <x v="3"/>
    <s v="Lot ADVINI"/>
    <n v="23"/>
    <m/>
    <s v="oui"/>
    <m/>
    <n v="4"/>
    <n v="0.75"/>
    <n v="3"/>
  </r>
  <r>
    <d v="2018-01-29T00:00:00"/>
    <x v="31"/>
    <s v="Jacques Woloviek"/>
    <x v="0"/>
    <x v="0"/>
    <x v="3"/>
    <s v="Petit degré"/>
    <n v="28"/>
    <m/>
    <s v="oui"/>
    <m/>
    <n v="4"/>
    <n v="0.75"/>
    <n v="3"/>
  </r>
  <r>
    <d v="2018-01-29T00:00:00"/>
    <x v="5"/>
    <s v="-"/>
    <x v="0"/>
    <x v="17"/>
    <x v="3"/>
    <s v="Thau Blanc"/>
    <n v="409"/>
    <m/>
    <s v="oui"/>
    <m/>
    <n v="2"/>
    <n v="0.75"/>
    <n v="1.5"/>
  </r>
  <r>
    <d v="2018-01-29T00:00:00"/>
    <x v="20"/>
    <s v="-"/>
    <x v="0"/>
    <x v="0"/>
    <x v="3"/>
    <s v="Bouteille"/>
    <n v="29"/>
    <m/>
    <s v="oui"/>
    <m/>
    <n v="3"/>
    <n v="0.75"/>
    <n v="2.25"/>
  </r>
  <r>
    <d v="2018-01-29T00:00:00"/>
    <x v="20"/>
    <s v="-"/>
    <x v="0"/>
    <x v="1"/>
    <x v="3"/>
    <s v="Bouteille"/>
    <n v="19"/>
    <m/>
    <s v="oui"/>
    <m/>
    <n v="3"/>
    <n v="0.75"/>
    <n v="2.25"/>
  </r>
  <r>
    <d v="2018-01-29T00:00:00"/>
    <x v="20"/>
    <s v="-"/>
    <x v="1"/>
    <x v="29"/>
    <x v="3"/>
    <s v="Bouteille"/>
    <n v="82"/>
    <m/>
    <s v="oui"/>
    <m/>
    <n v="3"/>
    <n v="0.75"/>
    <n v="2.25"/>
  </r>
  <r>
    <d v="2018-01-29T00:00:00"/>
    <x v="20"/>
    <s v="-"/>
    <x v="2"/>
    <x v="7"/>
    <x v="3"/>
    <s v="Bouteille"/>
    <n v="120"/>
    <m/>
    <s v="oui"/>
    <m/>
    <n v="3"/>
    <n v="0.75"/>
    <n v="2.25"/>
  </r>
  <r>
    <d v="2018-01-31T00:00:00"/>
    <x v="46"/>
    <s v="-"/>
    <x v="0"/>
    <x v="6"/>
    <x v="3"/>
    <s v="Thau Blanc"/>
    <n v="409"/>
    <m/>
    <s v="oui"/>
    <m/>
    <n v="2"/>
    <n v="0.75"/>
    <n v="1.5"/>
  </r>
  <r>
    <d v="2018-01-31T00:00:00"/>
    <x v="43"/>
    <s v="Vailhere Pascal"/>
    <x v="0"/>
    <x v="3"/>
    <x v="3"/>
    <s v="Petit degré"/>
    <s v="NP78"/>
    <m/>
    <s v="oui"/>
    <m/>
    <n v="3"/>
    <n v="0.75"/>
    <n v="2.25"/>
  </r>
  <r>
    <d v="2018-02-05T00:00:00"/>
    <x v="29"/>
    <s v="René Jeanjean"/>
    <x v="1"/>
    <x v="8"/>
    <x v="3"/>
    <s v="Lot Cinsault"/>
    <n v="313"/>
    <m/>
    <s v="oui"/>
    <m/>
    <n v="2"/>
    <n v="0.75"/>
    <n v="1.5"/>
  </r>
  <r>
    <d v="2018-02-05T00:00:00"/>
    <x v="29"/>
    <s v="René Jeanjean"/>
    <x v="1"/>
    <x v="8"/>
    <x v="0"/>
    <s v="-"/>
    <s v="FK10"/>
    <m/>
    <s v="oui"/>
    <s v="Cinsault 2016 à rafraichir"/>
    <n v="2"/>
    <n v="0.75"/>
    <n v="1.5"/>
  </r>
  <r>
    <d v="2018-02-05T00:00:00"/>
    <x v="29"/>
    <s v="René Jeanjean"/>
    <x v="0"/>
    <x v="3"/>
    <x v="3"/>
    <s v="-"/>
    <n v="100"/>
    <m/>
    <s v="oui"/>
    <m/>
    <n v="2"/>
    <n v="0.75"/>
    <n v="1.5"/>
  </r>
  <r>
    <d v="2018-02-05T00:00:00"/>
    <x v="2"/>
    <s v="-"/>
    <x v="0"/>
    <x v="0"/>
    <x v="3"/>
    <s v="supérieur"/>
    <n v="414"/>
    <m/>
    <s v="oui"/>
    <m/>
    <n v="1"/>
    <n v="0.75"/>
    <n v="0.75"/>
  </r>
  <r>
    <d v="2018-02-05T00:00:00"/>
    <x v="2"/>
    <s v="-"/>
    <x v="0"/>
    <x v="0"/>
    <x v="3"/>
    <s v="variétal"/>
    <n v="421"/>
    <m/>
    <s v="oui"/>
    <m/>
    <n v="1"/>
    <n v="0.75"/>
    <n v="0.75"/>
  </r>
  <r>
    <d v="2018-02-05T00:00:00"/>
    <x v="28"/>
    <s v="-"/>
    <x v="2"/>
    <x v="7"/>
    <x v="3"/>
    <s v="bouteille"/>
    <n v="120"/>
    <m/>
    <s v="oui"/>
    <m/>
    <n v="1"/>
    <n v="0.75"/>
    <n v="0.75"/>
  </r>
  <r>
    <d v="2018-02-05T00:00:00"/>
    <x v="32"/>
    <s v="-"/>
    <x v="2"/>
    <x v="5"/>
    <x v="3"/>
    <s v="Lot PN"/>
    <s v="-"/>
    <m/>
    <s v="oui"/>
    <s v="50% 44 + 50% 40"/>
    <n v="2"/>
    <n v="0.75"/>
    <n v="1.5"/>
  </r>
  <r>
    <d v="2018-02-07T00:00:00"/>
    <x v="11"/>
    <s v="-"/>
    <x v="0"/>
    <x v="1"/>
    <x v="3"/>
    <s v="classique"/>
    <n v="310"/>
    <m/>
    <s v="oui"/>
    <s v="Nommé variétal pour Skalli"/>
    <n v="3"/>
    <n v="0.75"/>
    <n v="2.25"/>
  </r>
  <r>
    <d v="2018-02-15T00:00:00"/>
    <x v="11"/>
    <s v="-"/>
    <x v="0"/>
    <x v="1"/>
    <x v="3"/>
    <s v="supérieur"/>
    <n v="310"/>
    <m/>
    <s v="oui"/>
    <s v="Nommé variétal pour Skalli"/>
    <n v="2"/>
    <n v="0.75"/>
    <n v="1.5"/>
  </r>
  <r>
    <d v="2018-02-15T00:00:00"/>
    <x v="11"/>
    <s v="-"/>
    <x v="0"/>
    <x v="0"/>
    <x v="3"/>
    <s v="variétal"/>
    <n v="403"/>
    <m/>
    <s v="oui"/>
    <m/>
    <n v="4"/>
    <n v="0.75"/>
    <n v="3"/>
  </r>
  <r>
    <d v="2018-02-15T00:00:00"/>
    <x v="11"/>
    <s v="-"/>
    <x v="0"/>
    <x v="0"/>
    <x v="3"/>
    <s v="supérieur"/>
    <n v="87"/>
    <m/>
    <s v="oui"/>
    <m/>
    <n v="4"/>
    <n v="0.75"/>
    <n v="3"/>
  </r>
  <r>
    <d v="2018-02-15T00:00:00"/>
    <x v="11"/>
    <s v="-"/>
    <x v="1"/>
    <x v="7"/>
    <x v="3"/>
    <s v="Lot Merlot"/>
    <n v="326"/>
    <m/>
    <s v="oui"/>
    <m/>
    <n v="2"/>
    <n v="0.75"/>
    <n v="1.5"/>
  </r>
  <r>
    <d v="2018-02-15T00:00:00"/>
    <x v="9"/>
    <s v="Jacques Woloviek"/>
    <x v="0"/>
    <x v="0"/>
    <x v="3"/>
    <s v="Boisé"/>
    <n v="123"/>
    <m/>
    <s v="oui"/>
    <m/>
    <n v="3"/>
    <n v="0.75"/>
    <n v="2.25"/>
  </r>
  <r>
    <d v="2018-02-19T00:00:00"/>
    <x v="2"/>
    <s v="-"/>
    <x v="0"/>
    <x v="1"/>
    <x v="3"/>
    <s v="variétal"/>
    <n v="37"/>
    <m/>
    <s v="oui"/>
    <m/>
    <n v="1"/>
    <n v="0.75"/>
    <n v="0.75"/>
  </r>
  <r>
    <d v="2018-02-19T00:00:00"/>
    <x v="2"/>
    <s v="-"/>
    <x v="0"/>
    <x v="1"/>
    <x v="3"/>
    <s v="supérieur"/>
    <n v="11"/>
    <m/>
    <s v="oui"/>
    <m/>
    <n v="1"/>
    <n v="0.75"/>
    <n v="0.75"/>
  </r>
  <r>
    <d v="2018-02-20T00:00:00"/>
    <x v="31"/>
    <s v="Jacques Woloviek"/>
    <x v="0"/>
    <x v="6"/>
    <x v="3"/>
    <s v="Lot Oc Blanc"/>
    <n v="81"/>
    <m/>
    <s v="oui"/>
    <m/>
    <n v="3"/>
    <n v="0.75"/>
    <n v="2.25"/>
  </r>
  <r>
    <d v="2018-02-20T00:00:00"/>
    <x v="1"/>
    <s v="Jacques Woloviek"/>
    <x v="0"/>
    <x v="1"/>
    <x v="3"/>
    <s v="supérieur"/>
    <n v="11"/>
    <m/>
    <s v="oui"/>
    <m/>
    <n v="1"/>
    <n v="0.75"/>
    <n v="0.75"/>
  </r>
  <r>
    <d v="2018-02-22T00:00:00"/>
    <x v="9"/>
    <s v="Jacques Woloviek"/>
    <x v="0"/>
    <x v="0"/>
    <x v="3"/>
    <s v="Lot ADVINI"/>
    <n v="7"/>
    <m/>
    <s v="oui"/>
    <m/>
    <n v="3"/>
    <n v="0.75"/>
    <n v="2.25"/>
  </r>
  <r>
    <d v="2018-02-22T00:00:00"/>
    <x v="9"/>
    <s v="Jacques Woloviek"/>
    <x v="0"/>
    <x v="0"/>
    <x v="3"/>
    <s v="boisé"/>
    <s v="-"/>
    <m/>
    <s v="oui"/>
    <s v="20% Chardo Advini (7) + 10% Vio boisé (318) + 70 % Chardo bourgui (123)"/>
    <n v="6"/>
    <n v="0.75"/>
    <n v="4.5"/>
  </r>
  <r>
    <d v="2018-02-22T00:00:00"/>
    <x v="20"/>
    <s v="-"/>
    <x v="0"/>
    <x v="0"/>
    <x v="3"/>
    <s v="variétal"/>
    <n v="403"/>
    <m/>
    <s v="oui"/>
    <m/>
    <n v="1"/>
    <n v="0.75"/>
    <n v="0.75"/>
  </r>
  <r>
    <d v="2018-02-22T00:00:00"/>
    <x v="20"/>
    <s v="-"/>
    <x v="0"/>
    <x v="0"/>
    <x v="3"/>
    <s v="supérieur"/>
    <n v="8"/>
    <m/>
    <s v="oui"/>
    <m/>
    <n v="1"/>
    <n v="0.75"/>
    <n v="0.75"/>
  </r>
  <r>
    <d v="2018-02-22T00:00:00"/>
    <x v="20"/>
    <s v="-"/>
    <x v="2"/>
    <x v="13"/>
    <x v="3"/>
    <s v="bouteille"/>
    <n v="94"/>
    <m/>
    <s v="oui"/>
    <m/>
    <n v="3"/>
    <n v="0.75"/>
    <n v="2.25"/>
  </r>
  <r>
    <d v="2018-02-22T00:00:00"/>
    <x v="20"/>
    <s v="-"/>
    <x v="2"/>
    <x v="7"/>
    <x v="3"/>
    <s v="bouteille"/>
    <s v="CF4"/>
    <m/>
    <s v="oui"/>
    <m/>
    <n v="6"/>
    <n v="0.75"/>
    <n v="4.5"/>
  </r>
  <r>
    <d v="2018-02-22T00:00:00"/>
    <x v="20"/>
    <s v="-"/>
    <x v="1"/>
    <x v="29"/>
    <x v="3"/>
    <s v="bouteille"/>
    <s v="-"/>
    <m/>
    <s v="oui"/>
    <m/>
    <n v="6"/>
    <n v="0.75"/>
    <n v="4.5"/>
  </r>
  <r>
    <d v="2018-02-22T00:00:00"/>
    <x v="20"/>
    <s v="-"/>
    <x v="0"/>
    <x v="0"/>
    <x v="3"/>
    <s v="Bouteille"/>
    <s v="-"/>
    <m/>
    <s v="oui"/>
    <m/>
    <n v="6"/>
    <n v="0.75"/>
    <n v="4.5"/>
  </r>
  <r>
    <d v="2018-02-22T00:00:00"/>
    <x v="20"/>
    <s v="-"/>
    <x v="0"/>
    <x v="1"/>
    <x v="3"/>
    <s v="bouteille"/>
    <s v="-"/>
    <m/>
    <s v="oui"/>
    <m/>
    <n v="6"/>
    <n v="0.75"/>
    <n v="4.5"/>
  </r>
  <r>
    <d v="2018-02-22T00:00:00"/>
    <x v="20"/>
    <s v="-"/>
    <x v="0"/>
    <x v="3"/>
    <x v="3"/>
    <s v="bouteille"/>
    <s v="-"/>
    <m/>
    <s v="oui"/>
    <m/>
    <n v="6"/>
    <n v="0.75"/>
    <n v="4.5"/>
  </r>
  <r>
    <d v="2018-02-27T00:00:00"/>
    <x v="9"/>
    <s v="Jacques Woloviek"/>
    <x v="1"/>
    <x v="7"/>
    <x v="3"/>
    <s v="Lot Merlot"/>
    <n v="326"/>
    <m/>
    <s v="oui"/>
    <m/>
    <n v="4"/>
    <n v="0.75"/>
    <n v="3"/>
  </r>
  <r>
    <d v="2018-02-27T00:00:00"/>
    <x v="5"/>
    <s v="-"/>
    <x v="0"/>
    <x v="17"/>
    <x v="3"/>
    <s v="Thau Blanc"/>
    <n v="198"/>
    <m/>
    <s v="oui"/>
    <m/>
    <n v="7"/>
    <n v="0.75"/>
    <n v="5.25"/>
  </r>
  <r>
    <d v="2018-02-27T00:00:00"/>
    <x v="5"/>
    <s v="-"/>
    <x v="1"/>
    <x v="30"/>
    <x v="3"/>
    <s v="Bouteille"/>
    <s v="-"/>
    <m/>
    <s v="oui"/>
    <m/>
    <n v="2"/>
    <n v="0.75"/>
    <n v="1.5"/>
  </r>
  <r>
    <d v="2018-02-27T00:00:00"/>
    <x v="5"/>
    <s v="-"/>
    <x v="1"/>
    <x v="52"/>
    <x v="3"/>
    <s v="Bouteille"/>
    <s v="-"/>
    <m/>
    <s v="oui"/>
    <m/>
    <n v="2"/>
    <n v="0.75"/>
    <n v="1.5"/>
  </r>
  <r>
    <d v="2018-02-27T00:00:00"/>
    <x v="5"/>
    <s v="-"/>
    <x v="1"/>
    <x v="51"/>
    <x v="3"/>
    <s v="Bouteille"/>
    <s v="-"/>
    <m/>
    <s v="oui"/>
    <m/>
    <n v="2"/>
    <n v="0.75"/>
    <n v="1.5"/>
  </r>
  <r>
    <d v="2018-02-27T00:00:00"/>
    <x v="47"/>
    <s v="Gilles Lambert"/>
    <x v="0"/>
    <x v="0"/>
    <x v="3"/>
    <s v="Supérieur"/>
    <n v="8"/>
    <m/>
    <s v="oui"/>
    <m/>
    <n v="2"/>
    <n v="0.75"/>
    <n v="1.5"/>
  </r>
  <r>
    <d v="2018-02-27T00:00:00"/>
    <x v="2"/>
    <s v="-"/>
    <x v="0"/>
    <x v="1"/>
    <x v="3"/>
    <s v="variétal"/>
    <n v="31"/>
    <m/>
    <s v="oui"/>
    <m/>
    <n v="2"/>
    <n v="0.75"/>
    <n v="1.5"/>
  </r>
  <r>
    <d v="2018-02-27T00:00:00"/>
    <x v="2"/>
    <s v="-"/>
    <x v="0"/>
    <x v="1"/>
    <x v="3"/>
    <s v="supérieur"/>
    <n v="33"/>
    <m/>
    <s v="oui"/>
    <m/>
    <n v="2"/>
    <n v="0.75"/>
    <n v="1.5"/>
  </r>
  <r>
    <d v="2018-03-05T00:00:00"/>
    <x v="5"/>
    <s v="-"/>
    <x v="0"/>
    <x v="17"/>
    <x v="3"/>
    <s v="Thau Blanc"/>
    <n v="409"/>
    <m/>
    <s v="oui"/>
    <m/>
    <n v="3"/>
    <n v="0.75"/>
    <n v="2.25"/>
  </r>
  <r>
    <d v="2018-03-05T00:00:00"/>
    <x v="43"/>
    <s v="Vailhere Pascal"/>
    <x v="2"/>
    <x v="13"/>
    <x v="3"/>
    <s v="Lot Cabernet"/>
    <n v="201"/>
    <m/>
    <s v="oui"/>
    <m/>
    <n v="2"/>
    <n v="0.75"/>
    <n v="1.5"/>
  </r>
  <r>
    <d v="2018-03-05T00:00:00"/>
    <x v="30"/>
    <s v="Vailhere Pascal"/>
    <x v="2"/>
    <x v="7"/>
    <x v="3"/>
    <s v="Lot Buvette"/>
    <n v="405"/>
    <m/>
    <s v="oui"/>
    <m/>
    <n v="2"/>
    <n v="0.75"/>
    <n v="1.5"/>
  </r>
  <r>
    <d v="2018-03-06T00:00:00"/>
    <x v="2"/>
    <s v="-"/>
    <x v="0"/>
    <x v="31"/>
    <x v="3"/>
    <s v="Lot Oc Blanc"/>
    <n v="81"/>
    <m/>
    <s v="oui"/>
    <m/>
    <n v="2"/>
    <n v="0.75"/>
    <n v="1.5"/>
  </r>
  <r>
    <d v="2018-03-06T00:00:00"/>
    <x v="2"/>
    <s v="-"/>
    <x v="0"/>
    <x v="2"/>
    <x v="3"/>
    <s v="-"/>
    <n v="97"/>
    <m/>
    <s v="oui"/>
    <m/>
    <n v="2"/>
    <n v="0.75"/>
    <n v="1.5"/>
  </r>
  <r>
    <d v="2018-03-06T00:00:00"/>
    <x v="29"/>
    <s v="René Jeanjean"/>
    <x v="2"/>
    <x v="13"/>
    <x v="3"/>
    <s v="Lot Cabernet"/>
    <n v="201"/>
    <m/>
    <s v="oui"/>
    <m/>
    <n v="2"/>
    <n v="0.75"/>
    <n v="1.5"/>
  </r>
  <r>
    <d v="2018-03-09T00:00:00"/>
    <x v="1"/>
    <s v="Murphy winecompany"/>
    <x v="2"/>
    <x v="13"/>
    <x v="3"/>
    <s v="Lot Cabernet"/>
    <n v="201"/>
    <m/>
    <s v="oui"/>
    <m/>
    <n v="2"/>
    <n v="0.75"/>
    <n v="1.5"/>
  </r>
  <r>
    <d v="2018-03-12T00:00:00"/>
    <x v="11"/>
    <s v="-"/>
    <x v="0"/>
    <x v="6"/>
    <x v="3"/>
    <s v="Thau Blanc"/>
    <n v="409"/>
    <m/>
    <s v="oui"/>
    <m/>
    <n v="2"/>
    <n v="0.75"/>
    <n v="1.5"/>
  </r>
  <r>
    <d v="2018-03-13T00:00:00"/>
    <x v="20"/>
    <s v="-"/>
    <x v="0"/>
    <x v="0"/>
    <x v="3"/>
    <s v="Variétal"/>
    <n v="403"/>
    <m/>
    <s v="oui"/>
    <m/>
    <n v="3"/>
    <n v="0.75"/>
    <n v="2.25"/>
  </r>
  <r>
    <d v="2018-03-13T00:00:00"/>
    <x v="20"/>
    <s v="-"/>
    <x v="0"/>
    <x v="0"/>
    <x v="3"/>
    <s v="Bouteille"/>
    <s v="-"/>
    <m/>
    <s v="oui"/>
    <m/>
    <n v="6"/>
    <n v="0.75"/>
    <n v="4.5"/>
  </r>
  <r>
    <d v="2018-03-13T00:00:00"/>
    <x v="20"/>
    <s v="-"/>
    <x v="0"/>
    <x v="1"/>
    <x v="3"/>
    <s v="Bouteille"/>
    <s v="-"/>
    <m/>
    <s v="oui"/>
    <m/>
    <n v="6"/>
    <n v="0.75"/>
    <n v="4.5"/>
  </r>
  <r>
    <d v="2018-03-13T00:00:00"/>
    <x v="20"/>
    <s v="-"/>
    <x v="1"/>
    <x v="29"/>
    <x v="3"/>
    <s v="Bouteille"/>
    <n v="82"/>
    <m/>
    <s v="oui"/>
    <s v="Nommé Oc Rosé "/>
    <n v="2"/>
    <n v="0.75"/>
    <n v="1.5"/>
  </r>
  <r>
    <d v="2018-03-13T00:00:00"/>
    <x v="20"/>
    <s v="-"/>
    <x v="1"/>
    <x v="5"/>
    <x v="3"/>
    <s v="-"/>
    <s v="-"/>
    <m/>
    <s v="oui"/>
    <s v="65% Pinot Rosé 334 + 35% Grenache Cinsault 82"/>
    <n v="2"/>
    <n v="0.75"/>
    <n v="1.5"/>
  </r>
  <r>
    <d v="2018-03-13T00:00:00"/>
    <x v="20"/>
    <s v="-"/>
    <x v="2"/>
    <x v="53"/>
    <x v="0"/>
    <s v="-"/>
    <s v="-"/>
    <m/>
    <s v="oui"/>
    <s v="Assemblage solde 2015 + 2016 + thermo 2017"/>
    <n v="2"/>
    <n v="0.75"/>
    <n v="1.5"/>
  </r>
  <r>
    <d v="2018-03-15T00:00:00"/>
    <x v="2"/>
    <s v="-"/>
    <x v="0"/>
    <x v="2"/>
    <x v="3"/>
    <s v="Boisé"/>
    <n v="318"/>
    <m/>
    <s v="oui"/>
    <m/>
    <n v="2"/>
    <n v="0.75"/>
    <n v="1.5"/>
  </r>
  <r>
    <d v="2018-03-21T00:00:00"/>
    <x v="2"/>
    <s v="-"/>
    <x v="0"/>
    <x v="0"/>
    <x v="3"/>
    <s v="Lot Celliers du Vent"/>
    <n v="417"/>
    <m/>
    <s v="oui"/>
    <m/>
    <n v="3"/>
    <n v="0.75"/>
    <n v="2.25"/>
  </r>
  <r>
    <d v="2018-03-22T00:00:00"/>
    <x v="46"/>
    <s v="-"/>
    <x v="0"/>
    <x v="6"/>
    <x v="3"/>
    <s v="Thau Blanc"/>
    <n v="409"/>
    <m/>
    <s v="oui"/>
    <m/>
    <n v="1"/>
    <n v="0.75"/>
    <n v="0.75"/>
  </r>
  <r>
    <d v="2018-03-22T00:00:00"/>
    <x v="10"/>
    <s v="-"/>
    <x v="0"/>
    <x v="0"/>
    <x v="3"/>
    <s v="variétal"/>
    <n v="403"/>
    <m/>
    <s v="oui"/>
    <m/>
    <n v="1"/>
    <n v="0.75"/>
    <n v="0.75"/>
  </r>
  <r>
    <d v="2018-03-22T00:00:00"/>
    <x v="48"/>
    <s v="-"/>
    <x v="1"/>
    <x v="10"/>
    <x v="3"/>
    <s v="Lot 2"/>
    <n v="416"/>
    <m/>
    <s v="oui"/>
    <m/>
    <n v="1"/>
    <n v="0.75"/>
    <n v="0.75"/>
  </r>
  <r>
    <d v="2018-03-28T00:00:00"/>
    <x v="27"/>
    <s v="San Nicolas"/>
    <x v="0"/>
    <x v="0"/>
    <x v="0"/>
    <s v="Lot Solis"/>
    <n v="81"/>
    <m/>
    <s v="oui"/>
    <m/>
    <n v="2"/>
    <n v="0.75"/>
    <n v="1.5"/>
  </r>
  <r>
    <d v="2018-03-28T00:00:00"/>
    <x v="43"/>
    <s v="-"/>
    <x v="0"/>
    <x v="0"/>
    <x v="3"/>
    <s v="Bouteille"/>
    <n v="70"/>
    <m/>
    <s v="oui"/>
    <m/>
    <n v="2"/>
    <n v="0.75"/>
    <n v="1.5"/>
  </r>
  <r>
    <d v="2018-03-28T00:00:00"/>
    <x v="29"/>
    <s v="René Jeanjean"/>
    <x v="1"/>
    <x v="46"/>
    <x v="3"/>
    <s v="Lot 1"/>
    <n v="76"/>
    <m/>
    <s v="oui"/>
    <m/>
    <n v="3"/>
    <n v="0.75"/>
    <n v="2.25"/>
  </r>
  <r>
    <d v="2018-04-04T00:00:00"/>
    <x v="20"/>
    <s v="-"/>
    <x v="0"/>
    <x v="0"/>
    <x v="3"/>
    <s v="variétal"/>
    <n v="27"/>
    <m/>
    <s v="oui"/>
    <m/>
    <n v="3"/>
    <n v="0.75"/>
    <n v="2.25"/>
  </r>
  <r>
    <d v="2018-04-05T00:00:00"/>
    <x v="10"/>
    <s v="René Jeanjean"/>
    <x v="0"/>
    <x v="6"/>
    <x v="3"/>
    <s v="Terre et Mer Sec"/>
    <n v="69"/>
    <m/>
    <s v="oui"/>
    <m/>
    <n v="1"/>
    <n v="0.75"/>
    <n v="0.75"/>
  </r>
  <r>
    <d v="2018-04-05T00:00:00"/>
    <x v="10"/>
    <s v="René Jeanjean"/>
    <x v="0"/>
    <x v="54"/>
    <x v="3"/>
    <s v="Maraval Blanc"/>
    <s v="FK04"/>
    <m/>
    <s v="oui"/>
    <m/>
    <n v="1"/>
    <n v="0.75"/>
    <n v="0.75"/>
  </r>
  <r>
    <d v="2018-04-05T00:00:00"/>
    <x v="10"/>
    <s v="René Jeanjean"/>
    <x v="2"/>
    <x v="7"/>
    <x v="3"/>
    <s v="Bouteille"/>
    <s v="CF04"/>
    <m/>
    <s v="oui"/>
    <m/>
    <n v="1"/>
    <n v="0.75"/>
    <n v="0.75"/>
  </r>
  <r>
    <d v="2018-04-05T00:00:00"/>
    <x v="10"/>
    <s v="René Jeanjean"/>
    <x v="2"/>
    <x v="4"/>
    <x v="3"/>
    <s v="Bouteille"/>
    <s v="CF03"/>
    <m/>
    <s v="oui"/>
    <m/>
    <n v="1"/>
    <n v="0.75"/>
    <n v="0.75"/>
  </r>
  <r>
    <d v="2018-04-05T00:00:00"/>
    <x v="31"/>
    <s v="Jacques Woloviek"/>
    <x v="0"/>
    <x v="0"/>
    <x v="3"/>
    <s v="Petit degré"/>
    <n v="25"/>
    <m/>
    <s v="oui"/>
    <m/>
    <n v="4"/>
    <n v="0.75"/>
    <n v="3"/>
  </r>
  <r>
    <d v="2018-04-11T00:00:00"/>
    <x v="2"/>
    <s v="-"/>
    <x v="0"/>
    <x v="2"/>
    <x v="3"/>
    <s v="Non boisé"/>
    <s v="FK15"/>
    <m/>
    <s v="oui"/>
    <m/>
    <n v="2"/>
    <n v="0.75"/>
    <n v="1.5"/>
  </r>
  <r>
    <d v="2018-04-11T00:00:00"/>
    <x v="11"/>
    <s v="-"/>
    <x v="0"/>
    <x v="0"/>
    <x v="3"/>
    <s v="variétal"/>
    <n v="38"/>
    <m/>
    <s v="oui"/>
    <m/>
    <n v="1"/>
    <n v="0.75"/>
    <n v="0.75"/>
  </r>
  <r>
    <d v="2018-04-11T00:00:00"/>
    <x v="11"/>
    <s v="-"/>
    <x v="0"/>
    <x v="1"/>
    <x v="3"/>
    <s v="variétal"/>
    <n v="78"/>
    <m/>
    <s v="oui"/>
    <m/>
    <n v="1"/>
    <n v="0.75"/>
    <n v="0.75"/>
  </r>
  <r>
    <d v="2018-04-11T00:00:00"/>
    <x v="11"/>
    <s v="-"/>
    <x v="0"/>
    <x v="6"/>
    <x v="3"/>
    <s v="Thau Blanc"/>
    <n v="409"/>
    <m/>
    <s v="oui"/>
    <m/>
    <n v="1"/>
    <n v="0.75"/>
    <n v="0.75"/>
  </r>
  <r>
    <d v="2018-04-11T00:00:00"/>
    <x v="11"/>
    <s v="-"/>
    <x v="1"/>
    <x v="7"/>
    <x v="3"/>
    <s v="Lot Merlot"/>
    <n v="326"/>
    <m/>
    <s v="oui"/>
    <m/>
    <n v="1"/>
    <n v="0.75"/>
    <n v="0.75"/>
  </r>
  <r>
    <d v="2018-04-12T00:00:00"/>
    <x v="9"/>
    <s v="Jacques Woloviek"/>
    <x v="0"/>
    <x v="0"/>
    <x v="0"/>
    <s v="Lot ADVINI"/>
    <n v="84"/>
    <m/>
    <s v="oui"/>
    <m/>
    <n v="3"/>
    <n v="0.75"/>
    <n v="2.25"/>
  </r>
  <r>
    <d v="2018-04-12T00:00:00"/>
    <x v="2"/>
    <s v="-"/>
    <x v="0"/>
    <x v="2"/>
    <x v="3"/>
    <s v="Boisé"/>
    <n v="318"/>
    <m/>
    <s v="oui"/>
    <m/>
    <n v="3"/>
    <n v="0.75"/>
    <n v="2.25"/>
  </r>
  <r>
    <d v="2018-04-13T00:00:00"/>
    <x v="2"/>
    <s v="-"/>
    <x v="0"/>
    <x v="2"/>
    <x v="3"/>
    <s v="Boisé"/>
    <n v="318"/>
    <m/>
    <s v="oui"/>
    <m/>
    <n v="2"/>
    <n v="0.75"/>
    <n v="1.5"/>
  </r>
  <r>
    <d v="2018-04-13T00:00:00"/>
    <x v="5"/>
    <s v="-"/>
    <x v="0"/>
    <x v="17"/>
    <x v="3"/>
    <s v="Lot 85/15"/>
    <s v="-"/>
    <m/>
    <s v="oui"/>
    <s v="85% 409 + 15%80"/>
    <n v="2"/>
    <n v="0.75"/>
    <n v="1.5"/>
  </r>
  <r>
    <d v="2018-04-27T00:00:00"/>
    <x v="49"/>
    <s v="JC Simon"/>
    <x v="0"/>
    <x v="0"/>
    <x v="3"/>
    <s v="Boisé"/>
    <s v="FK2"/>
    <m/>
    <s v="oui"/>
    <s v="Lot Boisé 1"/>
    <n v="1"/>
    <n v="0.75"/>
    <n v="0.75"/>
  </r>
  <r>
    <d v="2018-04-27T00:00:00"/>
    <x v="49"/>
    <s v="JC Simon"/>
    <x v="0"/>
    <x v="0"/>
    <x v="3"/>
    <s v="Boisé"/>
    <s v="-"/>
    <m/>
    <s v="oui"/>
    <s v="Lot Boisé 2 - 50% FK1 + 50% FK2"/>
    <n v="1"/>
    <n v="0.75"/>
    <n v="0.75"/>
  </r>
  <r>
    <d v="2018-04-27T00:00:00"/>
    <x v="47"/>
    <s v="Gilles Lambert"/>
    <x v="0"/>
    <x v="0"/>
    <x v="3"/>
    <s v="Bouteille"/>
    <n v="44"/>
    <m/>
    <s v="oui"/>
    <m/>
    <n v="2"/>
    <n v="0.75"/>
    <n v="1.5"/>
  </r>
  <r>
    <d v="2018-05-14T00:00:00"/>
    <x v="31"/>
    <s v="Jacques Woloviek"/>
    <x v="0"/>
    <x v="0"/>
    <x v="3"/>
    <s v="Lot ADVINI"/>
    <n v="7"/>
    <m/>
    <s v="oui"/>
    <m/>
    <n v="3"/>
    <n v="0.75"/>
    <n v="2.25"/>
  </r>
  <r>
    <d v="2018-05-14T00:00:00"/>
    <x v="31"/>
    <s v="Jacques Woloviek"/>
    <x v="0"/>
    <x v="0"/>
    <x v="3"/>
    <s v="Petit degré"/>
    <n v="71"/>
    <m/>
    <s v="oui"/>
    <m/>
    <n v="3"/>
    <n v="0.75"/>
    <n v="2.25"/>
  </r>
  <r>
    <d v="2018-05-16T00:00:00"/>
    <x v="10"/>
    <s v="René Jeanjean"/>
    <x v="0"/>
    <x v="0"/>
    <x v="3"/>
    <s v="Variétal"/>
    <n v="38"/>
    <m/>
    <s v="oui"/>
    <m/>
    <n v="2"/>
    <n v="0.75"/>
    <n v="1.5"/>
  </r>
  <r>
    <d v="2018-06-14T00:00:00"/>
    <x v="5"/>
    <s v="-"/>
    <x v="0"/>
    <x v="1"/>
    <x v="3"/>
    <s v="Classique"/>
    <n v="310"/>
    <m/>
    <s v="oui"/>
    <m/>
    <n v="4"/>
    <n v="0.75"/>
    <n v="3"/>
  </r>
  <r>
    <d v="2018-06-15T00:00:00"/>
    <x v="31"/>
    <s v="Jacques Woloviek"/>
    <x v="0"/>
    <x v="0"/>
    <x v="3"/>
    <s v="Petit degré"/>
    <n v="71"/>
    <m/>
    <s v="oui"/>
    <m/>
    <n v="3"/>
    <n v="0.75"/>
    <n v="2.25"/>
  </r>
  <r>
    <d v="2018-06-21T00:00:00"/>
    <x v="2"/>
    <s v="-"/>
    <x v="0"/>
    <x v="0"/>
    <x v="3"/>
    <s v="supérieur Variétal"/>
    <n v="417"/>
    <m/>
    <s v="oui"/>
    <m/>
    <n v="3"/>
    <n v="0.75"/>
    <n v="2.25"/>
  </r>
  <r>
    <d v="2018-06-26T00:00:00"/>
    <x v="50"/>
    <s v="Gilles Louvet"/>
    <x v="0"/>
    <x v="0"/>
    <x v="3"/>
    <s v="-"/>
    <s v="-"/>
    <m/>
    <s v="oui"/>
    <s v="61,4% chardonnay sup + 38,6% Chardonnay bouteille"/>
    <n v="2"/>
    <n v="0.75"/>
    <n v="1.5"/>
  </r>
  <r>
    <d v="2018-07-03T00:00:00"/>
    <x v="9"/>
    <s v="Jacques Woloviek"/>
    <x v="0"/>
    <x v="0"/>
    <x v="3"/>
    <s v="Lot ADVINI"/>
    <n v="308"/>
    <m/>
    <s v="oui"/>
    <m/>
    <n v="4"/>
    <n v="0.75"/>
    <n v="3"/>
  </r>
  <r>
    <d v="2018-07-03T00:00:00"/>
    <x v="51"/>
    <s v="-"/>
    <x v="1"/>
    <x v="29"/>
    <x v="3"/>
    <s v="Bouteille"/>
    <n v="12"/>
    <m/>
    <s v="oui"/>
    <m/>
    <n v="2"/>
    <n v="0.75"/>
    <n v="1.5"/>
  </r>
  <r>
    <d v="2018-07-05T00:00:00"/>
    <x v="9"/>
    <s v="Jacques Woloviek"/>
    <x v="0"/>
    <x v="0"/>
    <x v="3"/>
    <s v="Lot ADVINI"/>
    <n v="308"/>
    <m/>
    <s v="oui"/>
    <m/>
    <n v="5"/>
    <n v="0.75"/>
    <n v="3.75"/>
  </r>
  <r>
    <d v="2018-07-09T00:00:00"/>
    <x v="1"/>
    <s v="JC Simon"/>
    <x v="0"/>
    <x v="0"/>
    <x v="3"/>
    <s v="Lot Boisé"/>
    <n v="317"/>
    <m/>
    <s v="oui"/>
    <m/>
    <n v="3"/>
    <n v="0.75"/>
    <n v="2.25"/>
  </r>
  <r>
    <d v="2018-07-09T00:00:00"/>
    <x v="1"/>
    <s v="JC Simon"/>
    <x v="2"/>
    <x v="5"/>
    <x v="3"/>
    <s v="PNR"/>
    <s v="-"/>
    <m/>
    <s v="oui"/>
    <s v="126 + FK11"/>
    <n v="3"/>
    <n v="0.75"/>
    <n v="2.25"/>
  </r>
  <r>
    <d v="2018-07-09T00:00:00"/>
    <x v="1"/>
    <s v="Gilles Louvet"/>
    <x v="0"/>
    <x v="0"/>
    <x v="3"/>
    <s v="-"/>
    <s v="-"/>
    <m/>
    <s v="oui"/>
    <s v="61,4% chardonnay sup + 38,6% Chardonnay bouteille"/>
    <n v="3"/>
    <n v="0.75"/>
    <n v="2.25"/>
  </r>
  <r>
    <d v="2018-07-09T00:00:00"/>
    <x v="1"/>
    <s v="Gilles Louvet"/>
    <x v="2"/>
    <x v="13"/>
    <x v="3"/>
    <s v="Lot vrac"/>
    <n v="302"/>
    <m/>
    <s v="oui"/>
    <m/>
    <n v="3"/>
    <n v="0.75"/>
    <n v="2.25"/>
  </r>
  <r>
    <d v="2018-07-16T00:00:00"/>
    <x v="2"/>
    <s v="-"/>
    <x v="0"/>
    <x v="0"/>
    <x v="3"/>
    <s v="Lot Celliers du Vent"/>
    <n v="332"/>
    <m/>
    <s v="oui"/>
    <m/>
    <n v="2"/>
    <n v="0.75"/>
    <n v="1.5"/>
  </r>
  <r>
    <d v="2018-07-24T00:00:00"/>
    <x v="2"/>
    <s v="-"/>
    <x v="0"/>
    <x v="0"/>
    <x v="3"/>
    <s v="Lot Celliers du Vent"/>
    <n v="9"/>
    <m/>
    <s v="oui"/>
    <m/>
    <n v="2"/>
    <n v="0.75"/>
    <n v="1.5"/>
  </r>
  <r>
    <d v="2018-08-07T00:00:00"/>
    <x v="29"/>
    <s v="René Jeanjean"/>
    <x v="1"/>
    <x v="13"/>
    <x v="3"/>
    <s v="Lot Cabernet"/>
    <n v="87"/>
    <m/>
    <s v="oui"/>
    <m/>
    <n v="2"/>
    <n v="0.75"/>
    <n v="1.5"/>
  </r>
  <r>
    <d v="2018-08-07T00:00:00"/>
    <x v="29"/>
    <s v="René Jeanjean"/>
    <x v="1"/>
    <x v="7"/>
    <x v="3"/>
    <s v="Lot Merlot"/>
    <n v="28"/>
    <m/>
    <s v="oui"/>
    <m/>
    <n v="2"/>
    <n v="0.75"/>
    <n v="1.5"/>
  </r>
  <r>
    <d v="2018-08-07T00:00:00"/>
    <x v="29"/>
    <s v="René Jeanjean"/>
    <x v="1"/>
    <x v="8"/>
    <x v="3"/>
    <s v="Lot Cinsault"/>
    <n v="306"/>
    <m/>
    <s v="oui"/>
    <m/>
    <n v="2"/>
    <n v="0.75"/>
    <n v="1.5"/>
  </r>
  <r>
    <d v="2018-08-07T00:00:00"/>
    <x v="10"/>
    <s v="René Jeanjean"/>
    <x v="0"/>
    <x v="0"/>
    <x v="3"/>
    <s v="variétal"/>
    <n v="310"/>
    <m/>
    <s v="oui"/>
    <m/>
    <n v="2"/>
    <n v="0.75"/>
    <n v="1.5"/>
  </r>
  <r>
    <d v="2018-08-23T00:00:00"/>
    <x v="5"/>
    <s v="-"/>
    <x v="1"/>
    <x v="30"/>
    <x v="3"/>
    <s v="Bouteille"/>
    <s v="-"/>
    <m/>
    <s v="oui"/>
    <m/>
    <n v="3"/>
    <n v="0.75"/>
    <n v="2.25"/>
  </r>
  <r>
    <d v="2018-08-23T00:00:00"/>
    <x v="5"/>
    <s v="-"/>
    <x v="1"/>
    <x v="52"/>
    <x v="3"/>
    <s v="Bouteille"/>
    <s v="-"/>
    <m/>
    <s v="oui"/>
    <m/>
    <n v="3"/>
    <n v="0.75"/>
    <n v="2.25"/>
  </r>
  <r>
    <d v="2018-08-23T00:00:00"/>
    <x v="5"/>
    <s v="-"/>
    <x v="1"/>
    <x v="51"/>
    <x v="3"/>
    <s v="Bouteille"/>
    <s v="-"/>
    <m/>
    <s v="oui"/>
    <m/>
    <n v="3"/>
    <n v="0.75"/>
    <n v="2.25"/>
  </r>
  <r>
    <d v="2018-08-23T00:00:00"/>
    <x v="5"/>
    <s v="-"/>
    <x v="0"/>
    <x v="17"/>
    <x v="3"/>
    <s v="Thau Blanc"/>
    <n v="414"/>
    <m/>
    <s v="oui"/>
    <m/>
    <n v="3"/>
    <n v="0.75"/>
    <n v="2.25"/>
  </r>
  <r>
    <d v="2018-10-02T00:00:00"/>
    <x v="2"/>
    <s v="-"/>
    <x v="0"/>
    <x v="2"/>
    <x v="4"/>
    <s v="-"/>
    <n v="206"/>
    <m/>
    <s v="oui"/>
    <m/>
    <n v="2"/>
    <n v="0.75"/>
    <n v="1.5"/>
  </r>
  <r>
    <d v="2018-10-02T00:00:00"/>
    <x v="2"/>
    <s v="-"/>
    <x v="0"/>
    <x v="2"/>
    <x v="4"/>
    <s v="-"/>
    <n v="307"/>
    <m/>
    <s v="oui"/>
    <m/>
    <n v="2"/>
    <n v="0.75"/>
    <n v="1.5"/>
  </r>
  <r>
    <d v="2018-10-02T00:00:00"/>
    <x v="2"/>
    <s v="-"/>
    <x v="0"/>
    <x v="2"/>
    <x v="4"/>
    <s v="-"/>
    <n v="309"/>
    <m/>
    <s v="oui"/>
    <m/>
    <n v="2"/>
    <n v="0.75"/>
    <n v="1.5"/>
  </r>
  <r>
    <d v="2018-10-02T00:00:00"/>
    <x v="2"/>
    <s v="-"/>
    <x v="0"/>
    <x v="2"/>
    <x v="4"/>
    <s v="-"/>
    <n v="37"/>
    <m/>
    <s v="oui"/>
    <m/>
    <n v="2"/>
    <n v="0.75"/>
    <n v="1.5"/>
  </r>
  <r>
    <d v="2018-10-08T00:00:00"/>
    <x v="2"/>
    <s v="-"/>
    <x v="0"/>
    <x v="0"/>
    <x v="4"/>
    <s v="classique"/>
    <s v="Ag305"/>
    <m/>
    <s v="oui"/>
    <m/>
    <n v="5"/>
    <n v="0.75"/>
    <n v="3.75"/>
  </r>
  <r>
    <d v="2018-10-08T00:00:00"/>
    <x v="2"/>
    <s v="-"/>
    <x v="0"/>
    <x v="0"/>
    <x v="4"/>
    <s v="variétal"/>
    <s v="-"/>
    <m/>
    <s v="oui"/>
    <m/>
    <n v="5"/>
    <n v="0.75"/>
    <n v="3.75"/>
  </r>
  <r>
    <d v="2018-10-08T00:00:00"/>
    <x v="2"/>
    <s v="-"/>
    <x v="0"/>
    <x v="0"/>
    <x v="4"/>
    <s v="supérieur"/>
    <s v="Ag303"/>
    <m/>
    <s v="oui"/>
    <m/>
    <n v="5"/>
    <n v="0.75"/>
    <n v="3.75"/>
  </r>
  <r>
    <d v="2018-10-08T00:00:00"/>
    <x v="2"/>
    <s v="-"/>
    <x v="0"/>
    <x v="1"/>
    <x v="4"/>
    <s v="classique"/>
    <s v="-"/>
    <m/>
    <s v="oui"/>
    <m/>
    <n v="5"/>
    <n v="0.75"/>
    <n v="3.75"/>
  </r>
  <r>
    <d v="2018-10-08T00:00:00"/>
    <x v="2"/>
    <s v="-"/>
    <x v="0"/>
    <x v="1"/>
    <x v="4"/>
    <s v="variétal"/>
    <s v="-"/>
    <m/>
    <s v="oui"/>
    <m/>
    <n v="5"/>
    <n v="0.75"/>
    <n v="3.75"/>
  </r>
  <r>
    <d v="2018-10-08T00:00:00"/>
    <x v="2"/>
    <s v="-"/>
    <x v="0"/>
    <x v="1"/>
    <x v="4"/>
    <s v="supérieur"/>
    <s v="-"/>
    <m/>
    <s v="oui"/>
    <m/>
    <n v="5"/>
    <n v="0.75"/>
    <n v="3.75"/>
  </r>
  <r>
    <d v="2018-10-08T00:00:00"/>
    <x v="2"/>
    <s v="-"/>
    <x v="0"/>
    <x v="2"/>
    <x v="4"/>
    <s v="-"/>
    <n v="307"/>
    <m/>
    <s v="oui"/>
    <m/>
    <n v="5"/>
    <n v="0.75"/>
    <n v="3.75"/>
  </r>
  <r>
    <d v="2018-10-08T00:00:00"/>
    <x v="2"/>
    <s v="-"/>
    <x v="0"/>
    <x v="2"/>
    <x v="4"/>
    <s v="-"/>
    <n v="309"/>
    <m/>
    <s v="oui"/>
    <m/>
    <n v="5"/>
    <n v="0.75"/>
    <n v="3.75"/>
  </r>
  <r>
    <d v="2018-10-08T00:00:00"/>
    <x v="2"/>
    <s v="-"/>
    <x v="0"/>
    <x v="2"/>
    <x v="4"/>
    <s v="-"/>
    <n v="37"/>
    <m/>
    <s v="oui"/>
    <m/>
    <n v="5"/>
    <n v="0.75"/>
    <n v="3.75"/>
  </r>
  <r>
    <d v="2018-10-10T00:00:00"/>
    <x v="2"/>
    <s v="-"/>
    <x v="0"/>
    <x v="3"/>
    <x v="4"/>
    <s v="-"/>
    <n v="14"/>
    <m/>
    <s v="oui"/>
    <m/>
    <n v="2"/>
    <n v="0.75"/>
    <n v="1.5"/>
  </r>
  <r>
    <d v="2018-10-10T00:00:00"/>
    <x v="2"/>
    <s v="-"/>
    <x v="0"/>
    <x v="3"/>
    <x v="4"/>
    <s v="-"/>
    <n v="33"/>
    <m/>
    <s v="oui"/>
    <m/>
    <n v="4"/>
    <n v="0.75"/>
    <n v="3"/>
  </r>
  <r>
    <d v="2018-10-10T00:00:00"/>
    <x v="2"/>
    <s v="-"/>
    <x v="0"/>
    <x v="3"/>
    <x v="4"/>
    <s v="-"/>
    <n v="302"/>
    <m/>
    <s v="oui"/>
    <m/>
    <n v="4"/>
    <n v="0.75"/>
    <n v="3"/>
  </r>
  <r>
    <d v="2018-10-10T00:00:00"/>
    <x v="52"/>
    <s v="JC Simon"/>
    <x v="0"/>
    <x v="2"/>
    <x v="4"/>
    <s v="supérieur"/>
    <s v="-"/>
    <m/>
    <s v="oui"/>
    <m/>
    <n v="2"/>
    <n v="0.75"/>
    <n v="1.5"/>
  </r>
  <r>
    <d v="2018-10-10T00:00:00"/>
    <x v="52"/>
    <s v="JC Simon"/>
    <x v="0"/>
    <x v="2"/>
    <x v="4"/>
    <s v="standard"/>
    <s v="-"/>
    <m/>
    <s v="oui"/>
    <m/>
    <n v="2"/>
    <n v="0.75"/>
    <n v="1.5"/>
  </r>
  <r>
    <d v="2018-10-10T00:00:00"/>
    <x v="52"/>
    <s v="JC Simon"/>
    <x v="0"/>
    <x v="0"/>
    <x v="4"/>
    <s v="supérieur"/>
    <s v="Ag303"/>
    <m/>
    <s v="oui"/>
    <m/>
    <n v="2"/>
    <n v="0.75"/>
    <n v="1.5"/>
  </r>
  <r>
    <d v="2018-10-10T00:00:00"/>
    <x v="52"/>
    <s v="JC Simon"/>
    <x v="0"/>
    <x v="0"/>
    <x v="4"/>
    <s v="variétal"/>
    <s v="-"/>
    <m/>
    <s v="oui"/>
    <m/>
    <n v="2"/>
    <n v="0.75"/>
    <n v="1.5"/>
  </r>
  <r>
    <d v="2018-10-10T00:00:00"/>
    <x v="1"/>
    <s v="JC Simon"/>
    <x v="0"/>
    <x v="0"/>
    <x v="4"/>
    <s v="-"/>
    <n v="204"/>
    <m/>
    <s v="oui"/>
    <s v="échantillon boisage"/>
    <n v="2"/>
    <n v="0.75"/>
    <n v="1.5"/>
  </r>
  <r>
    <d v="2018-10-10T00:00:00"/>
    <x v="52"/>
    <s v="JC Simon"/>
    <x v="1"/>
    <x v="10"/>
    <x v="4"/>
    <s v="Thau Rosé"/>
    <s v="-"/>
    <m/>
    <s v="oui"/>
    <m/>
    <n v="2"/>
    <n v="0.75"/>
    <n v="1.5"/>
  </r>
  <r>
    <d v="2018-10-11T00:00:00"/>
    <x v="3"/>
    <s v="-"/>
    <x v="0"/>
    <x v="1"/>
    <x v="4"/>
    <s v="supérieur"/>
    <s v="-"/>
    <m/>
    <s v="oui"/>
    <m/>
    <n v="4"/>
    <n v="0.75"/>
    <n v="3"/>
  </r>
  <r>
    <d v="2018-10-11T00:00:00"/>
    <x v="3"/>
    <s v="-"/>
    <x v="0"/>
    <x v="1"/>
    <x v="4"/>
    <s v="variétal"/>
    <s v="-"/>
    <m/>
    <s v="oui"/>
    <m/>
    <n v="4"/>
    <n v="0.75"/>
    <n v="3"/>
  </r>
  <r>
    <d v="2018-10-11T00:00:00"/>
    <x v="3"/>
    <s v="-"/>
    <x v="0"/>
    <x v="0"/>
    <x v="4"/>
    <s v="classique"/>
    <s v="Ag305"/>
    <m/>
    <s v="oui"/>
    <m/>
    <n v="3"/>
    <n v="0.75"/>
    <n v="2.25"/>
  </r>
  <r>
    <d v="2018-10-11T00:00:00"/>
    <x v="3"/>
    <s v="-"/>
    <x v="0"/>
    <x v="0"/>
    <x v="4"/>
    <s v="Supérieur"/>
    <s v="Ag303"/>
    <m/>
    <s v="oui"/>
    <m/>
    <n v="1"/>
    <n v="0.75"/>
    <n v="0.75"/>
  </r>
  <r>
    <d v="2018-10-11T00:00:00"/>
    <x v="3"/>
    <s v="-"/>
    <x v="0"/>
    <x v="0"/>
    <x v="4"/>
    <s v="variétal"/>
    <s v="-"/>
    <m/>
    <s v="oui"/>
    <m/>
    <n v="2"/>
    <n v="0.75"/>
    <n v="1.5"/>
  </r>
  <r>
    <d v="2018-10-11T00:00:00"/>
    <x v="3"/>
    <s v="-"/>
    <x v="0"/>
    <x v="2"/>
    <x v="4"/>
    <s v="Supérieur"/>
    <s v="-"/>
    <m/>
    <s v="oui"/>
    <m/>
    <n v="2"/>
    <n v="0.75"/>
    <n v="1.5"/>
  </r>
  <r>
    <d v="2018-10-11T00:00:00"/>
    <x v="3"/>
    <s v="-"/>
    <x v="0"/>
    <x v="3"/>
    <x v="4"/>
    <s v="-"/>
    <n v="14"/>
    <m/>
    <s v="oui"/>
    <m/>
    <n v="2"/>
    <n v="0.75"/>
    <n v="1.5"/>
  </r>
  <r>
    <d v="2018-10-11T00:00:00"/>
    <x v="1"/>
    <s v="Olivier Castillo"/>
    <x v="0"/>
    <x v="1"/>
    <x v="4"/>
    <s v="Supérieur"/>
    <s v="-"/>
    <m/>
    <s v="oui"/>
    <m/>
    <n v="1"/>
    <n v="0.75"/>
    <n v="0.75"/>
  </r>
  <r>
    <d v="2018-10-11T00:00:00"/>
    <x v="1"/>
    <s v="Olivier Castillo"/>
    <x v="0"/>
    <x v="1"/>
    <x v="4"/>
    <s v="classique"/>
    <s v="-"/>
    <m/>
    <s v="oui"/>
    <m/>
    <n v="3"/>
    <n v="0.75"/>
    <n v="2.25"/>
  </r>
  <r>
    <d v="2018-10-11T00:00:00"/>
    <x v="1"/>
    <s v="Olivier Castillo"/>
    <x v="1"/>
    <x v="10"/>
    <x v="4"/>
    <s v="Thau Rosé"/>
    <s v="-"/>
    <m/>
    <s v="oui"/>
    <m/>
    <n v="3"/>
    <n v="0.75"/>
    <n v="2.25"/>
  </r>
  <r>
    <d v="2018-10-11T00:00:00"/>
    <x v="4"/>
    <s v="-"/>
    <x v="0"/>
    <x v="0"/>
    <x v="4"/>
    <s v="classique"/>
    <s v="Ag305"/>
    <m/>
    <s v="oui"/>
    <m/>
    <n v="3"/>
    <n v="0.75"/>
    <n v="2.25"/>
  </r>
  <r>
    <d v="2018-10-11T00:00:00"/>
    <x v="4"/>
    <s v="-"/>
    <x v="0"/>
    <x v="0"/>
    <x v="4"/>
    <s v="variétal"/>
    <s v="-"/>
    <m/>
    <s v="oui"/>
    <m/>
    <n v="3"/>
    <n v="0.75"/>
    <n v="2.25"/>
  </r>
  <r>
    <d v="2018-10-11T00:00:00"/>
    <x v="4"/>
    <s v="-"/>
    <x v="0"/>
    <x v="0"/>
    <x v="4"/>
    <s v="supérieur"/>
    <s v="Ag303"/>
    <m/>
    <s v="oui"/>
    <m/>
    <n v="3"/>
    <n v="0.75"/>
    <n v="2.25"/>
  </r>
  <r>
    <d v="2018-10-11T00:00:00"/>
    <x v="4"/>
    <s v="-"/>
    <x v="0"/>
    <x v="1"/>
    <x v="4"/>
    <s v="classique"/>
    <s v="-"/>
    <m/>
    <s v="oui"/>
    <m/>
    <n v="3"/>
    <n v="0.75"/>
    <n v="2.25"/>
  </r>
  <r>
    <d v="2018-10-11T00:00:00"/>
    <x v="4"/>
    <s v="-"/>
    <x v="0"/>
    <x v="1"/>
    <x v="4"/>
    <s v="variétal"/>
    <s v="-"/>
    <m/>
    <s v="oui"/>
    <m/>
    <n v="3"/>
    <n v="0.75"/>
    <n v="2.25"/>
  </r>
  <r>
    <d v="2018-10-11T00:00:00"/>
    <x v="4"/>
    <s v="-"/>
    <x v="0"/>
    <x v="1"/>
    <x v="4"/>
    <s v="supérieur"/>
    <s v="-"/>
    <m/>
    <s v="oui"/>
    <m/>
    <n v="3"/>
    <n v="0.75"/>
    <n v="2.25"/>
  </r>
  <r>
    <d v="2018-10-11T00:00:00"/>
    <x v="4"/>
    <s v="-"/>
    <x v="0"/>
    <x v="2"/>
    <x v="4"/>
    <s v="supérieur"/>
    <s v="-"/>
    <m/>
    <s v="oui"/>
    <m/>
    <n v="3"/>
    <n v="0.75"/>
    <n v="2.25"/>
  </r>
  <r>
    <d v="2018-10-11T00:00:00"/>
    <x v="4"/>
    <s v="-"/>
    <x v="0"/>
    <x v="2"/>
    <x v="4"/>
    <s v="classique"/>
    <s v="-"/>
    <m/>
    <s v="oui"/>
    <m/>
    <n v="3"/>
    <n v="0.75"/>
    <n v="2.25"/>
  </r>
  <r>
    <d v="2018-10-15T00:00:00"/>
    <x v="2"/>
    <s v="-"/>
    <x v="0"/>
    <x v="0"/>
    <x v="4"/>
    <s v="classique"/>
    <s v="Ag305"/>
    <m/>
    <s v="oui"/>
    <m/>
    <n v="6"/>
    <n v="0.75"/>
    <n v="4.5"/>
  </r>
  <r>
    <d v="2018-10-15T00:00:00"/>
    <x v="2"/>
    <s v="-"/>
    <x v="0"/>
    <x v="0"/>
    <x v="4"/>
    <s v="variétal"/>
    <s v="-"/>
    <m/>
    <s v="oui"/>
    <m/>
    <n v="6"/>
    <n v="0.75"/>
    <n v="4.5"/>
  </r>
  <r>
    <d v="2018-10-15T00:00:00"/>
    <x v="2"/>
    <s v="-"/>
    <x v="0"/>
    <x v="0"/>
    <x v="4"/>
    <s v="supérieur"/>
    <s v="Ag303"/>
    <m/>
    <s v="oui"/>
    <m/>
    <n v="6"/>
    <n v="0.75"/>
    <n v="4.5"/>
  </r>
  <r>
    <d v="2018-10-15T00:00:00"/>
    <x v="2"/>
    <s v="-"/>
    <x v="0"/>
    <x v="1"/>
    <x v="4"/>
    <s v="classique"/>
    <s v="-"/>
    <m/>
    <s v="oui"/>
    <m/>
    <n v="6"/>
    <n v="0.75"/>
    <n v="4.5"/>
  </r>
  <r>
    <d v="2018-10-15T00:00:00"/>
    <x v="2"/>
    <s v="-"/>
    <x v="0"/>
    <x v="1"/>
    <x v="4"/>
    <s v="variétal"/>
    <s v="-"/>
    <m/>
    <s v="oui"/>
    <m/>
    <n v="6"/>
    <n v="0.75"/>
    <n v="4.5"/>
  </r>
  <r>
    <d v="2018-10-15T00:00:00"/>
    <x v="2"/>
    <s v="-"/>
    <x v="0"/>
    <x v="1"/>
    <x v="4"/>
    <s v="supérieur"/>
    <s v="-"/>
    <m/>
    <s v="oui"/>
    <m/>
    <n v="6"/>
    <n v="0.75"/>
    <n v="4.5"/>
  </r>
  <r>
    <d v="2018-10-15T00:00:00"/>
    <x v="2"/>
    <s v="-"/>
    <x v="1"/>
    <x v="10"/>
    <x v="4"/>
    <s v="Lot Oc Rosé"/>
    <s v="-"/>
    <m/>
    <s v="oui"/>
    <m/>
    <n v="6"/>
    <n v="0.75"/>
    <n v="4.5"/>
  </r>
  <r>
    <d v="2018-10-15T00:00:00"/>
    <x v="2"/>
    <s v="-"/>
    <x v="1"/>
    <x v="10"/>
    <x v="4"/>
    <s v="Lot Hérault Rosé"/>
    <n v="412"/>
    <m/>
    <s v="oui"/>
    <m/>
    <n v="6"/>
    <n v="0.75"/>
    <n v="4.5"/>
  </r>
  <r>
    <d v="2018-10-16T00:00:00"/>
    <x v="2"/>
    <s v="-"/>
    <x v="0"/>
    <x v="2"/>
    <x v="4"/>
    <s v="Lot classique"/>
    <s v="-"/>
    <m/>
    <s v="oui"/>
    <m/>
    <n v="2"/>
    <n v="0.75"/>
    <n v="1.5"/>
  </r>
  <r>
    <d v="2018-10-16T00:00:00"/>
    <x v="2"/>
    <s v="-"/>
    <x v="0"/>
    <x v="3"/>
    <x v="4"/>
    <s v="-"/>
    <n v="33"/>
    <m/>
    <s v="oui"/>
    <m/>
    <n v="1"/>
    <n v="0.75"/>
    <n v="0.75"/>
  </r>
  <r>
    <d v="2018-10-16T00:00:00"/>
    <x v="2"/>
    <s v="-"/>
    <x v="0"/>
    <x v="3"/>
    <x v="4"/>
    <s v="-"/>
    <n v="14"/>
    <m/>
    <s v="oui"/>
    <m/>
    <n v="1"/>
    <n v="0.75"/>
    <n v="0.75"/>
  </r>
  <r>
    <d v="2018-10-16T00:00:00"/>
    <x v="1"/>
    <s v="TWS"/>
    <x v="0"/>
    <x v="6"/>
    <x v="4"/>
    <s v="-"/>
    <n v="201"/>
    <m/>
    <s v="oui"/>
    <m/>
    <n v="3"/>
    <n v="0.75"/>
    <n v="2.25"/>
  </r>
  <r>
    <d v="2018-10-16T00:00:00"/>
    <x v="1"/>
    <s v="TWS"/>
    <x v="0"/>
    <x v="21"/>
    <x v="4"/>
    <s v="-"/>
    <n v="29"/>
    <m/>
    <s v="oui"/>
    <m/>
    <n v="3"/>
    <n v="0.75"/>
    <n v="2.25"/>
  </r>
  <r>
    <d v="2018-10-16T00:00:00"/>
    <x v="1"/>
    <s v="TWS"/>
    <x v="0"/>
    <x v="9"/>
    <x v="4"/>
    <s v="-"/>
    <n v="91"/>
    <m/>
    <s v="oui"/>
    <m/>
    <n v="3"/>
    <n v="0.75"/>
    <n v="2.25"/>
  </r>
  <r>
    <d v="2018-10-16T00:00:00"/>
    <x v="1"/>
    <s v="TWS"/>
    <x v="0"/>
    <x v="11"/>
    <x v="4"/>
    <s v="-"/>
    <n v="87"/>
    <m/>
    <s v="oui"/>
    <m/>
    <n v="3"/>
    <n v="0.75"/>
    <n v="2.25"/>
  </r>
  <r>
    <d v="2018-10-16T00:00:00"/>
    <x v="1"/>
    <s v="TWS"/>
    <x v="0"/>
    <x v="3"/>
    <x v="4"/>
    <s v="-"/>
    <n v="14"/>
    <m/>
    <s v="oui"/>
    <m/>
    <n v="3"/>
    <n v="0.75"/>
    <n v="2.25"/>
  </r>
  <r>
    <d v="2018-10-16T00:00:00"/>
    <x v="1"/>
    <s v="TWS"/>
    <x v="0"/>
    <x v="3"/>
    <x v="4"/>
    <s v="-"/>
    <n v="33"/>
    <m/>
    <s v="oui"/>
    <m/>
    <n v="3"/>
    <n v="0.75"/>
    <n v="2.25"/>
  </r>
  <r>
    <d v="2018-10-16T00:00:00"/>
    <x v="1"/>
    <s v="TWS"/>
    <x v="0"/>
    <x v="2"/>
    <x v="4"/>
    <s v="supérieur"/>
    <s v="-"/>
    <m/>
    <s v="oui"/>
    <m/>
    <n v="3"/>
    <n v="0.75"/>
    <n v="2.25"/>
  </r>
  <r>
    <d v="2018-10-16T00:00:00"/>
    <x v="1"/>
    <s v="TWS"/>
    <x v="0"/>
    <x v="0"/>
    <x v="4"/>
    <s v="supérieur"/>
    <s v="Ag303"/>
    <m/>
    <s v="oui"/>
    <m/>
    <n v="3"/>
    <n v="0.75"/>
    <n v="2.25"/>
  </r>
  <r>
    <d v="2018-10-16T00:00:00"/>
    <x v="1"/>
    <s v="TWS"/>
    <x v="0"/>
    <x v="0"/>
    <x v="4"/>
    <s v="variétal"/>
    <s v="-"/>
    <m/>
    <s v="oui"/>
    <m/>
    <n v="3"/>
    <n v="0.75"/>
    <n v="2.25"/>
  </r>
  <r>
    <d v="2018-10-16T00:00:00"/>
    <x v="1"/>
    <s v="TWS"/>
    <x v="0"/>
    <x v="0"/>
    <x v="4"/>
    <s v="classique"/>
    <s v="-"/>
    <m/>
    <s v="oui"/>
    <m/>
    <n v="3"/>
    <n v="0.75"/>
    <n v="2.25"/>
  </r>
  <r>
    <d v="2018-10-16T00:00:00"/>
    <x v="53"/>
    <s v="SP Wines"/>
    <x v="0"/>
    <x v="21"/>
    <x v="4"/>
    <s v="-"/>
    <n v="25"/>
    <m/>
    <s v="oui"/>
    <m/>
    <n v="1"/>
    <n v="0.75"/>
    <n v="0.75"/>
  </r>
  <r>
    <d v="2018-10-16T00:00:00"/>
    <x v="53"/>
    <s v="SP Wines"/>
    <x v="0"/>
    <x v="21"/>
    <x v="4"/>
    <s v="-"/>
    <n v="29"/>
    <m/>
    <s v="oui"/>
    <m/>
    <n v="1"/>
    <n v="0.75"/>
    <n v="0.75"/>
  </r>
  <r>
    <d v="2018-10-16T00:00:00"/>
    <x v="53"/>
    <s v="SP Wines"/>
    <x v="0"/>
    <x v="2"/>
    <x v="4"/>
    <s v="classique"/>
    <s v="-"/>
    <m/>
    <s v="oui"/>
    <m/>
    <n v="1"/>
    <n v="0.75"/>
    <n v="0.75"/>
  </r>
  <r>
    <d v="2018-10-16T00:00:00"/>
    <x v="53"/>
    <s v="SP Wines"/>
    <x v="0"/>
    <x v="2"/>
    <x v="4"/>
    <s v="supérieur"/>
    <s v="-"/>
    <m/>
    <s v="oui"/>
    <m/>
    <n v="1"/>
    <n v="0.75"/>
    <n v="0.75"/>
  </r>
  <r>
    <d v="2018-10-16T00:00:00"/>
    <x v="53"/>
    <s v="SP Wines"/>
    <x v="0"/>
    <x v="6"/>
    <x v="4"/>
    <s v="-"/>
    <n v="201"/>
    <m/>
    <s v="oui"/>
    <m/>
    <n v="1"/>
    <n v="0.75"/>
    <n v="0.75"/>
  </r>
  <r>
    <d v="2018-10-16T00:00:00"/>
    <x v="4"/>
    <s v="-"/>
    <x v="1"/>
    <x v="10"/>
    <x v="4"/>
    <s v="Lot Oc Rosé"/>
    <s v="-"/>
    <m/>
    <s v="oui"/>
    <m/>
    <n v="3"/>
    <n v="0.75"/>
    <n v="2.25"/>
  </r>
  <r>
    <d v="2018-10-16T00:00:00"/>
    <x v="4"/>
    <s v="-"/>
    <x v="1"/>
    <x v="10"/>
    <x v="4"/>
    <s v="Lot Rosé H"/>
    <n v="412"/>
    <m/>
    <s v="oui"/>
    <m/>
    <n v="3"/>
    <n v="0.75"/>
    <n v="2.25"/>
  </r>
  <r>
    <d v="2018-10-17T00:00:00"/>
    <x v="9"/>
    <s v="Jacques Woloviek"/>
    <x v="0"/>
    <x v="0"/>
    <x v="4"/>
    <s v="classique"/>
    <s v="Ag305"/>
    <m/>
    <s v="oui"/>
    <m/>
    <n v="6"/>
    <n v="0.75"/>
    <n v="4.5"/>
  </r>
  <r>
    <d v="2018-10-17T00:00:00"/>
    <x v="9"/>
    <s v="Jacques Woloviek"/>
    <x v="0"/>
    <x v="0"/>
    <x v="4"/>
    <s v="variétal"/>
    <s v="-"/>
    <m/>
    <s v="oui"/>
    <m/>
    <n v="6"/>
    <n v="0.75"/>
    <n v="4.5"/>
  </r>
  <r>
    <d v="2018-10-17T00:00:00"/>
    <x v="9"/>
    <s v="Jacques Woloviek"/>
    <x v="0"/>
    <x v="0"/>
    <x v="4"/>
    <s v="supérieur"/>
    <s v="Ag303"/>
    <m/>
    <s v="oui"/>
    <m/>
    <n v="6"/>
    <n v="0.75"/>
    <n v="4.5"/>
  </r>
  <r>
    <d v="2018-10-17T00:00:00"/>
    <x v="9"/>
    <s v="Jacques Woloviek"/>
    <x v="0"/>
    <x v="3"/>
    <x v="4"/>
    <s v="Standard"/>
    <s v="-"/>
    <m/>
    <s v="oui"/>
    <m/>
    <n v="6"/>
    <n v="0.75"/>
    <n v="4.5"/>
  </r>
  <r>
    <d v="2018-10-17T00:00:00"/>
    <x v="9"/>
    <s v="Jacques Woloviek"/>
    <x v="0"/>
    <x v="3"/>
    <x v="4"/>
    <s v="Petit degré"/>
    <s v="-"/>
    <m/>
    <s v="oui"/>
    <m/>
    <n v="6"/>
    <n v="0.75"/>
    <n v="4.5"/>
  </r>
  <r>
    <d v="2018-10-17T00:00:00"/>
    <x v="9"/>
    <s v="Jacques Woloviek"/>
    <x v="1"/>
    <x v="10"/>
    <x v="4"/>
    <s v="Lot 1"/>
    <s v="-"/>
    <m/>
    <s v="oui"/>
    <s v="Lot Thau Rosé Cap d'Agde"/>
    <n v="6"/>
    <n v="0.75"/>
    <n v="4.5"/>
  </r>
  <r>
    <d v="2018-10-17T00:00:00"/>
    <x v="9"/>
    <s v="Jacques Woloviek"/>
    <x v="1"/>
    <x v="10"/>
    <x v="4"/>
    <s v="Lot 2"/>
    <n v="412"/>
    <m/>
    <s v="oui"/>
    <m/>
    <n v="6"/>
    <n v="0.75"/>
    <n v="4.5"/>
  </r>
  <r>
    <d v="2018-10-18T00:00:00"/>
    <x v="1"/>
    <s v="SP Wines"/>
    <x v="0"/>
    <x v="1"/>
    <x v="4"/>
    <s v="Classique"/>
    <s v="-"/>
    <m/>
    <s v="oui"/>
    <m/>
    <n v="1"/>
    <n v="0.75"/>
    <n v="0.75"/>
  </r>
  <r>
    <d v="2018-10-18T00:00:00"/>
    <x v="1"/>
    <s v="SP Wines"/>
    <x v="0"/>
    <x v="1"/>
    <x v="4"/>
    <s v="Variétal"/>
    <s v="-"/>
    <m/>
    <s v="oui"/>
    <m/>
    <n v="1"/>
    <n v="0.75"/>
    <n v="0.75"/>
  </r>
  <r>
    <d v="2018-10-18T00:00:00"/>
    <x v="1"/>
    <s v="SP Wines"/>
    <x v="0"/>
    <x v="1"/>
    <x v="4"/>
    <s v="supérieur"/>
    <s v="-"/>
    <m/>
    <s v="oui"/>
    <m/>
    <n v="1"/>
    <n v="0.75"/>
    <n v="0.75"/>
  </r>
  <r>
    <d v="2018-10-18T00:00:00"/>
    <x v="1"/>
    <s v="SP Wines"/>
    <x v="0"/>
    <x v="16"/>
    <x v="4"/>
    <s v="-"/>
    <n v="201"/>
    <m/>
    <s v="oui"/>
    <m/>
    <n v="2"/>
    <n v="0.75"/>
    <n v="1.5"/>
  </r>
  <r>
    <d v="2018-10-18T00:00:00"/>
    <x v="1"/>
    <s v="SP Wines"/>
    <x v="1"/>
    <x v="10"/>
    <x v="4"/>
    <s v="Lot 1"/>
    <s v="-"/>
    <m/>
    <s v="oui"/>
    <m/>
    <n v="1"/>
    <n v="0.75"/>
    <n v="0.75"/>
  </r>
  <r>
    <d v="2018-10-22T00:00:00"/>
    <x v="1"/>
    <s v="TWS"/>
    <x v="0"/>
    <x v="2"/>
    <x v="4"/>
    <s v="supérieur"/>
    <s v="-"/>
    <m/>
    <s v="oui"/>
    <m/>
    <n v="6"/>
    <n v="0.75"/>
    <n v="4.5"/>
  </r>
  <r>
    <d v="2018-10-22T00:00:00"/>
    <x v="2"/>
    <s v="-"/>
    <x v="0"/>
    <x v="2"/>
    <x v="4"/>
    <s v="supérieur"/>
    <s v="-"/>
    <m/>
    <s v="oui"/>
    <m/>
    <n v="4"/>
    <n v="0.75"/>
    <n v="3"/>
  </r>
  <r>
    <d v="2018-10-22T00:00:00"/>
    <x v="2"/>
    <s v="-"/>
    <x v="0"/>
    <x v="2"/>
    <x v="4"/>
    <s v="variétal"/>
    <s v="-"/>
    <m/>
    <s v="oui"/>
    <m/>
    <n v="4"/>
    <n v="0.75"/>
    <n v="3"/>
  </r>
  <r>
    <d v="2018-10-22T00:00:00"/>
    <x v="2"/>
    <s v="-"/>
    <x v="0"/>
    <x v="0"/>
    <x v="4"/>
    <s v="supérieur"/>
    <s v="Ag303"/>
    <m/>
    <s v="oui"/>
    <m/>
    <n v="3"/>
    <n v="0.75"/>
    <n v="2.25"/>
  </r>
  <r>
    <d v="2018-10-22T00:00:00"/>
    <x v="2"/>
    <s v="-"/>
    <x v="0"/>
    <x v="0"/>
    <x v="4"/>
    <s v="variétal"/>
    <s v="-"/>
    <m/>
    <s v="oui"/>
    <m/>
    <n v="3"/>
    <n v="0.75"/>
    <n v="2.25"/>
  </r>
  <r>
    <d v="2018-10-22T00:00:00"/>
    <x v="2"/>
    <s v="-"/>
    <x v="0"/>
    <x v="0"/>
    <x v="4"/>
    <s v="classique"/>
    <s v="Ag305"/>
    <m/>
    <s v="oui"/>
    <m/>
    <n v="3"/>
    <n v="0.75"/>
    <n v="2.25"/>
  </r>
  <r>
    <d v="2018-10-22T00:00:00"/>
    <x v="2"/>
    <s v="-"/>
    <x v="1"/>
    <x v="10"/>
    <x v="4"/>
    <s v="Lot Hérault Rosé"/>
    <n v="412"/>
    <m/>
    <s v="oui"/>
    <m/>
    <n v="4"/>
    <n v="0.75"/>
    <n v="3"/>
  </r>
  <r>
    <d v="2018-10-22T00:00:00"/>
    <x v="2"/>
    <s v="-"/>
    <x v="1"/>
    <x v="10"/>
    <x v="4"/>
    <s v="Thau Rosé"/>
    <s v="-"/>
    <m/>
    <s v="oui"/>
    <m/>
    <n v="4"/>
    <n v="0.75"/>
    <n v="3"/>
  </r>
  <r>
    <d v="2018-10-22T00:00:00"/>
    <x v="1"/>
    <s v="Olivier Castillo"/>
    <x v="0"/>
    <x v="0"/>
    <x v="4"/>
    <s v="variétal"/>
    <s v="-"/>
    <m/>
    <s v="oui"/>
    <m/>
    <n v="3"/>
    <n v="0.75"/>
    <n v="2.25"/>
  </r>
  <r>
    <d v="2018-10-22T00:00:00"/>
    <x v="1"/>
    <s v="Olivier Castillo"/>
    <x v="0"/>
    <x v="1"/>
    <x v="4"/>
    <s v="supérieur"/>
    <s v="-"/>
    <m/>
    <s v="oui"/>
    <m/>
    <n v="3"/>
    <n v="0.75"/>
    <n v="2.25"/>
  </r>
  <r>
    <d v="2018-10-22T00:00:00"/>
    <x v="1"/>
    <s v="Olivier Castillo"/>
    <x v="0"/>
    <x v="2"/>
    <x v="4"/>
    <s v="supérieur"/>
    <s v="-"/>
    <m/>
    <s v="oui"/>
    <m/>
    <n v="3"/>
    <n v="0.75"/>
    <n v="2.25"/>
  </r>
  <r>
    <d v="2018-10-22T00:00:00"/>
    <x v="1"/>
    <s v="Olivier Castillo"/>
    <x v="0"/>
    <x v="0"/>
    <x v="4"/>
    <s v="supérieur"/>
    <s v="-"/>
    <m/>
    <s v="oui"/>
    <m/>
    <n v="3"/>
    <n v="0.75"/>
    <n v="2.25"/>
  </r>
  <r>
    <d v="2018-10-22T00:00:00"/>
    <x v="3"/>
    <s v="-"/>
    <x v="0"/>
    <x v="1"/>
    <x v="4"/>
    <s v="supérieur"/>
    <s v="-"/>
    <m/>
    <s v="oui"/>
    <m/>
    <n v="3"/>
    <n v="0.75"/>
    <n v="2.25"/>
  </r>
  <r>
    <d v="2018-10-22T00:00:00"/>
    <x v="3"/>
    <s v="-"/>
    <x v="0"/>
    <x v="1"/>
    <x v="4"/>
    <s v="variétal"/>
    <n v="408"/>
    <m/>
    <s v="oui"/>
    <m/>
    <n v="1"/>
    <n v="10"/>
    <n v="10"/>
  </r>
  <r>
    <d v="2018-10-22T00:00:00"/>
    <x v="1"/>
    <s v="San Nicolas"/>
    <x v="0"/>
    <x v="55"/>
    <x v="4"/>
    <s v="Blanc muscaté lot 1"/>
    <s v="-"/>
    <m/>
    <s v="oui"/>
    <s v="Lot Blanc 4000 + 20% Muscat variétal"/>
    <n v="4"/>
    <n v="0.75"/>
    <n v="3"/>
  </r>
  <r>
    <d v="2018-10-22T00:00:00"/>
    <x v="1"/>
    <s v="San Nicolas"/>
    <x v="0"/>
    <x v="55"/>
    <x v="4"/>
    <s v="Blanc muscaté lot 2"/>
    <s v="-"/>
    <m/>
    <s v="oui"/>
    <s v="Lot Blanc 4000 + 20% Muscat petit degré"/>
    <n v="4"/>
    <n v="0.75"/>
    <n v="3"/>
  </r>
  <r>
    <d v="2018-10-22T00:00:00"/>
    <x v="1"/>
    <s v="San Nicolas"/>
    <x v="0"/>
    <x v="0"/>
    <x v="4"/>
    <s v="variétal"/>
    <s v="-"/>
    <m/>
    <s v="oui"/>
    <m/>
    <n v="4"/>
    <n v="0.75"/>
    <n v="3"/>
  </r>
  <r>
    <d v="2018-10-22T00:00:00"/>
    <x v="1"/>
    <s v="San Nicolas"/>
    <x v="0"/>
    <x v="31"/>
    <x v="4"/>
    <s v="Lot 4000"/>
    <s v="-"/>
    <m/>
    <s v="oui"/>
    <m/>
    <n v="4"/>
    <n v="0.75"/>
    <n v="3"/>
  </r>
  <r>
    <d v="2018-10-22T00:00:00"/>
    <x v="44"/>
    <s v="San Nicolas"/>
    <x v="1"/>
    <x v="10"/>
    <x v="4"/>
    <s v="Lot Hérault Rosé"/>
    <n v="412"/>
    <m/>
    <s v="oui"/>
    <m/>
    <n v="4"/>
    <n v="0.75"/>
    <n v="3"/>
  </r>
  <r>
    <d v="2018-10-22T00:00:00"/>
    <x v="44"/>
    <s v="San Nicolas"/>
    <x v="1"/>
    <x v="10"/>
    <x v="4"/>
    <s v="Lot 3"/>
    <n v="198"/>
    <m/>
    <s v="oui"/>
    <m/>
    <n v="4"/>
    <n v="0.75"/>
    <n v="3"/>
  </r>
  <r>
    <d v="2018-10-23T00:00:00"/>
    <x v="54"/>
    <s v="Murphy winecompany"/>
    <x v="0"/>
    <x v="0"/>
    <x v="4"/>
    <s v="Petit degré"/>
    <s v="-"/>
    <m/>
    <s v="oui"/>
    <m/>
    <n v="2"/>
    <n v="0.75"/>
    <n v="1.5"/>
  </r>
  <r>
    <d v="2018-10-23T00:00:00"/>
    <x v="54"/>
    <s v="Murphy winecompany"/>
    <x v="0"/>
    <x v="0"/>
    <x v="4"/>
    <s v="Petit degré + 15%"/>
    <s v="-"/>
    <m/>
    <s v="oui"/>
    <s v="85% Chardonnay Petit degré + 15% Lot Blanc 4000"/>
    <n v="2"/>
    <n v="0.75"/>
    <n v="1.5"/>
  </r>
  <r>
    <d v="2018-10-23T00:00:00"/>
    <x v="54"/>
    <s v="Murphy winecompany"/>
    <x v="1"/>
    <x v="10"/>
    <x v="4"/>
    <s v="Lot Hérault Rosé"/>
    <n v="412"/>
    <m/>
    <s v="oui"/>
    <m/>
    <n v="2"/>
    <n v="0.75"/>
    <n v="1.5"/>
  </r>
  <r>
    <d v="2018-10-23T00:00:00"/>
    <x v="54"/>
    <s v="Murphy winecompany"/>
    <x v="1"/>
    <x v="10"/>
    <x v="4"/>
    <s v="Lot 3"/>
    <n v="198"/>
    <m/>
    <s v="oui"/>
    <m/>
    <n v="2"/>
    <n v="0.75"/>
    <n v="1.5"/>
  </r>
  <r>
    <d v="2018-10-24T00:00:00"/>
    <x v="7"/>
    <s v="-"/>
    <x v="0"/>
    <x v="1"/>
    <x v="4"/>
    <s v="supérieur"/>
    <s v="-"/>
    <m/>
    <s v="oui"/>
    <m/>
    <n v="1"/>
    <n v="0.75"/>
    <n v="0.75"/>
  </r>
  <r>
    <d v="2018-10-24T00:00:00"/>
    <x v="7"/>
    <s v="-"/>
    <x v="0"/>
    <x v="1"/>
    <x v="4"/>
    <s v="variétal"/>
    <n v="408"/>
    <m/>
    <s v="oui"/>
    <m/>
    <n v="1"/>
    <n v="0.75"/>
    <n v="0.75"/>
  </r>
  <r>
    <d v="2018-10-24T00:00:00"/>
    <x v="7"/>
    <s v="-"/>
    <x v="1"/>
    <x v="10"/>
    <x v="4"/>
    <s v="Lot Hérault Rosé"/>
    <n v="412"/>
    <m/>
    <s v="oui"/>
    <m/>
    <n v="1"/>
    <n v="0.75"/>
    <n v="0.75"/>
  </r>
  <r>
    <d v="2018-10-24T00:00:00"/>
    <x v="7"/>
    <s v="-"/>
    <x v="1"/>
    <x v="10"/>
    <x v="4"/>
    <s v="Lot 3"/>
    <n v="55"/>
    <m/>
    <s v="oui"/>
    <m/>
    <n v="1"/>
    <n v="0.75"/>
    <n v="0.75"/>
  </r>
  <r>
    <d v="2018-10-24T00:00:00"/>
    <x v="7"/>
    <s v="-"/>
    <x v="0"/>
    <x v="31"/>
    <x v="4"/>
    <s v="-"/>
    <n v="201"/>
    <m/>
    <s v="oui"/>
    <m/>
    <n v="1"/>
    <n v="0.75"/>
    <n v="0.75"/>
  </r>
  <r>
    <d v="2018-10-24T00:00:00"/>
    <x v="7"/>
    <s v="-"/>
    <x v="0"/>
    <x v="31"/>
    <x v="4"/>
    <s v="Lot 4000"/>
    <s v="-"/>
    <m/>
    <s v="oui"/>
    <m/>
    <n v="1"/>
    <n v="0.75"/>
    <n v="0.75"/>
  </r>
  <r>
    <d v="2018-10-24T00:00:00"/>
    <x v="46"/>
    <s v="-"/>
    <x v="0"/>
    <x v="31"/>
    <x v="4"/>
    <s v="Lot 4000"/>
    <s v="-"/>
    <m/>
    <s v="oui"/>
    <m/>
    <n v="1"/>
    <n v="0.75"/>
    <n v="0.75"/>
  </r>
  <r>
    <d v="2018-10-24T00:00:00"/>
    <x v="46"/>
    <s v="-"/>
    <x v="0"/>
    <x v="31"/>
    <x v="4"/>
    <s v="-"/>
    <n v="201"/>
    <m/>
    <s v="oui"/>
    <m/>
    <n v="1"/>
    <n v="0.75"/>
    <n v="0.75"/>
  </r>
  <r>
    <d v="2018-10-24T00:00:00"/>
    <x v="5"/>
    <s v="-"/>
    <x v="0"/>
    <x v="1"/>
    <x v="4"/>
    <s v="Lot Sauvignon GCF"/>
    <s v="-"/>
    <m/>
    <s v="oui"/>
    <m/>
    <n v="1"/>
    <n v="0.75"/>
    <n v="0.75"/>
  </r>
  <r>
    <d v="2018-10-24T00:00:00"/>
    <x v="5"/>
    <s v="-"/>
    <x v="0"/>
    <x v="49"/>
    <x v="4"/>
    <s v="-"/>
    <s v="-"/>
    <m/>
    <s v="oui"/>
    <m/>
    <n v="1"/>
    <n v="0.75"/>
    <n v="0.75"/>
  </r>
  <r>
    <d v="2018-10-24T00:00:00"/>
    <x v="5"/>
    <s v="-"/>
    <x v="0"/>
    <x v="10"/>
    <x v="4"/>
    <s v="Lot Hérault Rosé"/>
    <s v="-"/>
    <m/>
    <s v="oui"/>
    <m/>
    <n v="3"/>
    <n v="0.75"/>
    <n v="2.25"/>
  </r>
  <r>
    <d v="2018-10-24T00:00:00"/>
    <x v="52"/>
    <s v="JC Simon"/>
    <x v="0"/>
    <x v="2"/>
    <x v="4"/>
    <s v="Variétal"/>
    <s v="-"/>
    <m/>
    <s v="oui"/>
    <m/>
    <n v="1"/>
    <n v="0.75"/>
    <n v="0.75"/>
  </r>
  <r>
    <d v="2018-10-24T00:00:00"/>
    <x v="52"/>
    <s v="JC Simon"/>
    <x v="0"/>
    <x v="2"/>
    <x v="4"/>
    <s v="supérieur"/>
    <s v="-"/>
    <m/>
    <s v="oui"/>
    <m/>
    <n v="1"/>
    <n v="0.75"/>
    <n v="0.75"/>
  </r>
  <r>
    <d v="2018-10-25T00:00:00"/>
    <x v="7"/>
    <s v="-"/>
    <x v="0"/>
    <x v="1"/>
    <x v="4"/>
    <s v="supérieur"/>
    <s v="-"/>
    <m/>
    <s v="oui"/>
    <m/>
    <n v="1"/>
    <n v="0.75"/>
    <n v="0.75"/>
  </r>
  <r>
    <d v="2018-10-25T00:00:00"/>
    <x v="7"/>
    <s v="-"/>
    <x v="0"/>
    <x v="1"/>
    <x v="4"/>
    <s v="variétal"/>
    <n v="408"/>
    <m/>
    <s v="oui"/>
    <m/>
    <n v="1"/>
    <n v="0.75"/>
    <n v="0.75"/>
  </r>
  <r>
    <d v="2018-10-25T00:00:00"/>
    <x v="7"/>
    <s v="-"/>
    <x v="1"/>
    <x v="10"/>
    <x v="4"/>
    <s v="Lot Hérault Rosé"/>
    <n v="412"/>
    <m/>
    <s v="oui"/>
    <m/>
    <n v="1"/>
    <n v="0.75"/>
    <n v="0.75"/>
  </r>
  <r>
    <d v="2018-10-25T00:00:00"/>
    <x v="7"/>
    <s v="-"/>
    <x v="1"/>
    <x v="10"/>
    <x v="4"/>
    <s v="Lot 3"/>
    <n v="55"/>
    <m/>
    <s v="oui"/>
    <m/>
    <n v="1"/>
    <n v="0.75"/>
    <n v="0.75"/>
  </r>
  <r>
    <d v="2018-10-25T00:00:00"/>
    <x v="7"/>
    <s v="-"/>
    <x v="0"/>
    <x v="31"/>
    <x v="4"/>
    <s v="-"/>
    <n v="201"/>
    <m/>
    <s v="oui"/>
    <m/>
    <n v="1"/>
    <n v="0.75"/>
    <n v="0.75"/>
  </r>
  <r>
    <d v="2018-10-25T00:00:00"/>
    <x v="7"/>
    <s v="-"/>
    <x v="0"/>
    <x v="31"/>
    <x v="4"/>
    <s v="Lot 4000"/>
    <s v="-"/>
    <m/>
    <s v="oui"/>
    <m/>
    <n v="1"/>
    <n v="0.75"/>
    <n v="0.75"/>
  </r>
  <r>
    <d v="2018-10-25T00:00:00"/>
    <x v="5"/>
    <s v="-"/>
    <x v="0"/>
    <x v="31"/>
    <x v="4"/>
    <s v="Thau Blanc"/>
    <s v="-"/>
    <m/>
    <s v="oui"/>
    <m/>
    <n v="1"/>
    <n v="0.75"/>
    <n v="0.75"/>
  </r>
  <r>
    <d v="2018-10-25T00:00:00"/>
    <x v="5"/>
    <s v="-"/>
    <x v="0"/>
    <x v="31"/>
    <x v="4"/>
    <s v="Thau Blanc + 5% Muscat PD"/>
    <s v="-"/>
    <m/>
    <s v="oui"/>
    <m/>
    <n v="1"/>
    <n v="0.75"/>
    <n v="0.75"/>
  </r>
  <r>
    <d v="2018-10-25T00:00:00"/>
    <x v="5"/>
    <s v="-"/>
    <x v="0"/>
    <x v="31"/>
    <x v="4"/>
    <s v="Thau Blanc + 7% Muscat PD"/>
    <s v="-"/>
    <m/>
    <s v="oui"/>
    <m/>
    <n v="1"/>
    <n v="0.75"/>
    <n v="0.75"/>
  </r>
  <r>
    <d v="2018-10-25T00:00:00"/>
    <x v="5"/>
    <s v="-"/>
    <x v="1"/>
    <x v="7"/>
    <x v="4"/>
    <s v="Lot GCF"/>
    <s v="-"/>
    <m/>
    <s v="oui"/>
    <m/>
    <n v="1"/>
    <n v="0.75"/>
    <n v="0.75"/>
  </r>
  <r>
    <d v="2018-10-25T00:00:00"/>
    <x v="5"/>
    <s v="-"/>
    <x v="1"/>
    <x v="56"/>
    <x v="4"/>
    <s v="Style 1"/>
    <s v="-"/>
    <m/>
    <s v="oui"/>
    <m/>
    <n v="1"/>
    <n v="0.75"/>
    <n v="0.75"/>
  </r>
  <r>
    <d v="2018-10-25T00:00:00"/>
    <x v="5"/>
    <s v="-"/>
    <x v="1"/>
    <x v="56"/>
    <x v="4"/>
    <s v="Style 2"/>
    <s v="-"/>
    <m/>
    <s v="oui"/>
    <m/>
    <n v="1"/>
    <n v="0.75"/>
    <n v="0.75"/>
  </r>
  <r>
    <d v="2018-10-25T00:00:00"/>
    <x v="5"/>
    <s v="-"/>
    <x v="1"/>
    <x v="56"/>
    <x v="4"/>
    <s v="Style 3"/>
    <s v="-"/>
    <m/>
    <s v="oui"/>
    <m/>
    <n v="1"/>
    <n v="0.75"/>
    <n v="0.75"/>
  </r>
  <r>
    <d v="2018-10-26T00:00:00"/>
    <x v="55"/>
    <s v="René Jeanjean"/>
    <x v="0"/>
    <x v="1"/>
    <x v="4"/>
    <s v="Supérieur"/>
    <s v="-"/>
    <m/>
    <s v="oui"/>
    <m/>
    <n v="3"/>
    <n v="0.75"/>
    <n v="2.25"/>
  </r>
  <r>
    <d v="2018-10-26T00:00:00"/>
    <x v="29"/>
    <s v="René Jeanjean"/>
    <x v="1"/>
    <x v="10"/>
    <x v="4"/>
    <s v="Style 1"/>
    <s v="-"/>
    <m/>
    <s v="oui"/>
    <m/>
    <n v="3"/>
    <n v="0.75"/>
    <n v="2.25"/>
  </r>
  <r>
    <d v="2018-10-26T00:00:00"/>
    <x v="56"/>
    <s v="JC Simon"/>
    <x v="0"/>
    <x v="0"/>
    <x v="4"/>
    <s v="Classique"/>
    <s v="Ag305"/>
    <m/>
    <s v="oui"/>
    <m/>
    <n v="3"/>
    <n v="0.75"/>
    <n v="2.25"/>
  </r>
  <r>
    <d v="2018-10-26T00:00:00"/>
    <x v="56"/>
    <s v="JC Simon"/>
    <x v="0"/>
    <x v="0"/>
    <x v="4"/>
    <s v="Supérieur"/>
    <s v="Ag303"/>
    <m/>
    <s v="oui"/>
    <m/>
    <n v="3"/>
    <n v="0.75"/>
    <n v="2.25"/>
  </r>
  <r>
    <d v="2018-10-26T00:00:00"/>
    <x v="56"/>
    <s v="JC Simon"/>
    <x v="1"/>
    <x v="19"/>
    <x v="4"/>
    <s v="-"/>
    <n v="203"/>
    <m/>
    <s v="oui"/>
    <m/>
    <n v="3"/>
    <n v="0.75"/>
    <n v="2.25"/>
  </r>
  <r>
    <d v="2018-10-26T00:00:00"/>
    <x v="56"/>
    <s v="JC Simon"/>
    <x v="0"/>
    <x v="1"/>
    <x v="4"/>
    <s v="Classique"/>
    <n v="418"/>
    <m/>
    <s v="oui"/>
    <m/>
    <n v="1"/>
    <n v="0.75"/>
    <n v="0.75"/>
  </r>
  <r>
    <d v="2018-10-26T00:00:00"/>
    <x v="56"/>
    <s v="JC Simon"/>
    <x v="2"/>
    <x v="13"/>
    <x v="4"/>
    <s v="-"/>
    <n v="133"/>
    <m/>
    <s v="oui"/>
    <m/>
    <n v="1"/>
    <n v="0.75"/>
    <n v="0.75"/>
  </r>
  <r>
    <d v="2018-10-26T00:00:00"/>
    <x v="10"/>
    <s v="René Jeanjean"/>
    <x v="0"/>
    <x v="31"/>
    <x v="4"/>
    <s v="Oc Blanc"/>
    <s v="-"/>
    <m/>
    <s v="oui"/>
    <m/>
    <n v="1"/>
    <n v="0.75"/>
    <n v="0.75"/>
  </r>
  <r>
    <d v="2018-10-26T00:00:00"/>
    <x v="10"/>
    <s v="René Jeanjean"/>
    <x v="0"/>
    <x v="31"/>
    <x v="4"/>
    <s v="Lot 4000"/>
    <n v="206"/>
    <m/>
    <s v="oui"/>
    <m/>
    <n v="1"/>
    <n v="0.75"/>
    <n v="0.75"/>
  </r>
  <r>
    <d v="2018-10-26T00:00:00"/>
    <x v="10"/>
    <s v="René Jeanjean"/>
    <x v="0"/>
    <x v="9"/>
    <x v="4"/>
    <s v="-"/>
    <n v="91"/>
    <m/>
    <s v="oui"/>
    <m/>
    <n v="1"/>
    <n v="0.75"/>
    <n v="0.75"/>
  </r>
  <r>
    <d v="2018-10-26T00:00:00"/>
    <x v="10"/>
    <s v="René Jeanjean"/>
    <x v="0"/>
    <x v="1"/>
    <x v="4"/>
    <s v="Classique"/>
    <n v="418"/>
    <m/>
    <s v="oui"/>
    <m/>
    <n v="1"/>
    <n v="0.75"/>
    <n v="0.75"/>
  </r>
  <r>
    <d v="2018-10-26T00:00:00"/>
    <x v="10"/>
    <s v="René Jeanjean"/>
    <x v="0"/>
    <x v="1"/>
    <x v="4"/>
    <s v="Variétal"/>
    <n v="408"/>
    <m/>
    <s v="oui"/>
    <m/>
    <n v="1"/>
    <n v="0.75"/>
    <n v="0.75"/>
  </r>
  <r>
    <d v="2018-10-26T00:00:00"/>
    <x v="10"/>
    <s v="René Jeanjean"/>
    <x v="0"/>
    <x v="0"/>
    <x v="4"/>
    <s v="Classique"/>
    <s v="Ag305"/>
    <m/>
    <s v="oui"/>
    <m/>
    <n v="1"/>
    <n v="0.75"/>
    <n v="0.75"/>
  </r>
  <r>
    <d v="2018-10-26T00:00:00"/>
    <x v="10"/>
    <s v="René Jeanjean"/>
    <x v="0"/>
    <x v="0"/>
    <x v="4"/>
    <s v="variétal"/>
    <s v="-"/>
    <m/>
    <s v="oui"/>
    <m/>
    <n v="1"/>
    <n v="0.75"/>
    <n v="0.75"/>
  </r>
  <r>
    <d v="2018-10-26T00:00:00"/>
    <x v="10"/>
    <s v="René Jeanjean"/>
    <x v="0"/>
    <x v="0"/>
    <x v="4"/>
    <s v="supérieur"/>
    <s v="Ag303"/>
    <m/>
    <s v="oui"/>
    <m/>
    <n v="1"/>
    <n v="0.75"/>
    <n v="0.75"/>
  </r>
  <r>
    <d v="2018-10-26T00:00:00"/>
    <x v="10"/>
    <s v="René Jeanjean"/>
    <x v="0"/>
    <x v="2"/>
    <x v="4"/>
    <s v="variétal"/>
    <s v="-"/>
    <m/>
    <s v="oui"/>
    <m/>
    <n v="1"/>
    <n v="0.75"/>
    <n v="0.75"/>
  </r>
  <r>
    <d v="2018-10-26T00:00:00"/>
    <x v="10"/>
    <s v="René Jeanjean"/>
    <x v="0"/>
    <x v="2"/>
    <x v="4"/>
    <s v="supérieur"/>
    <s v="-"/>
    <m/>
    <s v="oui"/>
    <m/>
    <n v="1"/>
    <n v="0.75"/>
    <n v="0.75"/>
  </r>
  <r>
    <d v="2018-10-26T00:00:00"/>
    <x v="10"/>
    <s v="René Jeanjean"/>
    <x v="1"/>
    <x v="10"/>
    <x v="4"/>
    <s v="Lot 2"/>
    <n v="412"/>
    <m/>
    <s v="oui"/>
    <m/>
    <n v="1"/>
    <n v="0.75"/>
    <n v="0.75"/>
  </r>
  <r>
    <d v="2018-10-26T00:00:00"/>
    <x v="10"/>
    <s v="René Jeanjean"/>
    <x v="1"/>
    <x v="10"/>
    <x v="4"/>
    <s v="Lot 3"/>
    <n v="52"/>
    <m/>
    <s v="oui"/>
    <m/>
    <n v="1"/>
    <n v="0.75"/>
    <n v="0.75"/>
  </r>
  <r>
    <d v="2018-10-26T00:00:00"/>
    <x v="10"/>
    <s v="René Jeanjean"/>
    <x v="0"/>
    <x v="3"/>
    <x v="4"/>
    <s v="Petit degré"/>
    <s v="-"/>
    <m/>
    <s v="oui"/>
    <m/>
    <n v="1"/>
    <n v="0.75"/>
    <n v="0.75"/>
  </r>
  <r>
    <d v="2018-10-26T00:00:00"/>
    <x v="10"/>
    <s v="René Jeanjean"/>
    <x v="0"/>
    <x v="3"/>
    <x v="4"/>
    <s v="Variétal"/>
    <s v="-"/>
    <m/>
    <s v="oui"/>
    <m/>
    <n v="1"/>
    <n v="0.75"/>
    <n v="0.75"/>
  </r>
  <r>
    <d v="2018-10-26T00:00:00"/>
    <x v="10"/>
    <s v="René Jeanjean"/>
    <x v="2"/>
    <x v="5"/>
    <x v="4"/>
    <s v="-"/>
    <n v="129"/>
    <m/>
    <s v="oui"/>
    <m/>
    <n v="1"/>
    <n v="0.75"/>
    <n v="0.75"/>
  </r>
  <r>
    <d v="2018-10-26T00:00:00"/>
    <x v="10"/>
    <s v="René Jeanjean"/>
    <x v="2"/>
    <x v="13"/>
    <x v="4"/>
    <s v="Bouteille"/>
    <n v="133"/>
    <m/>
    <s v="oui"/>
    <m/>
    <n v="1"/>
    <n v="0.75"/>
    <n v="0.75"/>
  </r>
  <r>
    <d v="2018-10-29T00:00:00"/>
    <x v="2"/>
    <s v="-"/>
    <x v="0"/>
    <x v="2"/>
    <x v="4"/>
    <s v="supérieur"/>
    <s v="-"/>
    <m/>
    <s v="oui"/>
    <m/>
    <n v="8"/>
    <n v="0.75"/>
    <n v="6"/>
  </r>
  <r>
    <d v="2018-10-29T00:00:00"/>
    <x v="2"/>
    <s v="-"/>
    <x v="0"/>
    <x v="2"/>
    <x v="4"/>
    <s v="Variétal"/>
    <n v="206"/>
    <m/>
    <s v="oui"/>
    <m/>
    <n v="8"/>
    <n v="0.75"/>
    <n v="6"/>
  </r>
  <r>
    <d v="2018-10-29T00:00:00"/>
    <x v="2"/>
    <s v="-"/>
    <x v="0"/>
    <x v="0"/>
    <x v="4"/>
    <s v="classique"/>
    <s v="Ag305"/>
    <m/>
    <s v="oui"/>
    <m/>
    <n v="4"/>
    <n v="0.75"/>
    <n v="3"/>
  </r>
  <r>
    <d v="2018-10-29T00:00:00"/>
    <x v="2"/>
    <s v="-"/>
    <x v="0"/>
    <x v="0"/>
    <x v="4"/>
    <s v="variétal"/>
    <s v="-"/>
    <m/>
    <s v="oui"/>
    <m/>
    <n v="4"/>
    <n v="0.75"/>
    <n v="3"/>
  </r>
  <r>
    <d v="2018-10-29T00:00:00"/>
    <x v="2"/>
    <s v="-"/>
    <x v="0"/>
    <x v="0"/>
    <x v="4"/>
    <s v="supérieur"/>
    <s v="Ag305"/>
    <m/>
    <s v="oui"/>
    <m/>
    <n v="4"/>
    <n v="0.75"/>
    <n v="3"/>
  </r>
  <r>
    <d v="2018-10-29T00:00:00"/>
    <x v="2"/>
    <s v="-"/>
    <x v="1"/>
    <x v="10"/>
    <x v="4"/>
    <s v="Lot Rosé H"/>
    <n v="412"/>
    <m/>
    <s v="oui"/>
    <m/>
    <n v="6"/>
    <n v="0.75"/>
    <n v="4.5"/>
  </r>
  <r>
    <d v="2018-10-29T00:00:00"/>
    <x v="2"/>
    <s v="-"/>
    <x v="1"/>
    <x v="10"/>
    <x v="4"/>
    <s v="Thau Rosé"/>
    <s v="-"/>
    <m/>
    <s v="oui"/>
    <m/>
    <n v="6"/>
    <n v="0.75"/>
    <n v="4.5"/>
  </r>
  <r>
    <d v="2018-10-29T00:00:00"/>
    <x v="2"/>
    <s v="-"/>
    <x v="0"/>
    <x v="1"/>
    <x v="4"/>
    <s v="classique"/>
    <n v="418"/>
    <m/>
    <s v="oui"/>
    <m/>
    <n v="9"/>
    <n v="0.75"/>
    <n v="6.75"/>
  </r>
  <r>
    <d v="2018-10-29T00:00:00"/>
    <x v="2"/>
    <s v="-"/>
    <x v="0"/>
    <x v="3"/>
    <x v="4"/>
    <s v="Petit degré"/>
    <s v="-"/>
    <m/>
    <s v="oui"/>
    <m/>
    <n v="2"/>
    <n v="0.75"/>
    <n v="1.5"/>
  </r>
  <r>
    <d v="2018-10-29T00:00:00"/>
    <x v="2"/>
    <s v="-"/>
    <x v="0"/>
    <x v="3"/>
    <x v="4"/>
    <s v="variétal"/>
    <s v="-"/>
    <m/>
    <s v="oui"/>
    <m/>
    <n v="2"/>
    <n v="0.75"/>
    <n v="1.5"/>
  </r>
  <r>
    <d v="2018-10-29T00:00:00"/>
    <x v="43"/>
    <s v="Vailhere Pascal"/>
    <x v="0"/>
    <x v="1"/>
    <x v="4"/>
    <s v="classique"/>
    <n v="418"/>
    <m/>
    <s v="oui"/>
    <m/>
    <n v="2"/>
    <n v="0.75"/>
    <n v="1.5"/>
  </r>
  <r>
    <d v="2018-10-29T00:00:00"/>
    <x v="43"/>
    <s v="Vailhere Pascal"/>
    <x v="0"/>
    <x v="3"/>
    <x v="4"/>
    <s v="Petit degré"/>
    <s v="-"/>
    <m/>
    <s v="oui"/>
    <m/>
    <n v="2"/>
    <n v="0.75"/>
    <n v="1.5"/>
  </r>
  <r>
    <d v="2018-10-29T00:00:00"/>
    <x v="43"/>
    <s v="Vailhere Pascal"/>
    <x v="0"/>
    <x v="3"/>
    <x v="4"/>
    <s v="variétal"/>
    <s v="-"/>
    <m/>
    <s v="oui"/>
    <m/>
    <n v="2"/>
    <n v="0.75"/>
    <n v="1.5"/>
  </r>
  <r>
    <d v="2018-10-29T00:00:00"/>
    <x v="43"/>
    <s v="Vailhere Pascal"/>
    <x v="1"/>
    <x v="10"/>
    <x v="4"/>
    <s v="Lot Hérault Rosé"/>
    <n v="412"/>
    <m/>
    <s v="oui"/>
    <m/>
    <n v="2"/>
    <n v="0.75"/>
    <n v="1.5"/>
  </r>
  <r>
    <d v="2018-10-29T00:00:00"/>
    <x v="43"/>
    <s v="Vailhere Pascal"/>
    <x v="1"/>
    <x v="10"/>
    <x v="4"/>
    <s v="Lot 3"/>
    <n v="53"/>
    <m/>
    <s v="oui"/>
    <m/>
    <n v="2"/>
    <n v="0.75"/>
    <n v="1.5"/>
  </r>
  <r>
    <d v="2018-10-29T00:00:00"/>
    <x v="43"/>
    <s v="Vailhere Pascal"/>
    <x v="1"/>
    <x v="7"/>
    <x v="4"/>
    <s v="Lot 1500"/>
    <n v="202"/>
    <m/>
    <s v="oui"/>
    <m/>
    <n v="2"/>
    <n v="0.75"/>
    <n v="1.5"/>
  </r>
  <r>
    <d v="2018-10-29T00:00:00"/>
    <x v="1"/>
    <s v="Didier Saint-Vignes"/>
    <x v="0"/>
    <x v="2"/>
    <x v="4"/>
    <s v="Variétal"/>
    <n v="206"/>
    <m/>
    <s v="oui"/>
    <m/>
    <n v="2"/>
    <n v="0.75"/>
    <n v="1.5"/>
  </r>
  <r>
    <d v="2018-10-29T00:00:00"/>
    <x v="1"/>
    <s v="Didier Saint-Vignes"/>
    <x v="0"/>
    <x v="2"/>
    <x v="4"/>
    <s v="Supérieur"/>
    <s v="-"/>
    <m/>
    <s v="oui"/>
    <m/>
    <n v="2"/>
    <n v="0.75"/>
    <n v="1.5"/>
  </r>
  <r>
    <d v="2018-10-29T00:00:00"/>
    <x v="1"/>
    <s v="Didier Saint-Vignes"/>
    <x v="0"/>
    <x v="0"/>
    <x v="4"/>
    <s v="classique"/>
    <s v="Ag305"/>
    <m/>
    <s v="oui"/>
    <m/>
    <n v="2"/>
    <n v="0.75"/>
    <n v="1.5"/>
  </r>
  <r>
    <d v="2018-10-29T00:00:00"/>
    <x v="1"/>
    <s v="Didier Saint-Vignes"/>
    <x v="0"/>
    <x v="0"/>
    <x v="4"/>
    <s v="Variétal"/>
    <s v="-"/>
    <m/>
    <s v="oui"/>
    <m/>
    <n v="2"/>
    <n v="0.75"/>
    <n v="1.5"/>
  </r>
  <r>
    <d v="2018-10-29T00:00:00"/>
    <x v="1"/>
    <s v="Didier Saint-Vignes"/>
    <x v="0"/>
    <x v="0"/>
    <x v="4"/>
    <s v="supérieur"/>
    <s v="Ag303"/>
    <m/>
    <s v="oui"/>
    <m/>
    <n v="2"/>
    <n v="0.75"/>
    <n v="1.5"/>
  </r>
  <r>
    <d v="2018-10-29T00:00:00"/>
    <x v="1"/>
    <s v="Didier Saint-Vignes"/>
    <x v="0"/>
    <x v="1"/>
    <x v="4"/>
    <s v="Classique"/>
    <n v="418"/>
    <m/>
    <s v="oui"/>
    <m/>
    <n v="2"/>
    <n v="0.75"/>
    <n v="1.5"/>
  </r>
  <r>
    <d v="2018-10-29T00:00:00"/>
    <x v="1"/>
    <s v="Didier Saint-Vignes"/>
    <x v="1"/>
    <x v="13"/>
    <x v="4"/>
    <s v="-"/>
    <n v="424"/>
    <m/>
    <s v="oui"/>
    <m/>
    <n v="2"/>
    <n v="0.75"/>
    <n v="1.5"/>
  </r>
  <r>
    <d v="2018-10-29T00:00:00"/>
    <x v="1"/>
    <s v="Didier Saint-Vignes"/>
    <x v="1"/>
    <x v="5"/>
    <x v="4"/>
    <s v="-"/>
    <n v="322"/>
    <m/>
    <s v="oui"/>
    <m/>
    <n v="2"/>
    <n v="0.75"/>
    <n v="1.5"/>
  </r>
  <r>
    <d v="2018-10-30T00:00:00"/>
    <x v="1"/>
    <s v="Gilles Louvet"/>
    <x v="0"/>
    <x v="0"/>
    <x v="4"/>
    <s v="Petit degré + 35% Supérieur"/>
    <s v="-"/>
    <m/>
    <s v="oui"/>
    <s v=" + 4 g MCR"/>
    <n v="3"/>
    <n v="0.75"/>
    <n v="2.25"/>
  </r>
  <r>
    <d v="2018-10-30T00:00:00"/>
    <x v="1"/>
    <s v="Gilles Louvet"/>
    <x v="0"/>
    <x v="0"/>
    <x v="4"/>
    <s v="Petit degré + 35% Supérieur"/>
    <s v="-"/>
    <m/>
    <s v="oui"/>
    <s v=" + 6 g MCR"/>
    <n v="3"/>
    <n v="0.75"/>
    <n v="2.25"/>
  </r>
  <r>
    <d v="2018-10-30T00:00:00"/>
    <x v="1"/>
    <s v="Gilles Louvet"/>
    <x v="0"/>
    <x v="0"/>
    <x v="4"/>
    <s v="Petit degré + 35% Supérieur"/>
    <s v="-"/>
    <m/>
    <s v="oui"/>
    <s v=" + 10 g MCR"/>
    <n v="3"/>
    <n v="0.75"/>
    <n v="2.25"/>
  </r>
  <r>
    <d v="2018-10-31T00:00:00"/>
    <x v="57"/>
    <s v="Durand Jean-Etienne"/>
    <x v="2"/>
    <x v="57"/>
    <x v="4"/>
    <s v="-"/>
    <s v="-"/>
    <m/>
    <s v="oui"/>
    <s v="40% 152 + 60% 139 + 4g MCR"/>
    <n v="2"/>
    <n v="0.75"/>
    <n v="1.5"/>
  </r>
  <r>
    <d v="2018-10-31T00:00:00"/>
    <x v="57"/>
    <s v="Durand Jean-Etienne"/>
    <x v="2"/>
    <x v="58"/>
    <x v="4"/>
    <s v="Style 1"/>
    <s v="-"/>
    <m/>
    <s v="oui"/>
    <s v="15% 132 + 50% 131 + 35% 139 + 4g MCR"/>
    <n v="2"/>
    <n v="0.75"/>
    <n v="1.5"/>
  </r>
  <r>
    <d v="2018-10-31T00:00:00"/>
    <x v="57"/>
    <s v="Durand Jean-Etienne"/>
    <x v="2"/>
    <x v="58"/>
    <x v="4"/>
    <s v="Style 2"/>
    <s v="-"/>
    <m/>
    <s v="oui"/>
    <s v="33% 132 + 33% 139 + 33% 152 + 4g MCR"/>
    <n v="2"/>
    <n v="0.75"/>
    <n v="1.5"/>
  </r>
  <r>
    <d v="2018-10-31T00:00:00"/>
    <x v="46"/>
    <s v="-"/>
    <x v="0"/>
    <x v="16"/>
    <x v="4"/>
    <s v="Lot Oc Rosé"/>
    <s v="-"/>
    <m/>
    <s v="oui"/>
    <m/>
    <n v="2"/>
    <n v="0.75"/>
    <n v="1.5"/>
  </r>
  <r>
    <d v="2018-10-31T00:00:00"/>
    <x v="46"/>
    <s v="-"/>
    <x v="0"/>
    <x v="5"/>
    <x v="4"/>
    <s v="Lot PN"/>
    <s v="-"/>
    <m/>
    <s v="oui"/>
    <m/>
    <n v="2"/>
    <n v="0.75"/>
    <n v="1.5"/>
  </r>
  <r>
    <d v="2018-10-31T00:00:00"/>
    <x v="5"/>
    <s v="-"/>
    <x v="0"/>
    <x v="1"/>
    <x v="4"/>
    <s v="Lot Sauvignon GCF"/>
    <s v="-"/>
    <m/>
    <s v="oui"/>
    <m/>
    <n v="3"/>
    <n v="0.75"/>
    <n v="2.25"/>
  </r>
  <r>
    <d v="2018-10-31T00:00:00"/>
    <x v="5"/>
    <s v="-"/>
    <x v="0"/>
    <x v="31"/>
    <x v="4"/>
    <s v="Thau Blanc"/>
    <s v="-"/>
    <m/>
    <s v="oui"/>
    <m/>
    <n v="6"/>
    <n v="0.75"/>
    <n v="4.5"/>
  </r>
  <r>
    <d v="2018-10-31T00:00:00"/>
    <x v="5"/>
    <s v="-"/>
    <x v="0"/>
    <x v="31"/>
    <x v="4"/>
    <s v="Thau Blanc + 5% Muscat PD"/>
    <s v="-"/>
    <m/>
    <s v="oui"/>
    <m/>
    <n v="6"/>
    <n v="0.75"/>
    <n v="4.5"/>
  </r>
  <r>
    <d v="2018-10-31T00:00:00"/>
    <x v="5"/>
    <s v="-"/>
    <x v="0"/>
    <x v="31"/>
    <x v="4"/>
    <s v="Thau Blanc + 7% Muscat PD"/>
    <s v="-"/>
    <m/>
    <s v="oui"/>
    <m/>
    <n v="6"/>
    <n v="0.75"/>
    <n v="4.5"/>
  </r>
  <r>
    <d v="2018-10-31T00:00:00"/>
    <x v="5"/>
    <s v="-"/>
    <x v="1"/>
    <x v="7"/>
    <x v="4"/>
    <s v="Lot GCF"/>
    <s v="-"/>
    <m/>
    <s v="oui"/>
    <m/>
    <n v="6"/>
    <n v="0.75"/>
    <n v="4.5"/>
  </r>
  <r>
    <d v="2018-10-31T00:00:00"/>
    <x v="5"/>
    <s v="-"/>
    <x v="1"/>
    <x v="56"/>
    <x v="4"/>
    <s v="Style 1"/>
    <s v="-"/>
    <m/>
    <s v="oui"/>
    <m/>
    <n v="6"/>
    <n v="0.75"/>
    <n v="4.5"/>
  </r>
  <r>
    <d v="2018-10-31T00:00:00"/>
    <x v="5"/>
    <s v="-"/>
    <x v="1"/>
    <x v="56"/>
    <x v="4"/>
    <s v="Style 2"/>
    <s v="-"/>
    <m/>
    <s v="oui"/>
    <m/>
    <n v="6"/>
    <n v="0.75"/>
    <n v="4.5"/>
  </r>
  <r>
    <d v="2018-10-31T00:00:00"/>
    <x v="5"/>
    <s v="-"/>
    <x v="1"/>
    <x v="56"/>
    <x v="4"/>
    <s v="Style 3"/>
    <s v="-"/>
    <m/>
    <s v="oui"/>
    <m/>
    <n v="6"/>
    <n v="0.75"/>
    <n v="4.5"/>
  </r>
  <r>
    <d v="2018-10-31T00:00:00"/>
    <x v="1"/>
    <s v="Raphaël Génaud"/>
    <x v="0"/>
    <x v="1"/>
    <x v="4"/>
    <s v="Variétal"/>
    <s v="-"/>
    <m/>
    <s v="oui"/>
    <m/>
    <n v="2"/>
    <n v="0.75"/>
    <n v="1.5"/>
  </r>
  <r>
    <d v="2018-10-31T00:00:00"/>
    <x v="5"/>
    <s v="-"/>
    <x v="1"/>
    <x v="10"/>
    <x v="4"/>
    <s v="Lot 2"/>
    <s v="-"/>
    <m/>
    <s v="oui"/>
    <m/>
    <n v="8"/>
    <n v="0.75"/>
    <n v="6"/>
  </r>
  <r>
    <d v="2018-11-05T00:00:00"/>
    <x v="1"/>
    <s v="Olivier Castillo"/>
    <x v="0"/>
    <x v="0"/>
    <x v="4"/>
    <s v="supérieur"/>
    <s v="Ag303"/>
    <m/>
    <s v="oui"/>
    <m/>
    <n v="1"/>
    <n v="5"/>
    <n v="5"/>
  </r>
  <r>
    <d v="2018-11-05T00:00:00"/>
    <x v="1"/>
    <s v="Olivier Castillo"/>
    <x v="0"/>
    <x v="0"/>
    <x v="4"/>
    <s v="supérieur"/>
    <s v="Ag303"/>
    <m/>
    <s v="oui"/>
    <m/>
    <n v="1"/>
    <n v="0.75"/>
    <n v="0.75"/>
  </r>
  <r>
    <d v="2018-11-05T00:00:00"/>
    <x v="1"/>
    <s v="Olivier Castillo"/>
    <x v="0"/>
    <x v="1"/>
    <x v="4"/>
    <s v="supérieur"/>
    <s v="-"/>
    <m/>
    <s v="oui"/>
    <m/>
    <n v="1"/>
    <n v="5"/>
    <n v="5"/>
  </r>
  <r>
    <d v="2018-11-05T00:00:00"/>
    <x v="1"/>
    <s v="Olivier Castillo"/>
    <x v="0"/>
    <x v="1"/>
    <x v="4"/>
    <s v="supérieur"/>
    <s v="-"/>
    <m/>
    <s v="oui"/>
    <m/>
    <n v="1"/>
    <n v="0.75"/>
    <n v="0.75"/>
  </r>
  <r>
    <d v="2018-11-05T00:00:00"/>
    <x v="39"/>
    <s v="SP Wines"/>
    <x v="1"/>
    <x v="5"/>
    <x v="4"/>
    <s v="Lot PN"/>
    <s v="-"/>
    <m/>
    <s v="oui"/>
    <m/>
    <n v="1"/>
    <n v="0.75"/>
    <n v="0.75"/>
  </r>
  <r>
    <d v="2018-11-05T00:00:00"/>
    <x v="58"/>
    <s v="SP Wines"/>
    <x v="0"/>
    <x v="31"/>
    <x v="4"/>
    <s v="Thau Blanc + 7% Muscat PD"/>
    <s v="-"/>
    <m/>
    <s v="oui"/>
    <s v="Thau blanc + 7% Muscat"/>
    <n v="1"/>
    <n v="0.75"/>
    <n v="0.75"/>
  </r>
  <r>
    <d v="2018-11-05T00:00:00"/>
    <x v="58"/>
    <s v="SP Wines"/>
    <x v="0"/>
    <x v="0"/>
    <x v="4"/>
    <s v="supérieur"/>
    <s v="Ag303"/>
    <m/>
    <s v="oui"/>
    <m/>
    <n v="1"/>
    <n v="0.75"/>
    <n v="0.75"/>
  </r>
  <r>
    <d v="2018-11-05T00:00:00"/>
    <x v="43"/>
    <s v="San Nicolas"/>
    <x v="0"/>
    <x v="1"/>
    <x v="4"/>
    <s v="Lot RTV - 425"/>
    <s v="-"/>
    <m/>
    <s v="oui"/>
    <s v="75% Lot 4000 + 25% Sauv variétal"/>
    <n v="1"/>
    <n v="0.75"/>
    <n v="0.75"/>
  </r>
  <r>
    <d v="2018-11-06T00:00:00"/>
    <x v="43"/>
    <s v="San Nicolas"/>
    <x v="1"/>
    <x v="10"/>
    <x v="4"/>
    <s v="Lot 3"/>
    <n v="53"/>
    <m/>
    <s v="oui"/>
    <m/>
    <n v="2"/>
    <n v="0.75"/>
    <n v="1.5"/>
  </r>
  <r>
    <d v="2018-11-06T00:00:00"/>
    <x v="43"/>
    <s v="San Nicolas"/>
    <x v="0"/>
    <x v="0"/>
    <x v="4"/>
    <s v="variétal"/>
    <s v="-"/>
    <m/>
    <s v="oui"/>
    <m/>
    <n v="2"/>
    <n v="0.75"/>
    <n v="1.5"/>
  </r>
  <r>
    <d v="2018-11-06T00:00:00"/>
    <x v="43"/>
    <s v="San Nicolas"/>
    <x v="0"/>
    <x v="0"/>
    <x v="4"/>
    <s v="supérieur"/>
    <s v="Ag303"/>
    <m/>
    <s v="oui"/>
    <m/>
    <n v="2"/>
    <n v="0.75"/>
    <n v="1.5"/>
  </r>
  <r>
    <d v="2018-11-06T00:00:00"/>
    <x v="53"/>
    <s v="SP Wines"/>
    <x v="0"/>
    <x v="21"/>
    <x v="4"/>
    <s v="-"/>
    <n v="25"/>
    <m/>
    <s v="oui"/>
    <m/>
    <n v="2"/>
    <n v="0.75"/>
    <n v="1.5"/>
  </r>
  <r>
    <d v="2018-11-06T00:00:00"/>
    <x v="53"/>
    <s v="SP Wines"/>
    <x v="0"/>
    <x v="21"/>
    <x v="4"/>
    <s v="-"/>
    <n v="29"/>
    <m/>
    <s v="oui"/>
    <m/>
    <n v="2"/>
    <n v="0.75"/>
    <n v="1.5"/>
  </r>
  <r>
    <d v="2018-11-06T00:00:00"/>
    <x v="53"/>
    <s v="SP Wines"/>
    <x v="0"/>
    <x v="2"/>
    <x v="4"/>
    <s v="Variétal"/>
    <n v="209"/>
    <m/>
    <s v="oui"/>
    <m/>
    <n v="2"/>
    <n v="0.75"/>
    <n v="1.5"/>
  </r>
  <r>
    <d v="2018-11-06T00:00:00"/>
    <x v="53"/>
    <s v="SP Wines"/>
    <x v="0"/>
    <x v="2"/>
    <x v="4"/>
    <s v="supérieur"/>
    <s v="-"/>
    <m/>
    <s v="oui"/>
    <m/>
    <n v="2"/>
    <n v="0.75"/>
    <n v="1.5"/>
  </r>
  <r>
    <d v="2018-11-06T00:00:00"/>
    <x v="7"/>
    <s v="-"/>
    <x v="0"/>
    <x v="0"/>
    <x v="4"/>
    <s v="supérieur"/>
    <s v="Ag303"/>
    <m/>
    <s v="oui"/>
    <m/>
    <n v="2"/>
    <n v="0.75"/>
    <n v="1.5"/>
  </r>
  <r>
    <d v="2018-11-06T00:00:00"/>
    <x v="7"/>
    <s v="-"/>
    <x v="0"/>
    <x v="2"/>
    <x v="4"/>
    <s v="supérieur"/>
    <s v="-"/>
    <m/>
    <s v="oui"/>
    <m/>
    <n v="2"/>
    <n v="0.75"/>
    <n v="1.5"/>
  </r>
  <r>
    <d v="2018-11-06T00:00:00"/>
    <x v="2"/>
    <s v="-"/>
    <x v="0"/>
    <x v="0"/>
    <x v="4"/>
    <s v="supérieur"/>
    <s v="Ag303"/>
    <m/>
    <s v="oui"/>
    <m/>
    <n v="2"/>
    <n v="0.75"/>
    <n v="1.5"/>
  </r>
  <r>
    <d v="2018-11-06T00:00:00"/>
    <x v="2"/>
    <s v="-"/>
    <x v="0"/>
    <x v="0"/>
    <x v="4"/>
    <s v="variétal"/>
    <s v="-"/>
    <m/>
    <s v="oui"/>
    <m/>
    <n v="2"/>
    <n v="0.75"/>
    <n v="1.5"/>
  </r>
  <r>
    <d v="2018-11-06T00:00:00"/>
    <x v="2"/>
    <s v="-"/>
    <x v="0"/>
    <x v="2"/>
    <x v="4"/>
    <s v="supérieur"/>
    <s v="-"/>
    <m/>
    <s v="oui"/>
    <m/>
    <n v="2"/>
    <n v="0.75"/>
    <n v="1.5"/>
  </r>
  <r>
    <d v="2018-11-07T00:00:00"/>
    <x v="59"/>
    <s v="-"/>
    <x v="0"/>
    <x v="6"/>
    <x v="4"/>
    <s v="Thau Blanc + 10% Sauv sup"/>
    <s v="-"/>
    <m/>
    <s v="oui"/>
    <m/>
    <n v="20"/>
    <n v="0.75"/>
    <n v="15"/>
  </r>
  <r>
    <d v="2018-11-07T00:00:00"/>
    <x v="43"/>
    <s v="Vailhere Pascal"/>
    <x v="0"/>
    <x v="3"/>
    <x v="4"/>
    <s v="Style 1"/>
    <s v="-"/>
    <m/>
    <s v="oui"/>
    <m/>
    <n v="1"/>
    <n v="0.75"/>
    <n v="0.75"/>
  </r>
  <r>
    <d v="2018-11-07T00:00:00"/>
    <x v="43"/>
    <s v="Vailhere Pascal"/>
    <x v="0"/>
    <x v="3"/>
    <x v="4"/>
    <s v="Style 2"/>
    <s v="-"/>
    <m/>
    <s v="oui"/>
    <m/>
    <n v="1"/>
    <n v="0.75"/>
    <n v="0.75"/>
  </r>
  <r>
    <d v="2018-11-07T00:00:00"/>
    <x v="43"/>
    <s v="Vailhere Pascal"/>
    <x v="0"/>
    <x v="3"/>
    <x v="4"/>
    <s v="Style 3"/>
    <s v="-"/>
    <m/>
    <s v="oui"/>
    <m/>
    <n v="1"/>
    <n v="0.75"/>
    <n v="0.75"/>
  </r>
  <r>
    <d v="2018-11-08T00:00:00"/>
    <x v="20"/>
    <s v="-"/>
    <x v="0"/>
    <x v="1"/>
    <x v="4"/>
    <s v="Sélection"/>
    <n v="419"/>
    <m/>
    <s v="oui"/>
    <m/>
    <n v="28"/>
    <n v="0.75"/>
    <n v="21"/>
  </r>
  <r>
    <d v="2018-11-08T00:00:00"/>
    <x v="20"/>
    <s v="-"/>
    <x v="0"/>
    <x v="0"/>
    <x v="4"/>
    <s v="Sélection"/>
    <n v="28"/>
    <m/>
    <s v="oui"/>
    <m/>
    <n v="28"/>
    <n v="0.75"/>
    <n v="21"/>
  </r>
  <r>
    <d v="2018-11-08T00:00:00"/>
    <x v="20"/>
    <s v="-"/>
    <x v="2"/>
    <x v="13"/>
    <x v="4"/>
    <s v="Boisé"/>
    <s v="Flex1"/>
    <m/>
    <s v="oui"/>
    <m/>
    <n v="4"/>
    <n v="0.75"/>
    <n v="3"/>
  </r>
  <r>
    <d v="2018-11-08T00:00:00"/>
    <x v="20"/>
    <s v="-"/>
    <x v="2"/>
    <x v="13"/>
    <x v="4"/>
    <s v="Boisé"/>
    <s v="Flex2"/>
    <m/>
    <s v="oui"/>
    <m/>
    <n v="4"/>
    <n v="0.75"/>
    <n v="3"/>
  </r>
  <r>
    <d v="2018-11-08T00:00:00"/>
    <x v="20"/>
    <s v="-"/>
    <x v="2"/>
    <x v="13"/>
    <x v="4"/>
    <s v="Bouteille"/>
    <n v="133"/>
    <m/>
    <s v="oui"/>
    <m/>
    <n v="4"/>
    <n v="0.75"/>
    <n v="3"/>
  </r>
  <r>
    <d v="2018-11-08T00:00:00"/>
    <x v="60"/>
    <s v="-"/>
    <x v="0"/>
    <x v="6"/>
    <x v="4"/>
    <s v="Thau Blanc + 10% Sauv sup"/>
    <s v="-"/>
    <m/>
    <s v="oui"/>
    <s v="Nommé Passion"/>
    <n v="2"/>
    <n v="0.75"/>
    <n v="1.5"/>
  </r>
  <r>
    <d v="2018-11-08T00:00:00"/>
    <x v="60"/>
    <s v="-"/>
    <x v="0"/>
    <x v="2"/>
    <x v="4"/>
    <s v="-"/>
    <n v="51"/>
    <m/>
    <s v="oui"/>
    <s v="Nommé Expression"/>
    <n v="2"/>
    <n v="0.75"/>
    <n v="1.5"/>
  </r>
  <r>
    <d v="2018-11-08T00:00:00"/>
    <x v="60"/>
    <s v="-"/>
    <x v="0"/>
    <x v="3"/>
    <x v="4"/>
    <s v="Bouteille"/>
    <s v="-"/>
    <m/>
    <s v="oui"/>
    <m/>
    <n v="2"/>
    <n v="0.75"/>
    <n v="1.5"/>
  </r>
  <r>
    <d v="2018-11-09T00:00:00"/>
    <x v="49"/>
    <s v="JC Simon"/>
    <x v="0"/>
    <x v="0"/>
    <x v="3"/>
    <s v="Lot Boisé"/>
    <s v="-"/>
    <m/>
    <s v="oui"/>
    <s v="80% Chardo Celliers du Vent + 20% Flex 5"/>
    <n v="2"/>
    <n v="0.75"/>
    <n v="1.5"/>
  </r>
  <r>
    <d v="2018-11-09T00:00:00"/>
    <x v="49"/>
    <s v="JC Simon"/>
    <x v="0"/>
    <x v="0"/>
    <x v="4"/>
    <s v="Lot Boisé"/>
    <s v="-"/>
    <m/>
    <s v="oui"/>
    <s v="80% Chardo 417 + 20% Flex 5"/>
    <n v="2"/>
    <n v="0.75"/>
    <n v="1.5"/>
  </r>
  <r>
    <d v="2018-11-09T00:00:00"/>
    <x v="5"/>
    <s v="-"/>
    <x v="1"/>
    <x v="56"/>
    <x v="4"/>
    <s v="Style 1"/>
    <s v="-"/>
    <m/>
    <s v="oui"/>
    <m/>
    <n v="7"/>
    <n v="0.75"/>
    <n v="5.25"/>
  </r>
  <r>
    <d v="2018-11-09T00:00:00"/>
    <x v="5"/>
    <s v="-"/>
    <x v="1"/>
    <x v="56"/>
    <x v="4"/>
    <s v="Style 2"/>
    <s v="-"/>
    <m/>
    <s v="oui"/>
    <m/>
    <n v="7"/>
    <n v="0.75"/>
    <n v="5.25"/>
  </r>
  <r>
    <d v="2018-11-09T00:00:00"/>
    <x v="5"/>
    <s v="-"/>
    <x v="1"/>
    <x v="56"/>
    <x v="4"/>
    <s v="Style 3"/>
    <s v="-"/>
    <m/>
    <s v="oui"/>
    <m/>
    <n v="7"/>
    <n v="0.75"/>
    <n v="5.25"/>
  </r>
  <r>
    <d v="2018-11-09T00:00:00"/>
    <x v="5"/>
    <s v="-"/>
    <x v="1"/>
    <x v="7"/>
    <x v="4"/>
    <s v="Lot GCF"/>
    <s v="-"/>
    <m/>
    <s v="oui"/>
    <m/>
    <n v="1"/>
    <n v="0.75"/>
    <n v="0.75"/>
  </r>
  <r>
    <d v="2018-11-09T00:00:00"/>
    <x v="5"/>
    <s v="-"/>
    <x v="1"/>
    <x v="10"/>
    <x v="4"/>
    <s v="Lot Hérault Rosé"/>
    <n v="412"/>
    <m/>
    <s v="oui"/>
    <s v="IGP Terre du Midi Rosé"/>
    <n v="6"/>
    <n v="0.75"/>
    <n v="4.5"/>
  </r>
  <r>
    <d v="2018-11-09T00:00:00"/>
    <x v="61"/>
    <s v="-"/>
    <x v="0"/>
    <x v="31"/>
    <x v="4"/>
    <s v="Lot 4000"/>
    <n v="67"/>
    <m/>
    <s v="oui"/>
    <m/>
    <n v="2"/>
    <n v="0.75"/>
    <n v="1.5"/>
  </r>
  <r>
    <d v="2018-11-09T00:00:00"/>
    <x v="61"/>
    <s v="-"/>
    <x v="0"/>
    <x v="31"/>
    <x v="4"/>
    <s v="Lot Thau "/>
    <s v="-"/>
    <m/>
    <s v="oui"/>
    <m/>
    <n v="2"/>
    <n v="0.75"/>
    <n v="1.5"/>
  </r>
  <r>
    <d v="2018-11-09T00:00:00"/>
    <x v="61"/>
    <s v="-"/>
    <x v="0"/>
    <x v="0"/>
    <x v="4"/>
    <s v="variétal"/>
    <s v="-"/>
    <m/>
    <s v="oui"/>
    <m/>
    <n v="2"/>
    <n v="0.75"/>
    <n v="1.5"/>
  </r>
  <r>
    <d v="2018-11-09T00:00:00"/>
    <x v="61"/>
    <s v="-"/>
    <x v="0"/>
    <x v="0"/>
    <x v="4"/>
    <s v="supérieur"/>
    <s v="Ag303"/>
    <m/>
    <s v="oui"/>
    <m/>
    <n v="2"/>
    <n v="0.75"/>
    <n v="1.5"/>
  </r>
  <r>
    <d v="2018-11-13T00:00:00"/>
    <x v="1"/>
    <s v="TWS"/>
    <x v="0"/>
    <x v="21"/>
    <x v="4"/>
    <s v="-"/>
    <n v="25"/>
    <m/>
    <s v="oui"/>
    <m/>
    <n v="4"/>
    <n v="0.75"/>
    <n v="3"/>
  </r>
  <r>
    <d v="2018-11-14T00:00:00"/>
    <x v="39"/>
    <s v="SP Wines"/>
    <x v="0"/>
    <x v="1"/>
    <x v="4"/>
    <s v="supérieur"/>
    <n v="419"/>
    <m/>
    <s v="oui"/>
    <s v="Agréage"/>
    <n v="1"/>
    <n v="0.75"/>
    <n v="0.75"/>
  </r>
  <r>
    <d v="2018-11-14T00:00:00"/>
    <x v="1"/>
    <s v="Vailhere Pascal"/>
    <x v="0"/>
    <x v="0"/>
    <x v="4"/>
    <s v="variétal"/>
    <s v="-"/>
    <m/>
    <s v="oui"/>
    <m/>
    <n v="3"/>
    <n v="0.75"/>
    <n v="2.25"/>
  </r>
  <r>
    <d v="2018-11-14T00:00:00"/>
    <x v="1"/>
    <s v="Vailhere Pascal"/>
    <x v="0"/>
    <x v="0"/>
    <x v="4"/>
    <s v="supérieur"/>
    <s v="Ag303"/>
    <m/>
    <s v="oui"/>
    <m/>
    <n v="3"/>
    <n v="0.75"/>
    <n v="2.25"/>
  </r>
  <r>
    <d v="2018-11-14T00:00:00"/>
    <x v="1"/>
    <s v="Vailhere Pascal"/>
    <x v="0"/>
    <x v="2"/>
    <x v="4"/>
    <s v="supérieur"/>
    <s v="-"/>
    <m/>
    <s v="oui"/>
    <m/>
    <n v="3"/>
    <n v="0.75"/>
    <n v="2.25"/>
  </r>
  <r>
    <d v="2018-11-14T00:00:00"/>
    <x v="1"/>
    <s v="Vailhere Pascal"/>
    <x v="0"/>
    <x v="2"/>
    <x v="4"/>
    <s v="variétal"/>
    <n v="64"/>
    <m/>
    <s v="oui"/>
    <m/>
    <n v="3"/>
    <n v="0.75"/>
    <n v="2.25"/>
  </r>
  <r>
    <d v="2018-11-14T00:00:00"/>
    <x v="17"/>
    <s v="-"/>
    <x v="0"/>
    <x v="31"/>
    <x v="4"/>
    <s v="Lot 4000"/>
    <n v="68"/>
    <m/>
    <s v="oui"/>
    <m/>
    <n v="1"/>
    <n v="0.75"/>
    <n v="0.75"/>
  </r>
  <r>
    <d v="2018-11-14T00:00:00"/>
    <x v="17"/>
    <s v="-"/>
    <x v="0"/>
    <x v="31"/>
    <x v="4"/>
    <s v="Thau Blanc"/>
    <s v="-"/>
    <m/>
    <s v="oui"/>
    <m/>
    <n v="1"/>
    <n v="0.75"/>
    <n v="0.75"/>
  </r>
  <r>
    <d v="2018-11-14T00:00:00"/>
    <x v="17"/>
    <s v="-"/>
    <x v="0"/>
    <x v="10"/>
    <x v="4"/>
    <s v="Lot 3"/>
    <n v="53"/>
    <m/>
    <s v="oui"/>
    <m/>
    <n v="1"/>
    <n v="0.75"/>
    <n v="0.75"/>
  </r>
  <r>
    <d v="2018-11-14T00:00:00"/>
    <x v="17"/>
    <s v="-"/>
    <x v="0"/>
    <x v="10"/>
    <x v="4"/>
    <s v="Lot 2"/>
    <n v="412"/>
    <m/>
    <s v="oui"/>
    <m/>
    <n v="1"/>
    <n v="0.75"/>
    <n v="0.75"/>
  </r>
  <r>
    <d v="2018-11-14T00:00:00"/>
    <x v="17"/>
    <s v="-"/>
    <x v="2"/>
    <x v="13"/>
    <x v="3"/>
    <s v="-"/>
    <n v="151"/>
    <m/>
    <s v="oui"/>
    <m/>
    <n v="1"/>
    <n v="0.75"/>
    <n v="0.75"/>
  </r>
  <r>
    <d v="2018-11-14T00:00:00"/>
    <x v="17"/>
    <s v="-"/>
    <x v="2"/>
    <x v="13"/>
    <x v="3"/>
    <s v="-"/>
    <s v="-"/>
    <m/>
    <s v="oui"/>
    <s v="90% 151 + 5%109 + 5%132"/>
    <n v="1"/>
    <n v="0.75"/>
    <n v="0.75"/>
  </r>
  <r>
    <d v="2018-11-14T00:00:00"/>
    <x v="17"/>
    <s v="-"/>
    <x v="2"/>
    <x v="7"/>
    <x v="4"/>
    <s v="-"/>
    <n v="131"/>
    <m/>
    <s v="oui"/>
    <m/>
    <n v="1"/>
    <n v="0.75"/>
    <n v="0.75"/>
  </r>
  <r>
    <d v="2018-11-15T00:00:00"/>
    <x v="1"/>
    <s v="TWS"/>
    <x v="0"/>
    <x v="2"/>
    <x v="4"/>
    <s v="supérieur"/>
    <s v="-"/>
    <m/>
    <s v="oui"/>
    <m/>
    <n v="6"/>
    <n v="0.75"/>
    <n v="4.5"/>
  </r>
  <r>
    <d v="2018-11-15T00:00:00"/>
    <x v="1"/>
    <s v="Raphaël Génaud"/>
    <x v="0"/>
    <x v="1"/>
    <x v="4"/>
    <s v="classique"/>
    <n v="420"/>
    <m/>
    <s v="oui"/>
    <m/>
    <n v="1"/>
    <n v="0.75"/>
    <n v="0.75"/>
  </r>
  <r>
    <d v="2018-11-15T00:00:00"/>
    <x v="1"/>
    <s v="Raphaël Génaud"/>
    <x v="0"/>
    <x v="1"/>
    <x v="4"/>
    <s v="variétal"/>
    <n v="401"/>
    <m/>
    <s v="oui"/>
    <m/>
    <n v="1"/>
    <n v="0.75"/>
    <n v="0.75"/>
  </r>
  <r>
    <d v="2018-11-15T00:00:00"/>
    <x v="44"/>
    <s v="San Nicolas"/>
    <x v="1"/>
    <x v="40"/>
    <x v="4"/>
    <s v="Lot 4"/>
    <s v="-"/>
    <m/>
    <s v="oui"/>
    <m/>
    <n v="2"/>
    <n v="0.75"/>
    <n v="1.5"/>
  </r>
  <r>
    <d v="2018-11-15T00:00:00"/>
    <x v="44"/>
    <s v="San Nicolas"/>
    <x v="1"/>
    <x v="16"/>
    <x v="4"/>
    <s v="Lot 1"/>
    <n v="200"/>
    <m/>
    <s v="oui"/>
    <m/>
    <n v="2"/>
    <n v="0.75"/>
    <n v="1.5"/>
  </r>
  <r>
    <d v="2018-11-15T00:00:00"/>
    <x v="62"/>
    <s v="-"/>
    <x v="0"/>
    <x v="3"/>
    <x v="4"/>
    <s v="Petit degré"/>
    <s v="-"/>
    <m/>
    <s v="oui"/>
    <m/>
    <n v="1"/>
    <n v="0.75"/>
    <n v="0.75"/>
  </r>
  <r>
    <d v="2018-11-15T00:00:00"/>
    <x v="62"/>
    <s v="-"/>
    <x v="0"/>
    <x v="3"/>
    <x v="4"/>
    <s v="variétal"/>
    <s v="-"/>
    <m/>
    <s v="oui"/>
    <m/>
    <n v="1"/>
    <n v="0.75"/>
    <n v="0.75"/>
  </r>
  <r>
    <d v="2018-11-15T00:00:00"/>
    <x v="62"/>
    <s v="-"/>
    <x v="0"/>
    <x v="2"/>
    <x v="4"/>
    <s v="supérieur"/>
    <s v="-"/>
    <m/>
    <s v="oui"/>
    <m/>
    <n v="1"/>
    <n v="0.75"/>
    <n v="0.75"/>
  </r>
  <r>
    <d v="2018-11-15T00:00:00"/>
    <x v="62"/>
    <s v="-"/>
    <x v="0"/>
    <x v="0"/>
    <x v="4"/>
    <s v="variétal"/>
    <s v="-"/>
    <m/>
    <s v="oui"/>
    <m/>
    <n v="1"/>
    <n v="0.75"/>
    <n v="0.75"/>
  </r>
  <r>
    <d v="2018-11-15T00:00:00"/>
    <x v="62"/>
    <s v="-"/>
    <x v="0"/>
    <x v="0"/>
    <x v="4"/>
    <s v="supérieur"/>
    <s v="-"/>
    <m/>
    <s v="oui"/>
    <m/>
    <n v="1"/>
    <n v="0.75"/>
    <n v="0.75"/>
  </r>
  <r>
    <d v="2018-11-19T00:00:00"/>
    <x v="10"/>
    <s v="René Jeanjean"/>
    <x v="0"/>
    <x v="31"/>
    <x v="4"/>
    <s v="Lot 4000"/>
    <n v="68"/>
    <m/>
    <s v="oui"/>
    <m/>
    <n v="1"/>
    <n v="0.75"/>
    <n v="0.75"/>
  </r>
  <r>
    <d v="2018-11-19T00:00:00"/>
    <x v="10"/>
    <s v="René Jeanjean"/>
    <x v="0"/>
    <x v="9"/>
    <x v="4"/>
    <s v="-"/>
    <n v="91"/>
    <m/>
    <s v="oui"/>
    <m/>
    <n v="1"/>
    <n v="0.75"/>
    <n v="0.75"/>
  </r>
  <r>
    <d v="2018-11-19T00:00:00"/>
    <x v="10"/>
    <s v="René Jeanjean"/>
    <x v="0"/>
    <x v="1"/>
    <x v="4"/>
    <s v="Variétal"/>
    <n v="401"/>
    <m/>
    <s v="oui"/>
    <m/>
    <n v="1"/>
    <n v="0.75"/>
    <n v="0.75"/>
  </r>
  <r>
    <d v="2018-11-19T00:00:00"/>
    <x v="10"/>
    <s v="René Jeanjean"/>
    <x v="0"/>
    <x v="0"/>
    <x v="4"/>
    <s v="variétal"/>
    <s v="-"/>
    <m/>
    <s v="oui"/>
    <m/>
    <n v="1"/>
    <n v="0.75"/>
    <n v="0.75"/>
  </r>
  <r>
    <d v="2018-11-19T00:00:00"/>
    <x v="10"/>
    <s v="René Jeanjean"/>
    <x v="0"/>
    <x v="0"/>
    <x v="4"/>
    <s v="supérieur"/>
    <s v="Ag303"/>
    <m/>
    <s v="oui"/>
    <m/>
    <n v="1"/>
    <n v="0.75"/>
    <n v="0.75"/>
  </r>
  <r>
    <d v="2018-11-19T00:00:00"/>
    <x v="10"/>
    <s v="René Jeanjean"/>
    <x v="0"/>
    <x v="3"/>
    <x v="4"/>
    <s v="variétal"/>
    <s v="-"/>
    <m/>
    <s v="oui"/>
    <m/>
    <n v="1"/>
    <n v="0.75"/>
    <n v="0.75"/>
  </r>
  <r>
    <d v="2018-11-19T00:00:00"/>
    <x v="10"/>
    <s v="René Jeanjean"/>
    <x v="1"/>
    <x v="10"/>
    <x v="4"/>
    <s v="Lot Badet Clément"/>
    <s v="-"/>
    <m/>
    <s v="oui"/>
    <s v="35% Lot 3 + 65% Lot 2"/>
    <n v="1"/>
    <n v="0.75"/>
    <n v="0.75"/>
  </r>
  <r>
    <d v="2018-11-19T00:00:00"/>
    <x v="10"/>
    <s v="René Jeanjean"/>
    <x v="2"/>
    <x v="5"/>
    <x v="4"/>
    <s v="Lot PN"/>
    <s v="-"/>
    <m/>
    <s v="oui"/>
    <s v="129 + FK6"/>
    <n v="1"/>
    <n v="0.75"/>
    <n v="0.75"/>
  </r>
  <r>
    <d v="2018-11-19T00:00:00"/>
    <x v="11"/>
    <s v="-"/>
    <x v="0"/>
    <x v="1"/>
    <x v="4"/>
    <s v="classique"/>
    <n v="413"/>
    <m/>
    <s v="oui"/>
    <s v="Nommé variétal pour Skalli"/>
    <n v="2"/>
    <n v="0.75"/>
    <n v="1.5"/>
  </r>
  <r>
    <d v="2018-11-19T00:00:00"/>
    <x v="11"/>
    <s v="-"/>
    <x v="1"/>
    <x v="5"/>
    <x v="4"/>
    <s v="-"/>
    <n v="418"/>
    <m/>
    <s v="oui"/>
    <m/>
    <n v="2"/>
    <n v="0.75"/>
    <n v="1.5"/>
  </r>
  <r>
    <d v="2018-11-19T00:00:00"/>
    <x v="11"/>
    <s v="-"/>
    <x v="1"/>
    <x v="7"/>
    <x v="4"/>
    <s v="-"/>
    <n v="202"/>
    <m/>
    <s v="oui"/>
    <m/>
    <n v="2"/>
    <n v="0.75"/>
    <n v="1.5"/>
  </r>
  <r>
    <d v="2018-11-19T00:00:00"/>
    <x v="11"/>
    <s v="-"/>
    <x v="0"/>
    <x v="0"/>
    <x v="4"/>
    <s v="supérieur"/>
    <s v="Ag303"/>
    <m/>
    <s v="oui"/>
    <m/>
    <n v="2"/>
    <n v="0.75"/>
    <n v="1.5"/>
  </r>
  <r>
    <d v="2018-11-19T00:00:00"/>
    <x v="11"/>
    <s v="-"/>
    <x v="0"/>
    <x v="0"/>
    <x v="4"/>
    <s v="variétal"/>
    <s v="-"/>
    <m/>
    <s v="oui"/>
    <m/>
    <n v="2"/>
    <n v="0.75"/>
    <n v="1.5"/>
  </r>
  <r>
    <d v="2018-11-19T00:00:00"/>
    <x v="11"/>
    <s v="-"/>
    <x v="0"/>
    <x v="0"/>
    <x v="4"/>
    <s v="classique"/>
    <s v="Ag305"/>
    <m/>
    <s v="oui"/>
    <m/>
    <n v="2"/>
    <n v="0.75"/>
    <n v="1.5"/>
  </r>
  <r>
    <d v="2018-11-19T00:00:00"/>
    <x v="11"/>
    <s v="-"/>
    <x v="0"/>
    <x v="31"/>
    <x v="4"/>
    <s v="Lot Oc Blanc"/>
    <n v="197"/>
    <m/>
    <s v="oui"/>
    <m/>
    <n v="2"/>
    <n v="0.75"/>
    <n v="1.5"/>
  </r>
  <r>
    <d v="2018-11-19T00:00:00"/>
    <x v="43"/>
    <s v="Vailhere Pascal"/>
    <x v="2"/>
    <x v="51"/>
    <x v="4"/>
    <s v="Lot Marselan Rouge"/>
    <s v="-"/>
    <m/>
    <s v="oui"/>
    <m/>
    <n v="2"/>
    <n v="0.75"/>
    <n v="1.5"/>
  </r>
  <r>
    <d v="2018-11-19T00:00:00"/>
    <x v="43"/>
    <s v="Vailhere Pascal"/>
    <x v="2"/>
    <x v="7"/>
    <x v="4"/>
    <s v="Lot fruité"/>
    <s v="-"/>
    <m/>
    <s v="oui"/>
    <m/>
    <n v="2"/>
    <n v="0.75"/>
    <n v="1.5"/>
  </r>
  <r>
    <d v="2018-11-19T00:00:00"/>
    <x v="43"/>
    <s v="Vailhere Pascal"/>
    <x v="2"/>
    <x v="7"/>
    <x v="4"/>
    <s v="Lot structuré"/>
    <s v="-"/>
    <m/>
    <s v="oui"/>
    <m/>
    <n v="2"/>
    <n v="0.75"/>
    <n v="1.5"/>
  </r>
  <r>
    <d v="2018-11-19T00:00:00"/>
    <x v="43"/>
    <s v="Vailhere Pascal"/>
    <x v="2"/>
    <x v="13"/>
    <x v="4"/>
    <s v="-"/>
    <s v="-"/>
    <m/>
    <s v="oui"/>
    <m/>
    <n v="2"/>
    <n v="0.75"/>
    <n v="1.5"/>
  </r>
  <r>
    <d v="2018-11-20T00:00:00"/>
    <x v="1"/>
    <s v="TWS"/>
    <x v="0"/>
    <x v="21"/>
    <x v="4"/>
    <s v="-"/>
    <n v="25"/>
    <m/>
    <s v="oui"/>
    <m/>
    <n v="3"/>
    <n v="0.75"/>
    <n v="2.25"/>
  </r>
  <r>
    <d v="2018-11-20T00:00:00"/>
    <x v="5"/>
    <s v="-"/>
    <x v="1"/>
    <x v="56"/>
    <x v="4"/>
    <s v="Style 1"/>
    <s v="-"/>
    <m/>
    <s v="oui"/>
    <m/>
    <n v="8"/>
    <n v="0.75"/>
    <n v="6"/>
  </r>
  <r>
    <d v="2018-11-20T00:00:00"/>
    <x v="5"/>
    <s v="-"/>
    <x v="1"/>
    <x v="56"/>
    <x v="4"/>
    <s v="Style 2"/>
    <s v="-"/>
    <m/>
    <s v="oui"/>
    <m/>
    <n v="8"/>
    <n v="0.75"/>
    <n v="6"/>
  </r>
  <r>
    <d v="2018-11-20T00:00:00"/>
    <x v="5"/>
    <s v="-"/>
    <x v="1"/>
    <x v="56"/>
    <x v="4"/>
    <s v="Style 3"/>
    <s v="-"/>
    <m/>
    <s v="oui"/>
    <m/>
    <n v="8"/>
    <n v="0.75"/>
    <n v="6"/>
  </r>
  <r>
    <d v="2018-11-20T00:00:00"/>
    <x v="5"/>
    <s v="-"/>
    <x v="1"/>
    <x v="10"/>
    <x v="4"/>
    <s v="Lot Hérault Rosé"/>
    <n v="414"/>
    <m/>
    <s v="oui"/>
    <s v="IGP Terre du Midi Rosé"/>
    <n v="3"/>
    <n v="0.75"/>
    <n v="2.25"/>
  </r>
  <r>
    <d v="2018-11-21T00:00:00"/>
    <x v="1"/>
    <s v="Vailhere Pascal"/>
    <x v="0"/>
    <x v="18"/>
    <x v="4"/>
    <s v="-"/>
    <n v="402"/>
    <m/>
    <s v="oui"/>
    <m/>
    <n v="1"/>
    <n v="0.75"/>
    <n v="0.75"/>
  </r>
  <r>
    <d v="2018-11-21T00:00:00"/>
    <x v="63"/>
    <s v="GCF"/>
    <x v="1"/>
    <x v="10"/>
    <x v="4"/>
    <s v="Lot Hérault Rosé"/>
    <n v="414"/>
    <m/>
    <s v="oui"/>
    <s v="IGP Terre du Midi Rosé"/>
    <n v="3"/>
    <n v="0.75"/>
    <n v="2.25"/>
  </r>
  <r>
    <d v="2018-11-21T00:00:00"/>
    <x v="4"/>
    <s v="-"/>
    <x v="0"/>
    <x v="0"/>
    <x v="4"/>
    <s v="supérieur"/>
    <s v="Ag303"/>
    <m/>
    <s v="oui"/>
    <m/>
    <n v="2"/>
    <n v="0.75"/>
    <n v="1.5"/>
  </r>
  <r>
    <d v="2018-11-21T00:00:00"/>
    <x v="4"/>
    <s v="-"/>
    <x v="0"/>
    <x v="0"/>
    <x v="4"/>
    <s v="variétal"/>
    <s v="-"/>
    <m/>
    <s v="oui"/>
    <m/>
    <n v="3"/>
    <n v="0.75"/>
    <n v="2.25"/>
  </r>
  <r>
    <d v="2018-11-21T00:00:00"/>
    <x v="4"/>
    <s v="-"/>
    <x v="0"/>
    <x v="31"/>
    <x v="4"/>
    <s v="Thau Blanc"/>
    <s v="-"/>
    <m/>
    <s v="oui"/>
    <m/>
    <n v="5"/>
    <n v="0.75"/>
    <n v="3.75"/>
  </r>
  <r>
    <d v="2018-11-21T00:00:00"/>
    <x v="4"/>
    <s v="-"/>
    <x v="0"/>
    <x v="2"/>
    <x v="4"/>
    <s v="supérieur"/>
    <s v="-"/>
    <m/>
    <s v="oui"/>
    <m/>
    <n v="3"/>
    <n v="0.75"/>
    <n v="2.25"/>
  </r>
  <r>
    <d v="2018-11-21T00:00:00"/>
    <x v="4"/>
    <s v="-"/>
    <x v="2"/>
    <x v="13"/>
    <x v="4"/>
    <s v="-"/>
    <s v="-"/>
    <m/>
    <s v="oui"/>
    <m/>
    <n v="3"/>
    <n v="0.75"/>
    <n v="2.25"/>
  </r>
  <r>
    <d v="2018-11-21T00:00:00"/>
    <x v="43"/>
    <s v="San Nicolas"/>
    <x v="0"/>
    <x v="1"/>
    <x v="4"/>
    <s v="Lot RTV - 425"/>
    <s v="-"/>
    <m/>
    <s v="oui"/>
    <s v="75% Lot 4000 + 25% Sauv variétal"/>
    <n v="3"/>
    <n v="0.75"/>
    <n v="2.25"/>
  </r>
  <r>
    <d v="2018-11-21T00:00:00"/>
    <x v="43"/>
    <s v="San Nicolas"/>
    <x v="0"/>
    <x v="0"/>
    <x v="4"/>
    <s v="variétal"/>
    <s v="-"/>
    <m/>
    <s v="oui"/>
    <m/>
    <n v="3"/>
    <n v="0.75"/>
    <n v="2.25"/>
  </r>
  <r>
    <d v="2018-11-22T00:00:00"/>
    <x v="4"/>
    <s v="-"/>
    <x v="0"/>
    <x v="0"/>
    <x v="4"/>
    <s v="variétal"/>
    <s v="-"/>
    <m/>
    <s v="oui"/>
    <m/>
    <n v="1"/>
    <n v="0.75"/>
    <n v="0.75"/>
  </r>
  <r>
    <d v="2018-11-22T00:00:00"/>
    <x v="4"/>
    <s v="-"/>
    <x v="0"/>
    <x v="2"/>
    <x v="4"/>
    <s v="variétal"/>
    <n v="64"/>
    <m/>
    <s v="oui"/>
    <m/>
    <n v="3"/>
    <n v="0.75"/>
    <n v="2.25"/>
  </r>
  <r>
    <d v="2018-11-23T00:00:00"/>
    <x v="61"/>
    <s v="-"/>
    <x v="0"/>
    <x v="16"/>
    <x v="4"/>
    <s v="Lot 4000"/>
    <n v="15"/>
    <m/>
    <s v="oui"/>
    <m/>
    <n v="2"/>
    <n v="0.75"/>
    <n v="1.5"/>
  </r>
  <r>
    <d v="2018-11-23T00:00:00"/>
    <x v="61"/>
    <s v="-"/>
    <x v="0"/>
    <x v="0"/>
    <x v="4"/>
    <s v="supérieur"/>
    <s v="Ag303"/>
    <m/>
    <s v="oui"/>
    <m/>
    <n v="2"/>
    <n v="0.75"/>
    <n v="1.5"/>
  </r>
  <r>
    <d v="2018-11-26T00:00:00"/>
    <x v="2"/>
    <s v="-"/>
    <x v="0"/>
    <x v="0"/>
    <x v="4"/>
    <s v="supérieur"/>
    <s v="Ag303"/>
    <m/>
    <s v="oui"/>
    <m/>
    <n v="6"/>
    <n v="0.75"/>
    <n v="4.5"/>
  </r>
  <r>
    <d v="2018-11-26T00:00:00"/>
    <x v="5"/>
    <s v="-"/>
    <x v="1"/>
    <x v="56"/>
    <x v="4"/>
    <s v="Style 3"/>
    <s v="-"/>
    <m/>
    <s v="oui"/>
    <m/>
    <n v="7"/>
    <n v="0.75"/>
    <n v="5.25"/>
  </r>
  <r>
    <d v="2018-11-26T00:00:00"/>
    <x v="5"/>
    <s v="-"/>
    <x v="1"/>
    <x v="8"/>
    <x v="4"/>
    <s v="-"/>
    <n v="411"/>
    <m/>
    <s v="oui"/>
    <m/>
    <n v="1"/>
    <n v="0.75"/>
    <n v="0.75"/>
  </r>
  <r>
    <d v="2018-11-26T00:00:00"/>
    <x v="5"/>
    <s v="-"/>
    <x v="1"/>
    <x v="19"/>
    <x v="4"/>
    <s v="-"/>
    <n v="203"/>
    <m/>
    <s v="oui"/>
    <m/>
    <n v="1"/>
    <n v="0.75"/>
    <n v="0.75"/>
  </r>
  <r>
    <d v="2018-11-26T00:00:00"/>
    <x v="5"/>
    <s v="-"/>
    <x v="0"/>
    <x v="0"/>
    <x v="4"/>
    <s v="variétal"/>
    <s v="-"/>
    <m/>
    <s v="oui"/>
    <m/>
    <n v="1"/>
    <n v="0.75"/>
    <n v="0.75"/>
  </r>
  <r>
    <d v="2018-11-26T00:00:00"/>
    <x v="5"/>
    <s v="-"/>
    <x v="0"/>
    <x v="31"/>
    <x v="4"/>
    <s v="Thau Blanc"/>
    <s v="-"/>
    <m/>
    <s v="oui"/>
    <m/>
    <n v="1"/>
    <n v="0.75"/>
    <n v="0.75"/>
  </r>
  <r>
    <d v="2018-11-26T00:00:00"/>
    <x v="5"/>
    <s v="-"/>
    <x v="1"/>
    <x v="10"/>
    <x v="4"/>
    <s v="Lot Hérault Rosé"/>
    <n v="414"/>
    <m/>
    <s v="oui"/>
    <m/>
    <n v="1"/>
    <n v="0.75"/>
    <n v="0.75"/>
  </r>
  <r>
    <d v="2018-11-26T00:00:00"/>
    <x v="1"/>
    <s v="Olivier Castillo"/>
    <x v="0"/>
    <x v="0"/>
    <x v="4"/>
    <s v="-"/>
    <s v="-"/>
    <m/>
    <s v="oui"/>
    <s v="50% 69 + 50% sup"/>
    <n v="2"/>
    <n v="0.75"/>
    <n v="1.5"/>
  </r>
  <r>
    <d v="2018-11-26T00:00:00"/>
    <x v="1"/>
    <s v="Olivier Castillo"/>
    <x v="0"/>
    <x v="0"/>
    <x v="4"/>
    <s v="-"/>
    <s v="-"/>
    <m/>
    <s v="oui"/>
    <s v="40% 69 + 30% sup + 30% var"/>
    <n v="2"/>
    <n v="0.75"/>
    <n v="1.5"/>
  </r>
  <r>
    <d v="2018-11-26T00:00:00"/>
    <x v="1"/>
    <s v="Olivier Castillo"/>
    <x v="1"/>
    <x v="5"/>
    <x v="4"/>
    <s v="Lot PN"/>
    <n v="418"/>
    <m/>
    <s v="oui"/>
    <m/>
    <n v="1"/>
    <n v="0.75"/>
    <n v="0.75"/>
  </r>
  <r>
    <d v="2018-11-26T00:00:00"/>
    <x v="3"/>
    <s v="-"/>
    <x v="0"/>
    <x v="1"/>
    <x v="4"/>
    <s v="supérieur"/>
    <n v="421"/>
    <m/>
    <s v="oui"/>
    <m/>
    <n v="6"/>
    <n v="0.75"/>
    <n v="4.5"/>
  </r>
  <r>
    <d v="2018-11-26T00:00:00"/>
    <x v="3"/>
    <s v="-"/>
    <x v="0"/>
    <x v="2"/>
    <x v="4"/>
    <s v="supérieur"/>
    <s v="-"/>
    <m/>
    <s v="oui"/>
    <m/>
    <n v="6"/>
    <n v="0.75"/>
    <n v="4.5"/>
  </r>
  <r>
    <d v="2018-11-26T00:00:00"/>
    <x v="3"/>
    <s v="-"/>
    <x v="0"/>
    <x v="2"/>
    <x v="4"/>
    <s v="variétal"/>
    <n v="52"/>
    <m/>
    <s v="oui"/>
    <m/>
    <n v="6"/>
    <n v="0.75"/>
    <n v="4.5"/>
  </r>
  <r>
    <d v="2018-11-26T00:00:00"/>
    <x v="3"/>
    <s v="-"/>
    <x v="0"/>
    <x v="0"/>
    <x v="4"/>
    <s v="supérieur"/>
    <s v="Ag303"/>
    <m/>
    <s v="oui"/>
    <m/>
    <n v="6"/>
    <n v="0.75"/>
    <n v="4.5"/>
  </r>
  <r>
    <d v="2018-11-27T00:00:00"/>
    <x v="2"/>
    <s v="-"/>
    <x v="0"/>
    <x v="2"/>
    <x v="4"/>
    <s v="supérieur"/>
    <s v="-"/>
    <m/>
    <s v="oui"/>
    <m/>
    <n v="2"/>
    <n v="0.75"/>
    <n v="1.5"/>
  </r>
  <r>
    <d v="2018-11-27T00:00:00"/>
    <x v="2"/>
    <s v="-"/>
    <x v="0"/>
    <x v="2"/>
    <x v="4"/>
    <s v="variétal"/>
    <n v="52"/>
    <m/>
    <s v="oui"/>
    <m/>
    <n v="2"/>
    <n v="0.75"/>
    <n v="1.5"/>
  </r>
  <r>
    <d v="2018-11-27T00:00:00"/>
    <x v="2"/>
    <s v="-"/>
    <x v="0"/>
    <x v="2"/>
    <x v="4"/>
    <s v="-"/>
    <n v="330"/>
    <m/>
    <s v="oui"/>
    <s v="ex 309"/>
    <n v="2"/>
    <n v="0.75"/>
    <n v="1.5"/>
  </r>
  <r>
    <d v="2018-11-27T00:00:00"/>
    <x v="10"/>
    <s v="René Jeanjean"/>
    <x v="2"/>
    <x v="13"/>
    <x v="4"/>
    <s v="Bouteille"/>
    <n v="133"/>
    <m/>
    <s v="oui"/>
    <m/>
    <n v="1"/>
    <n v="0.75"/>
    <n v="0.75"/>
  </r>
  <r>
    <d v="2018-11-27T00:00:00"/>
    <x v="1"/>
    <s v="Gilles Lambert"/>
    <x v="0"/>
    <x v="0"/>
    <x v="4"/>
    <s v="supérieur"/>
    <s v="Ag303"/>
    <m/>
    <s v="oui"/>
    <m/>
    <n v="2"/>
    <n v="0.75"/>
    <n v="1.5"/>
  </r>
  <r>
    <d v="2018-11-27T00:00:00"/>
    <x v="1"/>
    <s v="Gilles Lambert"/>
    <x v="0"/>
    <x v="0"/>
    <x v="4"/>
    <s v="variétal"/>
    <s v="-"/>
    <m/>
    <s v="oui"/>
    <m/>
    <n v="2"/>
    <n v="0.75"/>
    <n v="1.5"/>
  </r>
  <r>
    <d v="2018-11-28T00:00:00"/>
    <x v="64"/>
    <s v="-"/>
    <x v="0"/>
    <x v="6"/>
    <x v="4"/>
    <s v="Lot Oc Blanc"/>
    <n v="408"/>
    <m/>
    <s v="oui"/>
    <m/>
    <n v="2"/>
    <n v="0.75"/>
    <n v="1.5"/>
  </r>
  <r>
    <d v="2018-11-28T00:00:00"/>
    <x v="64"/>
    <s v="-"/>
    <x v="0"/>
    <x v="6"/>
    <x v="4"/>
    <s v="Thau Blanc"/>
    <s v="-"/>
    <m/>
    <s v="oui"/>
    <m/>
    <n v="2"/>
    <n v="0.75"/>
    <n v="1.5"/>
  </r>
  <r>
    <d v="2018-11-28T00:00:00"/>
    <x v="3"/>
    <s v="-"/>
    <x v="0"/>
    <x v="3"/>
    <x v="4"/>
    <s v="variétal"/>
    <s v="-"/>
    <m/>
    <s v="oui"/>
    <m/>
    <n v="1"/>
    <n v="10"/>
    <n v="10"/>
  </r>
  <r>
    <d v="2018-11-28T00:00:00"/>
    <x v="3"/>
    <s v="-"/>
    <x v="0"/>
    <x v="1"/>
    <x v="4"/>
    <s v="supérieur"/>
    <n v="421"/>
    <m/>
    <s v="oui"/>
    <m/>
    <n v="6"/>
    <n v="0.75"/>
    <n v="4.5"/>
  </r>
  <r>
    <d v="2018-11-28T00:00:00"/>
    <x v="44"/>
    <s v="San Nicolas"/>
    <x v="1"/>
    <x v="10"/>
    <x v="4"/>
    <s v="Style 3"/>
    <s v="-"/>
    <m/>
    <s v="oui"/>
    <m/>
    <n v="3"/>
    <n v="0.75"/>
    <n v="2.25"/>
  </r>
  <r>
    <d v="2018-11-28T00:00:00"/>
    <x v="1"/>
    <s v="San Nicolas"/>
    <x v="0"/>
    <x v="2"/>
    <x v="4"/>
    <s v="variétal"/>
    <n v="52"/>
    <m/>
    <s v="oui"/>
    <m/>
    <n v="1"/>
    <n v="0.75"/>
    <n v="0.75"/>
  </r>
  <r>
    <d v="2018-11-28T00:00:00"/>
    <x v="15"/>
    <s v="-"/>
    <x v="0"/>
    <x v="1"/>
    <x v="4"/>
    <s v="supérieur"/>
    <n v="421"/>
    <m/>
    <s v="oui"/>
    <m/>
    <n v="8"/>
    <n v="0.75"/>
    <n v="6"/>
  </r>
  <r>
    <d v="2018-11-28T00:00:00"/>
    <x v="15"/>
    <s v="-"/>
    <x v="0"/>
    <x v="2"/>
    <x v="4"/>
    <s v="supérieur"/>
    <s v="-"/>
    <m/>
    <s v="oui"/>
    <m/>
    <n v="4"/>
    <n v="0.75"/>
    <n v="3"/>
  </r>
  <r>
    <d v="2018-11-29T00:00:00"/>
    <x v="43"/>
    <s v="Cathala"/>
    <x v="0"/>
    <x v="0"/>
    <x v="4"/>
    <s v="bouteille"/>
    <n v="96"/>
    <m/>
    <s v="oui"/>
    <m/>
    <n v="2"/>
    <n v="0.75"/>
    <n v="1.5"/>
  </r>
  <r>
    <d v="2018-11-29T00:00:00"/>
    <x v="43"/>
    <s v="Cathala"/>
    <x v="0"/>
    <x v="1"/>
    <x v="4"/>
    <s v="bouteille"/>
    <n v="38"/>
    <m/>
    <s v="oui"/>
    <m/>
    <n v="2"/>
    <n v="0.75"/>
    <n v="1.5"/>
  </r>
  <r>
    <d v="2018-11-29T00:00:00"/>
    <x v="43"/>
    <s v="Cathala"/>
    <x v="1"/>
    <x v="19"/>
    <x v="4"/>
    <s v="bouteille"/>
    <n v="47"/>
    <m/>
    <s v="oui"/>
    <m/>
    <n v="2"/>
    <n v="0.75"/>
    <n v="1.5"/>
  </r>
  <r>
    <d v="2018-11-29T00:00:00"/>
    <x v="43"/>
    <s v="Cathala"/>
    <x v="1"/>
    <x v="8"/>
    <x v="4"/>
    <s v="bouteille"/>
    <n v="411"/>
    <m/>
    <s v="oui"/>
    <m/>
    <n v="2"/>
    <n v="0.75"/>
    <n v="1.5"/>
  </r>
  <r>
    <d v="2018-11-29T00:00:00"/>
    <x v="43"/>
    <s v="Cathala"/>
    <x v="2"/>
    <x v="7"/>
    <x v="4"/>
    <s v="bouteille"/>
    <s v="-"/>
    <m/>
    <s v="oui"/>
    <m/>
    <n v="2"/>
    <n v="0.75"/>
    <n v="1.5"/>
  </r>
  <r>
    <d v="2018-11-29T00:00:00"/>
    <x v="2"/>
    <s v="-"/>
    <x v="0"/>
    <x v="1"/>
    <x v="4"/>
    <s v="classique"/>
    <n v="420"/>
    <m/>
    <s v="oui"/>
    <m/>
    <n v="3"/>
    <n v="0.75"/>
    <n v="2.25"/>
  </r>
  <r>
    <d v="2018-11-29T00:00:00"/>
    <x v="2"/>
    <s v="-"/>
    <x v="0"/>
    <x v="1"/>
    <x v="4"/>
    <s v="variétal"/>
    <n v="401"/>
    <m/>
    <s v="oui"/>
    <m/>
    <n v="3"/>
    <n v="0.75"/>
    <n v="2.25"/>
  </r>
  <r>
    <d v="2018-11-29T00:00:00"/>
    <x v="2"/>
    <s v="-"/>
    <x v="0"/>
    <x v="1"/>
    <x v="4"/>
    <s v="supérieur"/>
    <n v="421"/>
    <m/>
    <s v="oui"/>
    <m/>
    <n v="3"/>
    <n v="0.75"/>
    <n v="2.25"/>
  </r>
  <r>
    <d v="2018-11-29T00:00:00"/>
    <x v="1"/>
    <s v="Gilles Louvet"/>
    <x v="0"/>
    <x v="9"/>
    <x v="4"/>
    <s v="-"/>
    <n v="45"/>
    <m/>
    <s v="oui"/>
    <m/>
    <n v="2"/>
    <n v="0.75"/>
    <n v="1.5"/>
  </r>
  <r>
    <d v="2018-11-29T00:00:00"/>
    <x v="1"/>
    <s v="Gilles Louvet"/>
    <x v="0"/>
    <x v="11"/>
    <x v="4"/>
    <s v="-"/>
    <n v="333"/>
    <m/>
    <s v="oui"/>
    <m/>
    <n v="2"/>
    <n v="0.75"/>
    <n v="1.5"/>
  </r>
  <r>
    <d v="2018-11-29T00:00:00"/>
    <x v="1"/>
    <s v="Gilles Louvet"/>
    <x v="0"/>
    <x v="1"/>
    <x v="4"/>
    <s v="classique"/>
    <n v="420"/>
    <m/>
    <s v="oui"/>
    <m/>
    <n v="2"/>
    <n v="0.75"/>
    <n v="1.5"/>
  </r>
  <r>
    <d v="2018-11-29T00:00:00"/>
    <x v="1"/>
    <s v="Gilles Louvet"/>
    <x v="0"/>
    <x v="0"/>
    <x v="4"/>
    <s v="variétal"/>
    <s v="-"/>
    <m/>
    <s v="oui"/>
    <m/>
    <n v="1"/>
    <n v="0.75"/>
    <n v="0.75"/>
  </r>
  <r>
    <d v="2018-11-29T00:00:00"/>
    <x v="1"/>
    <s v="Gilles Louvet"/>
    <x v="0"/>
    <x v="0"/>
    <x v="4"/>
    <s v="supérieur"/>
    <s v="Ag303"/>
    <m/>
    <s v="oui"/>
    <m/>
    <n v="2"/>
    <n v="0.75"/>
    <n v="1.5"/>
  </r>
  <r>
    <d v="2018-11-29T00:00:00"/>
    <x v="1"/>
    <s v="Vailhere Pascal"/>
    <x v="1"/>
    <x v="38"/>
    <x v="4"/>
    <s v="Lot 1"/>
    <n v="200"/>
    <m/>
    <s v="oui"/>
    <m/>
    <n v="2"/>
    <n v="0.75"/>
    <n v="1.5"/>
  </r>
  <r>
    <d v="2018-12-03T00:00:00"/>
    <x v="5"/>
    <s v="-"/>
    <x v="0"/>
    <x v="7"/>
    <x v="4"/>
    <s v="Lot GCF"/>
    <n v="418"/>
    <m/>
    <s v="oui"/>
    <m/>
    <n v="2"/>
    <n v="0.75"/>
    <n v="1.5"/>
  </r>
  <r>
    <d v="2018-12-03T00:00:00"/>
    <x v="5"/>
    <s v="-"/>
    <x v="1"/>
    <x v="56"/>
    <x v="4"/>
    <s v="Style 3"/>
    <s v="-"/>
    <m/>
    <s v="oui"/>
    <m/>
    <n v="8"/>
    <n v="0.75"/>
    <n v="6"/>
  </r>
  <r>
    <d v="2018-12-03T00:00:00"/>
    <x v="2"/>
    <s v="-"/>
    <x v="0"/>
    <x v="2"/>
    <x v="4"/>
    <s v="supérieur"/>
    <s v="-"/>
    <m/>
    <s v="oui"/>
    <m/>
    <n v="3"/>
    <n v="0.75"/>
    <n v="2.25"/>
  </r>
  <r>
    <d v="2018-12-03T00:00:00"/>
    <x v="10"/>
    <s v="René Jeanjean"/>
    <x v="0"/>
    <x v="31"/>
    <x v="4"/>
    <s v="Lot 4000"/>
    <n v="68"/>
    <m/>
    <s v="oui"/>
    <m/>
    <n v="1"/>
    <n v="0.75"/>
    <n v="0.75"/>
  </r>
  <r>
    <d v="2018-12-03T00:00:00"/>
    <x v="10"/>
    <s v="René Jeanjean"/>
    <x v="2"/>
    <x v="5"/>
    <x v="4"/>
    <s v="Lot PN"/>
    <s v="-"/>
    <m/>
    <s v="oui"/>
    <s v="129 + FK6"/>
    <n v="1"/>
    <n v="0.75"/>
    <n v="0.75"/>
  </r>
  <r>
    <d v="2018-12-04T00:00:00"/>
    <x v="11"/>
    <s v="-"/>
    <x v="0"/>
    <x v="0"/>
    <x v="4"/>
    <s v="supérieur"/>
    <s v="Ag303"/>
    <m/>
    <s v="oui"/>
    <m/>
    <n v="2"/>
    <n v="0.75"/>
    <n v="1.5"/>
  </r>
  <r>
    <d v="2018-12-04T00:00:00"/>
    <x v="11"/>
    <s v="-"/>
    <x v="0"/>
    <x v="1"/>
    <x v="4"/>
    <s v="classique"/>
    <n v="420"/>
    <m/>
    <s v="oui"/>
    <s v="nommé variétal pour Skalli"/>
    <n v="2"/>
    <n v="0.75"/>
    <n v="1.5"/>
  </r>
  <r>
    <d v="2018-12-04T00:00:00"/>
    <x v="11"/>
    <s v="-"/>
    <x v="1"/>
    <x v="7"/>
    <x v="4"/>
    <s v="-"/>
    <n v="202"/>
    <m/>
    <s v="oui"/>
    <s v="Merlot Rosé Castel"/>
    <n v="2"/>
    <n v="0.75"/>
    <n v="1.5"/>
  </r>
  <r>
    <d v="2018-12-04T00:00:00"/>
    <x v="43"/>
    <s v="Vailhere Pascal"/>
    <x v="0"/>
    <x v="3"/>
    <x v="4"/>
    <s v="Muscat Castel"/>
    <n v="16"/>
    <m/>
    <s v="oui"/>
    <m/>
    <n v="1"/>
    <n v="0.75"/>
    <n v="0.75"/>
  </r>
  <r>
    <d v="2018-12-04T00:00:00"/>
    <x v="43"/>
    <s v="Vailhere Pascal"/>
    <x v="0"/>
    <x v="0"/>
    <x v="4"/>
    <s v="supérieur"/>
    <s v="Ag303"/>
    <m/>
    <s v="oui"/>
    <m/>
    <n v="5"/>
    <n v="0.75"/>
    <n v="3.75"/>
  </r>
  <r>
    <d v="2018-12-04T00:00:00"/>
    <x v="43"/>
    <s v="Vailhere Pascal"/>
    <x v="2"/>
    <x v="7"/>
    <x v="4"/>
    <s v="Lot fruité"/>
    <s v="-"/>
    <m/>
    <s v="oui"/>
    <m/>
    <n v="3"/>
    <n v="0.75"/>
    <n v="2.25"/>
  </r>
  <r>
    <d v="2018-12-04T00:00:00"/>
    <x v="43"/>
    <s v="Vailhere Pascal"/>
    <x v="2"/>
    <x v="51"/>
    <x v="4"/>
    <s v="Lot Marselan Rouge"/>
    <s v="-"/>
    <m/>
    <s v="oui"/>
    <m/>
    <n v="3"/>
    <n v="0.75"/>
    <n v="2.25"/>
  </r>
  <r>
    <d v="2018-12-04T00:00:00"/>
    <x v="43"/>
    <s v="Vailhere Pascal"/>
    <x v="2"/>
    <x v="13"/>
    <x v="4"/>
    <s v="Lot Cabernet"/>
    <s v="-"/>
    <m/>
    <s v="oui"/>
    <m/>
    <n v="3"/>
    <n v="0.75"/>
    <n v="2.25"/>
  </r>
  <r>
    <d v="2018-12-04T00:00:00"/>
    <x v="3"/>
    <s v="-"/>
    <x v="0"/>
    <x v="1"/>
    <x v="4"/>
    <s v="Supérieur"/>
    <n v="421"/>
    <m/>
    <s v="oui"/>
    <m/>
    <n v="1"/>
    <n v="10"/>
    <n v="10"/>
  </r>
  <r>
    <d v="2018-12-04T00:00:00"/>
    <x v="3"/>
    <s v="-"/>
    <x v="0"/>
    <x v="3"/>
    <x v="4"/>
    <s v="variétal"/>
    <s v="-"/>
    <m/>
    <s v="oui"/>
    <m/>
    <n v="6"/>
    <n v="0.75"/>
    <n v="4.5"/>
  </r>
  <r>
    <d v="2018-12-04T00:00:00"/>
    <x v="3"/>
    <s v="-"/>
    <x v="0"/>
    <x v="0"/>
    <x v="4"/>
    <s v="Supérieur"/>
    <s v="Ag303"/>
    <m/>
    <s v="oui"/>
    <m/>
    <n v="1"/>
    <n v="10"/>
    <n v="10"/>
  </r>
  <r>
    <d v="2018-12-05T00:00:00"/>
    <x v="9"/>
    <s v="Jacques Woloviek"/>
    <x v="0"/>
    <x v="0"/>
    <x v="4"/>
    <s v="Lot Jeanjean"/>
    <s v="-"/>
    <m/>
    <s v="oui"/>
    <s v="60% variétal + 40% sup"/>
    <n v="6"/>
    <n v="0.75"/>
    <n v="4.5"/>
  </r>
  <r>
    <d v="2018-12-05T00:00:00"/>
    <x v="9"/>
    <s v="Jacques Woloviek"/>
    <x v="0"/>
    <x v="2"/>
    <x v="4"/>
    <s v="Lot Jeanjean"/>
    <s v="-"/>
    <m/>
    <s v="oui"/>
    <s v="50% variétal + 50% sup"/>
    <n v="6"/>
    <n v="0.75"/>
    <n v="4.5"/>
  </r>
  <r>
    <d v="2018-12-05T00:00:00"/>
    <x v="43"/>
    <s v="Vailhere Pascal"/>
    <x v="2"/>
    <x v="51"/>
    <x v="4"/>
    <s v="Lot Marselan Rouge"/>
    <s v="-"/>
    <m/>
    <s v="oui"/>
    <m/>
    <n v="3"/>
    <n v="0.75"/>
    <n v="2.25"/>
  </r>
  <r>
    <d v="2018-12-06T00:00:00"/>
    <x v="61"/>
    <s v="-"/>
    <x v="2"/>
    <x v="7"/>
    <x v="4"/>
    <s v="Lot fruité"/>
    <s v="-"/>
    <m/>
    <s v="oui"/>
    <m/>
    <n v="2"/>
    <n v="0.75"/>
    <n v="1.5"/>
  </r>
  <r>
    <d v="2018-12-06T00:00:00"/>
    <x v="61"/>
    <s v="-"/>
    <x v="2"/>
    <x v="7"/>
    <x v="4"/>
    <s v="Lot structuré"/>
    <s v="-"/>
    <m/>
    <s v="oui"/>
    <m/>
    <n v="2"/>
    <n v="0.75"/>
    <n v="1.5"/>
  </r>
  <r>
    <d v="2018-12-10T00:00:00"/>
    <x v="3"/>
    <s v="-"/>
    <x v="0"/>
    <x v="6"/>
    <x v="4"/>
    <s v="Lot Thau "/>
    <n v="199"/>
    <m/>
    <s v="oui"/>
    <s v="Terret"/>
    <n v="3"/>
    <n v="0.75"/>
    <n v="2.25"/>
  </r>
  <r>
    <d v="2018-12-10T00:00:00"/>
    <x v="3"/>
    <s v="-"/>
    <x v="0"/>
    <x v="6"/>
    <x v="4"/>
    <s v="Lot 4000"/>
    <n v="68"/>
    <m/>
    <s v="oui"/>
    <s v="Grenache Blanc"/>
    <n v="3"/>
    <n v="0.75"/>
    <n v="2.25"/>
  </r>
  <r>
    <d v="2018-12-10T00:00:00"/>
    <x v="11"/>
    <s v="-"/>
    <x v="0"/>
    <x v="1"/>
    <x v="4"/>
    <s v="classique"/>
    <n v="413"/>
    <m/>
    <s v="oui"/>
    <s v="Nommé variétal pour Skalli"/>
    <n v="2"/>
    <n v="0.75"/>
    <n v="1.5"/>
  </r>
  <r>
    <d v="2018-12-10T00:00:00"/>
    <x v="15"/>
    <s v="-"/>
    <x v="0"/>
    <x v="1"/>
    <x v="4"/>
    <s v="supérieur"/>
    <n v="421"/>
    <m/>
    <s v="oui"/>
    <m/>
    <n v="1"/>
    <n v="0.75"/>
    <n v="0.75"/>
  </r>
  <r>
    <d v="2018-12-10T00:00:00"/>
    <x v="15"/>
    <s v="-"/>
    <x v="0"/>
    <x v="3"/>
    <x v="4"/>
    <s v="-"/>
    <n v="14"/>
    <m/>
    <s v="oui"/>
    <m/>
    <n v="1"/>
    <n v="0.75"/>
    <n v="0.75"/>
  </r>
  <r>
    <d v="2018-12-10T00:00:00"/>
    <x v="15"/>
    <s v="-"/>
    <x v="1"/>
    <x v="13"/>
    <x v="4"/>
    <s v="-"/>
    <n v="424"/>
    <m/>
    <s v="oui"/>
    <m/>
    <n v="1"/>
    <n v="0.75"/>
    <n v="0.75"/>
  </r>
  <r>
    <d v="2018-12-10T00:00:00"/>
    <x v="15"/>
    <s v="-"/>
    <x v="1"/>
    <x v="7"/>
    <x v="4"/>
    <s v="Lot GCF"/>
    <n v="418"/>
    <m/>
    <s v="oui"/>
    <m/>
    <n v="1"/>
    <n v="0.75"/>
    <n v="0.75"/>
  </r>
  <r>
    <d v="2018-12-10T00:00:00"/>
    <x v="15"/>
    <s v="-"/>
    <x v="1"/>
    <x v="8"/>
    <x v="4"/>
    <s v="Lot Cinsault"/>
    <n v="411"/>
    <m/>
    <s v="oui"/>
    <m/>
    <n v="1"/>
    <n v="0.75"/>
    <n v="0.75"/>
  </r>
  <r>
    <d v="2018-12-10T00:00:00"/>
    <x v="15"/>
    <s v="-"/>
    <x v="1"/>
    <x v="38"/>
    <x v="4"/>
    <s v="Style 3"/>
    <s v="-"/>
    <m/>
    <s v="oui"/>
    <m/>
    <n v="1"/>
    <n v="0.75"/>
    <n v="0.75"/>
  </r>
  <r>
    <d v="2018-12-10T00:00:00"/>
    <x v="15"/>
    <s v="-"/>
    <x v="1"/>
    <x v="40"/>
    <x v="4"/>
    <s v="Lot 4"/>
    <s v="-"/>
    <m/>
    <s v="oui"/>
    <m/>
    <n v="1"/>
    <n v="0.75"/>
    <n v="0.75"/>
  </r>
  <r>
    <d v="2018-12-10T00:00:00"/>
    <x v="15"/>
    <s v="-"/>
    <x v="0"/>
    <x v="0"/>
    <x v="4"/>
    <s v="classique"/>
    <s v="Ag305"/>
    <m/>
    <s v="oui"/>
    <m/>
    <n v="1"/>
    <n v="0.75"/>
    <n v="0.75"/>
  </r>
  <r>
    <d v="2018-12-10T00:00:00"/>
    <x v="1"/>
    <s v="Olivier Castillo"/>
    <x v="0"/>
    <x v="3"/>
    <x v="4"/>
    <s v="Petit degré"/>
    <s v="-"/>
    <m/>
    <s v="oui"/>
    <m/>
    <n v="3"/>
    <n v="0.75"/>
    <n v="2.25"/>
  </r>
  <r>
    <d v="2018-12-10T00:00:00"/>
    <x v="7"/>
    <s v="-"/>
    <x v="0"/>
    <x v="6"/>
    <x v="4"/>
    <s v="Lot Thau "/>
    <n v="199"/>
    <m/>
    <s v="oui"/>
    <m/>
    <n v="1"/>
    <n v="0.75"/>
    <n v="0.75"/>
  </r>
  <r>
    <d v="2018-12-10T00:00:00"/>
    <x v="7"/>
    <s v="-"/>
    <x v="0"/>
    <x v="6"/>
    <x v="4"/>
    <s v="Lot 4000"/>
    <n v="68"/>
    <m/>
    <s v="oui"/>
    <m/>
    <n v="1"/>
    <n v="0.75"/>
    <n v="0.75"/>
  </r>
  <r>
    <d v="2018-12-10T00:00:00"/>
    <x v="7"/>
    <s v="-"/>
    <x v="0"/>
    <x v="1"/>
    <x v="4"/>
    <s v="supérieur"/>
    <n v="421"/>
    <m/>
    <s v="oui"/>
    <m/>
    <n v="1"/>
    <n v="0.75"/>
    <n v="0.75"/>
  </r>
  <r>
    <d v="2018-12-10T00:00:00"/>
    <x v="7"/>
    <s v="-"/>
    <x v="0"/>
    <x v="0"/>
    <x v="4"/>
    <s v="supérieur"/>
    <s v="Ag303"/>
    <m/>
    <s v="oui"/>
    <m/>
    <n v="1"/>
    <n v="0.75"/>
    <n v="0.75"/>
  </r>
  <r>
    <d v="2018-12-11T00:00:00"/>
    <x v="5"/>
    <s v="-"/>
    <x v="1"/>
    <x v="40"/>
    <x v="4"/>
    <s v="Lot 2"/>
    <n v="414"/>
    <m/>
    <s v="oui"/>
    <m/>
    <n v="4"/>
    <n v="0.75"/>
    <n v="3"/>
  </r>
  <r>
    <d v="2018-12-11T00:00:00"/>
    <x v="5"/>
    <s v="-"/>
    <x v="1"/>
    <x v="56"/>
    <x v="4"/>
    <s v="Style 3"/>
    <s v="-"/>
    <m/>
    <s v="oui"/>
    <m/>
    <n v="10"/>
    <n v="0.75"/>
    <n v="7.5"/>
  </r>
  <r>
    <d v="2018-12-11T00:00:00"/>
    <x v="5"/>
    <s v="-"/>
    <x v="0"/>
    <x v="1"/>
    <x v="4"/>
    <s v="Lot GCF"/>
    <n v="410"/>
    <m/>
    <s v="oui"/>
    <m/>
    <n v="2"/>
    <n v="0.75"/>
    <n v="1.5"/>
  </r>
  <r>
    <d v="2018-12-11T00:00:00"/>
    <x v="5"/>
    <s v="-"/>
    <x v="1"/>
    <x v="7"/>
    <x v="4"/>
    <s v="Lot GCF"/>
    <n v="418"/>
    <m/>
    <s v="oui"/>
    <m/>
    <n v="3"/>
    <n v="0.75"/>
    <n v="2.25"/>
  </r>
  <r>
    <d v="2018-12-11T00:00:00"/>
    <x v="39"/>
    <s v="-"/>
    <x v="0"/>
    <x v="1"/>
    <x v="4"/>
    <s v="Supérieur"/>
    <n v="419"/>
    <m/>
    <s v="oui"/>
    <m/>
    <n v="3"/>
    <n v="0.75"/>
    <n v="2.25"/>
  </r>
  <r>
    <d v="2018-12-12T00:00:00"/>
    <x v="54"/>
    <s v="Murphy winecompany"/>
    <x v="0"/>
    <x v="0"/>
    <x v="4"/>
    <s v="Petit degré"/>
    <n v="405"/>
    <m/>
    <s v="oui"/>
    <m/>
    <n v="3"/>
    <n v="0.75"/>
    <n v="2.25"/>
  </r>
  <r>
    <d v="2018-12-12T00:00:00"/>
    <x v="65"/>
    <s v="TWS"/>
    <x v="0"/>
    <x v="2"/>
    <x v="4"/>
    <s v="supérieur"/>
    <n v="404"/>
    <m/>
    <s v="oui"/>
    <m/>
    <n v="6"/>
    <n v="0.75"/>
    <n v="4.5"/>
  </r>
  <r>
    <d v="2018-12-12T00:00:00"/>
    <x v="61"/>
    <s v="-"/>
    <x v="0"/>
    <x v="2"/>
    <x v="4"/>
    <s v="supérieur"/>
    <n v="404"/>
    <m/>
    <s v="oui"/>
    <m/>
    <n v="3"/>
    <n v="0.75"/>
    <n v="2.25"/>
  </r>
  <r>
    <d v="2018-12-12T00:00:00"/>
    <x v="61"/>
    <s v="-"/>
    <x v="0"/>
    <x v="0"/>
    <x v="4"/>
    <s v="variétal"/>
    <s v="-"/>
    <m/>
    <s v="oui"/>
    <m/>
    <n v="3"/>
    <n v="0.75"/>
    <n v="2.25"/>
  </r>
  <r>
    <d v="2018-12-13T00:00:00"/>
    <x v="5"/>
    <s v="-"/>
    <x v="1"/>
    <x v="56"/>
    <x v="4"/>
    <s v="Style 1"/>
    <s v="-"/>
    <m/>
    <s v="oui"/>
    <m/>
    <n v="3"/>
    <n v="0.75"/>
    <n v="2.25"/>
  </r>
  <r>
    <d v="2018-12-13T00:00:00"/>
    <x v="5"/>
    <s v="-"/>
    <x v="1"/>
    <x v="56"/>
    <x v="4"/>
    <s v="Style 2"/>
    <s v="-"/>
    <m/>
    <s v="oui"/>
    <m/>
    <n v="3"/>
    <n v="0.75"/>
    <n v="2.25"/>
  </r>
  <r>
    <d v="2018-12-13T00:00:00"/>
    <x v="5"/>
    <s v="-"/>
    <x v="1"/>
    <x v="56"/>
    <x v="4"/>
    <s v="Style 3"/>
    <s v="-"/>
    <m/>
    <s v="oui"/>
    <m/>
    <n v="4"/>
    <n v="0.75"/>
    <n v="3"/>
  </r>
  <r>
    <d v="2018-12-13T00:00:00"/>
    <x v="5"/>
    <s v="-"/>
    <x v="1"/>
    <x v="8"/>
    <x v="4"/>
    <s v="-"/>
    <n v="411"/>
    <m/>
    <s v="oui"/>
    <m/>
    <n v="1"/>
    <n v="0.75"/>
    <n v="0.75"/>
  </r>
  <r>
    <d v="2018-12-13T00:00:00"/>
    <x v="5"/>
    <s v="-"/>
    <x v="1"/>
    <x v="10"/>
    <x v="4"/>
    <s v="Lot 2"/>
    <n v="414"/>
    <m/>
    <s v="oui"/>
    <s v="Terre du Midi"/>
    <n v="1"/>
    <n v="0.75"/>
    <n v="0.75"/>
  </r>
  <r>
    <d v="2018-12-13T00:00:00"/>
    <x v="5"/>
    <s v="-"/>
    <x v="1"/>
    <x v="19"/>
    <x v="4"/>
    <s v="-"/>
    <n v="203"/>
    <m/>
    <s v="oui"/>
    <m/>
    <n v="1"/>
    <n v="0.75"/>
    <n v="0.75"/>
  </r>
  <r>
    <d v="2018-12-13T00:00:00"/>
    <x v="5"/>
    <s v="-"/>
    <x v="0"/>
    <x v="6"/>
    <x v="4"/>
    <s v="Thau Blanc"/>
    <n v="200"/>
    <m/>
    <s v="oui"/>
    <m/>
    <n v="1"/>
    <n v="0.75"/>
    <n v="0.75"/>
  </r>
  <r>
    <d v="2018-12-13T00:00:00"/>
    <x v="5"/>
    <s v="-"/>
    <x v="0"/>
    <x v="0"/>
    <x v="4"/>
    <s v="variétal"/>
    <s v="-"/>
    <m/>
    <s v="oui"/>
    <m/>
    <n v="1"/>
    <n v="0.75"/>
    <n v="0.75"/>
  </r>
  <r>
    <d v="2018-12-17T00:00:00"/>
    <x v="20"/>
    <s v="-"/>
    <x v="0"/>
    <x v="0"/>
    <x v="4"/>
    <s v="Bouteille"/>
    <n v="37"/>
    <m/>
    <s v="oui"/>
    <m/>
    <n v="6"/>
    <n v="0.75"/>
    <n v="4.5"/>
  </r>
  <r>
    <d v="2018-12-17T00:00:00"/>
    <x v="20"/>
    <s v="-"/>
    <x v="0"/>
    <x v="1"/>
    <x v="4"/>
    <s v="Bouteille"/>
    <n v="38"/>
    <m/>
    <s v="oui"/>
    <m/>
    <n v="6"/>
    <n v="0.75"/>
    <n v="4.5"/>
  </r>
  <r>
    <d v="2018-12-17T00:00:00"/>
    <x v="20"/>
    <s v="-"/>
    <x v="2"/>
    <x v="7"/>
    <x v="4"/>
    <s v="Bouteille"/>
    <n v="122"/>
    <m/>
    <s v="oui"/>
    <m/>
    <n v="6"/>
    <n v="0.75"/>
    <n v="4.5"/>
  </r>
  <r>
    <d v="2018-12-17T00:00:00"/>
    <x v="20"/>
    <s v="-"/>
    <x v="2"/>
    <x v="13"/>
    <x v="4"/>
    <s v="Bouteille"/>
    <n v="116"/>
    <m/>
    <s v="oui"/>
    <m/>
    <n v="6"/>
    <n v="0.75"/>
    <n v="4.5"/>
  </r>
  <r>
    <d v="2018-12-17T00:00:00"/>
    <x v="20"/>
    <s v="-"/>
    <x v="2"/>
    <x v="51"/>
    <x v="4"/>
    <s v="Bouteille"/>
    <s v="FK4"/>
    <m/>
    <s v="oui"/>
    <m/>
    <n v="2"/>
    <n v="0.75"/>
    <n v="1.5"/>
  </r>
  <r>
    <d v="2018-12-20T00:00:00"/>
    <x v="9"/>
    <s v="-"/>
    <x v="0"/>
    <x v="6"/>
    <x v="4"/>
    <s v="Lot Oc Blanc"/>
    <n v="409"/>
    <m/>
    <s v="oui"/>
    <m/>
    <n v="4"/>
    <n v="0.75"/>
    <n v="3"/>
  </r>
  <r>
    <d v="2018-12-20T00:00:00"/>
    <x v="9"/>
    <s v="-"/>
    <x v="1"/>
    <x v="13"/>
    <x v="4"/>
    <s v="-"/>
    <n v="424"/>
    <m/>
    <s v="oui"/>
    <m/>
    <n v="4"/>
    <n v="0.75"/>
    <n v="3"/>
  </r>
  <r>
    <d v="2019-01-03T00:00:00"/>
    <x v="53"/>
    <s v="SP Wines"/>
    <x v="0"/>
    <x v="21"/>
    <x v="4"/>
    <s v="-"/>
    <n v="49"/>
    <m/>
    <s v="oui"/>
    <s v="complément de marché"/>
    <n v="1"/>
    <n v="0.75"/>
    <n v="0.75"/>
  </r>
  <r>
    <d v="2019-01-03T00:00:00"/>
    <x v="53"/>
    <s v="SP Wines"/>
    <x v="0"/>
    <x v="21"/>
    <x v="4"/>
    <s v="-"/>
    <n v="76"/>
    <m/>
    <s v="oui"/>
    <m/>
    <n v="1"/>
    <n v="0.75"/>
    <n v="0.75"/>
  </r>
  <r>
    <d v="2019-01-04T00:00:00"/>
    <x v="1"/>
    <s v="TWS"/>
    <x v="0"/>
    <x v="3"/>
    <x v="4"/>
    <s v="-"/>
    <n v="90"/>
    <m/>
    <s v="oui"/>
    <m/>
    <n v="3"/>
    <n v="0.75"/>
    <n v="2.25"/>
  </r>
  <r>
    <d v="2019-01-04T00:00:00"/>
    <x v="1"/>
    <s v="TWS"/>
    <x v="0"/>
    <x v="3"/>
    <x v="4"/>
    <s v="-"/>
    <s v="NP72"/>
    <m/>
    <s v="oui"/>
    <m/>
    <n v="3"/>
    <n v="0.75"/>
    <n v="2.25"/>
  </r>
  <r>
    <d v="2019-01-04T00:00:00"/>
    <x v="1"/>
    <s v="TWS"/>
    <x v="0"/>
    <x v="3"/>
    <x v="4"/>
    <s v="-"/>
    <n v="310"/>
    <m/>
    <s v="oui"/>
    <m/>
    <n v="3"/>
    <n v="0.75"/>
    <n v="2.25"/>
  </r>
  <r>
    <d v="2019-01-04T00:00:00"/>
    <x v="1"/>
    <s v="TWS"/>
    <x v="0"/>
    <x v="2"/>
    <x v="4"/>
    <s v="supérieur"/>
    <n v="36"/>
    <m/>
    <s v="oui"/>
    <m/>
    <n v="4"/>
    <n v="0.75"/>
    <n v="3"/>
  </r>
  <r>
    <d v="2019-01-06T00:00:00"/>
    <x v="2"/>
    <s v="-"/>
    <x v="0"/>
    <x v="2"/>
    <x v="5"/>
    <s v="vrac"/>
    <n v="49"/>
    <m/>
    <s v="oui"/>
    <m/>
    <n v="3"/>
    <n v="0.75"/>
    <n v="2.25"/>
  </r>
  <r>
    <d v="2019-01-08T00:00:00"/>
    <x v="2"/>
    <s v="-"/>
    <x v="0"/>
    <x v="6"/>
    <x v="4"/>
    <s v="-"/>
    <s v="NP73"/>
    <m/>
    <s v="oui"/>
    <s v="ex 201"/>
    <n v="2"/>
    <n v="0.75"/>
    <n v="1.5"/>
  </r>
  <r>
    <d v="2019-01-08T00:00:00"/>
    <x v="21"/>
    <s v="Emilie Conraads"/>
    <x v="1"/>
    <x v="51"/>
    <x v="4"/>
    <s v="bouteille"/>
    <s v="-"/>
    <m/>
    <s v="oui"/>
    <m/>
    <n v="2"/>
    <n v="0.75"/>
    <n v="1.5"/>
  </r>
  <r>
    <d v="2019-01-08T00:00:00"/>
    <x v="66"/>
    <s v="Emilie Conraads"/>
    <x v="1"/>
    <x v="51"/>
    <x v="4"/>
    <s v="bouteille"/>
    <s v="-"/>
    <m/>
    <s v="oui"/>
    <m/>
    <n v="2"/>
    <n v="0.75"/>
    <n v="1.5"/>
  </r>
  <r>
    <d v="2019-01-08T00:00:00"/>
    <x v="66"/>
    <s v="Emilie Conraads"/>
    <x v="2"/>
    <x v="13"/>
    <x v="4"/>
    <s v="bouteille"/>
    <n v="116"/>
    <m/>
    <s v="oui"/>
    <m/>
    <n v="2"/>
    <n v="0.75"/>
    <n v="1.5"/>
  </r>
  <r>
    <d v="2019-01-08T00:00:00"/>
    <x v="5"/>
    <s v="-"/>
    <x v="0"/>
    <x v="1"/>
    <x v="4"/>
    <s v="Lot GCF"/>
    <n v="410"/>
    <m/>
    <s v="oui"/>
    <m/>
    <n v="4"/>
    <n v="0.75"/>
    <n v="3"/>
  </r>
  <r>
    <d v="2019-01-08T00:00:00"/>
    <x v="5"/>
    <s v="-"/>
    <x v="0"/>
    <x v="0"/>
    <x v="4"/>
    <s v="Variétal"/>
    <s v="-"/>
    <m/>
    <s v="oui"/>
    <m/>
    <n v="2"/>
    <n v="0.75"/>
    <n v="1.5"/>
  </r>
  <r>
    <d v="2019-01-08T00:00:00"/>
    <x v="5"/>
    <s v="-"/>
    <x v="1"/>
    <x v="8"/>
    <x v="4"/>
    <s v="Lot Cinsault"/>
    <n v="411"/>
    <m/>
    <s v="oui"/>
    <m/>
    <n v="2"/>
    <n v="0.75"/>
    <n v="1.5"/>
  </r>
  <r>
    <d v="2019-01-08T00:00:00"/>
    <x v="5"/>
    <s v="-"/>
    <x v="1"/>
    <x v="7"/>
    <x v="4"/>
    <s v="Lot GCF"/>
    <n v="418"/>
    <m/>
    <s v="oui"/>
    <m/>
    <n v="4"/>
    <n v="0.75"/>
    <n v="3"/>
  </r>
  <r>
    <d v="2019-01-08T00:00:00"/>
    <x v="5"/>
    <s v="-"/>
    <x v="1"/>
    <x v="19"/>
    <x v="4"/>
    <s v="-"/>
    <n v="203"/>
    <m/>
    <s v="oui"/>
    <m/>
    <n v="2"/>
    <n v="0.75"/>
    <n v="1.5"/>
  </r>
  <r>
    <d v="2019-01-09T00:00:00"/>
    <x v="15"/>
    <s v="René Jeanjean"/>
    <x v="0"/>
    <x v="3"/>
    <x v="4"/>
    <s v="-"/>
    <n v="306"/>
    <m/>
    <s v="oui"/>
    <s v="ex 14"/>
    <n v="1"/>
    <n v="0.75"/>
    <n v="0.75"/>
  </r>
  <r>
    <d v="2019-01-09T00:00:00"/>
    <x v="5"/>
    <s v="-"/>
    <x v="0"/>
    <x v="0"/>
    <x v="4"/>
    <s v="Variétal"/>
    <n v="199"/>
    <m/>
    <s v="oui"/>
    <m/>
    <n v="3"/>
    <n v="0.75"/>
    <n v="2.25"/>
  </r>
  <r>
    <d v="2019-01-09T00:00:00"/>
    <x v="5"/>
    <s v="-"/>
    <x v="1"/>
    <x v="8"/>
    <x v="4"/>
    <s v="Lot Cinsault"/>
    <n v="411"/>
    <m/>
    <s v="oui"/>
    <m/>
    <n v="3"/>
    <n v="0.75"/>
    <n v="2.25"/>
  </r>
  <r>
    <d v="2019-01-09T00:00:00"/>
    <x v="5"/>
    <s v="-"/>
    <x v="1"/>
    <x v="19"/>
    <x v="4"/>
    <s v="-"/>
    <n v="203"/>
    <m/>
    <s v="oui"/>
    <m/>
    <n v="3"/>
    <n v="0.75"/>
    <n v="2.25"/>
  </r>
  <r>
    <d v="2019-01-09T00:00:00"/>
    <x v="5"/>
    <s v="-"/>
    <x v="1"/>
    <x v="56"/>
    <x v="4"/>
    <s v="Style 3"/>
    <n v="406"/>
    <m/>
    <s v="oui"/>
    <m/>
    <n v="32"/>
    <n v="0.75"/>
    <n v="24"/>
  </r>
  <r>
    <d v="2019-01-09T00:00:00"/>
    <x v="5"/>
    <s v="-"/>
    <x v="0"/>
    <x v="6"/>
    <x v="4"/>
    <s v="Thau Blanc"/>
    <n v="78"/>
    <m/>
    <s v="oui"/>
    <m/>
    <n v="3"/>
    <n v="0.75"/>
    <n v="2.25"/>
  </r>
  <r>
    <d v="2019-01-10T00:00:00"/>
    <x v="21"/>
    <s v="Emilie Conraads"/>
    <x v="0"/>
    <x v="59"/>
    <x v="4"/>
    <s v="Terre et Mer Sec"/>
    <n v="21"/>
    <m/>
    <s v="oui"/>
    <m/>
    <n v="2"/>
    <n v="0.75"/>
    <n v="1.5"/>
  </r>
  <r>
    <d v="2019-01-15T00:00:00"/>
    <x v="15"/>
    <s v="René Jeanjean"/>
    <x v="0"/>
    <x v="3"/>
    <x v="4"/>
    <s v="-"/>
    <s v="NP72"/>
    <m/>
    <s v="oui"/>
    <s v="ex 14"/>
    <n v="2"/>
    <n v="0.75"/>
    <n v="1.5"/>
  </r>
  <r>
    <d v="2019-01-16T00:00:00"/>
    <x v="2"/>
    <s v="-"/>
    <x v="1"/>
    <x v="10"/>
    <x v="4"/>
    <s v="Lot 1"/>
    <n v="407"/>
    <m/>
    <s v="oui"/>
    <m/>
    <n v="1"/>
    <n v="0.75"/>
    <n v="0.75"/>
  </r>
  <r>
    <d v="2019-01-16T00:00:00"/>
    <x v="2"/>
    <s v="-"/>
    <x v="1"/>
    <x v="10"/>
    <x v="4"/>
    <s v="Lot 2"/>
    <n v="414"/>
    <m/>
    <s v="oui"/>
    <m/>
    <n v="1"/>
    <n v="0.75"/>
    <n v="0.75"/>
  </r>
  <r>
    <d v="2019-01-17T00:00:00"/>
    <x v="4"/>
    <s v="-"/>
    <x v="0"/>
    <x v="3"/>
    <x v="4"/>
    <s v="-"/>
    <n v="90"/>
    <m/>
    <s v="oui"/>
    <m/>
    <n v="2"/>
    <n v="0.75"/>
    <n v="1.5"/>
  </r>
  <r>
    <d v="2019-01-17T00:00:00"/>
    <x v="4"/>
    <s v="-"/>
    <x v="0"/>
    <x v="3"/>
    <x v="4"/>
    <s v="-"/>
    <n v="329"/>
    <m/>
    <s v="oui"/>
    <m/>
    <n v="2"/>
    <n v="0.75"/>
    <n v="1.5"/>
  </r>
  <r>
    <d v="2019-01-17T00:00:00"/>
    <x v="4"/>
    <s v="-"/>
    <x v="0"/>
    <x v="3"/>
    <x v="4"/>
    <s v="-"/>
    <n v="334"/>
    <m/>
    <s v="oui"/>
    <m/>
    <n v="2"/>
    <n v="0.75"/>
    <n v="1.5"/>
  </r>
  <r>
    <d v="2019-01-17T00:00:00"/>
    <x v="4"/>
    <s v="-"/>
    <x v="0"/>
    <x v="2"/>
    <x v="4"/>
    <s v="supérieur"/>
    <n v="14"/>
    <m/>
    <s v="oui"/>
    <m/>
    <n v="2"/>
    <n v="0.75"/>
    <n v="1.5"/>
  </r>
  <r>
    <d v="2019-01-17T00:00:00"/>
    <x v="4"/>
    <s v="-"/>
    <x v="0"/>
    <x v="2"/>
    <x v="4"/>
    <s v="variétal"/>
    <n v="52"/>
    <m/>
    <s v="oui"/>
    <m/>
    <n v="2"/>
    <n v="0.75"/>
    <n v="1.5"/>
  </r>
  <r>
    <d v="2019-01-17T00:00:00"/>
    <x v="4"/>
    <s v="-"/>
    <x v="2"/>
    <x v="7"/>
    <x v="4"/>
    <s v="Lot fruité"/>
    <s v="-"/>
    <m/>
    <s v="oui"/>
    <m/>
    <n v="2"/>
    <n v="0.75"/>
    <n v="1.5"/>
  </r>
  <r>
    <d v="2019-01-17T00:00:00"/>
    <x v="4"/>
    <s v="-"/>
    <x v="2"/>
    <x v="7"/>
    <x v="4"/>
    <s v="Lot structuré"/>
    <n v="422"/>
    <m/>
    <s v="oui"/>
    <m/>
    <n v="2"/>
    <n v="0.75"/>
    <n v="1.5"/>
  </r>
  <r>
    <d v="2019-01-17T00:00:00"/>
    <x v="4"/>
    <s v="-"/>
    <x v="2"/>
    <x v="13"/>
    <x v="4"/>
    <s v="Lot Cabernet"/>
    <s v="-"/>
    <m/>
    <s v="oui"/>
    <m/>
    <n v="2"/>
    <n v="0.75"/>
    <n v="1.5"/>
  </r>
  <r>
    <d v="2019-01-21T00:00:00"/>
    <x v="5"/>
    <s v="-"/>
    <x v="1"/>
    <x v="56"/>
    <x v="4"/>
    <s v="-"/>
    <n v="79"/>
    <m/>
    <s v="oui"/>
    <m/>
    <n v="6"/>
    <n v="0.75"/>
    <n v="4.5"/>
  </r>
  <r>
    <d v="2019-01-21T00:00:00"/>
    <x v="5"/>
    <s v="-"/>
    <x v="1"/>
    <x v="10"/>
    <x v="4"/>
    <s v="Lot 2"/>
    <n v="414"/>
    <m/>
    <s v="oui"/>
    <s v="Terre du Midi"/>
    <n v="18"/>
    <n v="0.75"/>
    <n v="13.5"/>
  </r>
  <r>
    <d v="2019-01-22T00:00:00"/>
    <x v="11"/>
    <s v="-"/>
    <x v="1"/>
    <x v="7"/>
    <x v="4"/>
    <s v="-"/>
    <n v="202"/>
    <m/>
    <s v="oui"/>
    <m/>
    <n v="2"/>
    <n v="0.75"/>
    <n v="1.5"/>
  </r>
  <r>
    <d v="2019-01-22T00:00:00"/>
    <x v="31"/>
    <s v="Jacques Woloviek"/>
    <x v="0"/>
    <x v="6"/>
    <x v="4"/>
    <s v="Lot Oc Blanc"/>
    <n v="409"/>
    <m/>
    <s v="oui"/>
    <m/>
    <n v="4"/>
    <n v="0.75"/>
    <n v="3"/>
  </r>
  <r>
    <d v="2019-01-22T00:00:00"/>
    <x v="1"/>
    <s v="JC Simon"/>
    <x v="0"/>
    <x v="0"/>
    <x v="4"/>
    <s v="variétal"/>
    <n v="413"/>
    <m/>
    <s v="oui"/>
    <m/>
    <n v="4"/>
    <n v="0.75"/>
    <n v="3"/>
  </r>
  <r>
    <d v="2019-01-22T00:00:00"/>
    <x v="1"/>
    <s v="JC Simon"/>
    <x v="2"/>
    <x v="5"/>
    <x v="4"/>
    <s v="-"/>
    <n v="129"/>
    <m/>
    <s v="oui"/>
    <m/>
    <n v="4"/>
    <n v="0.75"/>
    <n v="3"/>
  </r>
  <r>
    <d v="2019-01-22T00:00:00"/>
    <x v="1"/>
    <s v="JC Simon"/>
    <x v="0"/>
    <x v="3"/>
    <x v="4"/>
    <s v="-"/>
    <n v="334"/>
    <m/>
    <s v="oui"/>
    <m/>
    <n v="1"/>
    <n v="0.75"/>
    <n v="0.75"/>
  </r>
  <r>
    <d v="2019-01-29T00:00:00"/>
    <x v="1"/>
    <s v="TWS"/>
    <x v="0"/>
    <x v="2"/>
    <x v="4"/>
    <s v="variétal"/>
    <n v="52"/>
    <m/>
    <s v="oui"/>
    <m/>
    <n v="4"/>
    <n v="0.75"/>
    <n v="3"/>
  </r>
  <r>
    <d v="2019-01-29T00:00:00"/>
    <x v="5"/>
    <s v="-"/>
    <x v="1"/>
    <x v="10"/>
    <x v="4"/>
    <s v="Lot 2"/>
    <n v="414"/>
    <m/>
    <s v="oui"/>
    <m/>
    <n v="3"/>
    <n v="0.75"/>
    <n v="2.25"/>
  </r>
  <r>
    <d v="2019-02-05T00:00:00"/>
    <x v="43"/>
    <s v="-"/>
    <x v="2"/>
    <x v="13"/>
    <x v="4"/>
    <s v="vrac"/>
    <n v="415"/>
    <m/>
    <s v="oui"/>
    <m/>
    <n v="2"/>
    <n v="0.75"/>
    <n v="1.5"/>
  </r>
  <r>
    <d v="2019-02-05T00:00:00"/>
    <x v="43"/>
    <s v="-"/>
    <x v="2"/>
    <x v="7"/>
    <x v="4"/>
    <s v="Lot fruité"/>
    <n v="417"/>
    <m/>
    <s v="oui"/>
    <m/>
    <n v="2"/>
    <n v="0.75"/>
    <n v="1.5"/>
  </r>
  <r>
    <d v="2019-02-06T00:00:00"/>
    <x v="61"/>
    <s v="-"/>
    <x v="0"/>
    <x v="16"/>
    <x v="4"/>
    <s v="Lot 4000"/>
    <n v="15"/>
    <m/>
    <s v="oui"/>
    <m/>
    <n v="3"/>
    <n v="0.75"/>
    <n v="2.25"/>
  </r>
  <r>
    <d v="2019-02-06T00:00:00"/>
    <x v="61"/>
    <s v="-"/>
    <x v="0"/>
    <x v="16"/>
    <x v="4"/>
    <s v="Lot Thau"/>
    <n v="200"/>
    <m/>
    <s v="oui"/>
    <m/>
    <n v="1"/>
    <n v="0.75"/>
    <n v="0.75"/>
  </r>
  <r>
    <d v="2019-02-06T00:00:00"/>
    <x v="61"/>
    <s v="-"/>
    <x v="0"/>
    <x v="9"/>
    <x v="4"/>
    <s v="-"/>
    <n v="45"/>
    <m/>
    <s v="oui"/>
    <m/>
    <n v="1"/>
    <n v="0.75"/>
    <n v="0.75"/>
  </r>
  <r>
    <d v="2019-02-06T00:00:00"/>
    <x v="61"/>
    <s v="-"/>
    <x v="0"/>
    <x v="11"/>
    <x v="4"/>
    <s v="-"/>
    <n v="333"/>
    <m/>
    <s v="oui"/>
    <m/>
    <n v="1"/>
    <n v="0.75"/>
    <n v="0.75"/>
  </r>
  <r>
    <d v="2019-02-06T00:00:00"/>
    <x v="61"/>
    <s v="-"/>
    <x v="0"/>
    <x v="0"/>
    <x v="4"/>
    <s v="Variétal"/>
    <n v="10"/>
    <m/>
    <s v="oui"/>
    <m/>
    <n v="3"/>
    <n v="0.75"/>
    <n v="2.25"/>
  </r>
  <r>
    <d v="2019-02-11T00:00:00"/>
    <x v="2"/>
    <s v="-"/>
    <x v="0"/>
    <x v="9"/>
    <x v="4"/>
    <s v="-"/>
    <n v="45"/>
    <m/>
    <s v="oui"/>
    <m/>
    <n v="1"/>
    <n v="0.75"/>
    <n v="0.75"/>
  </r>
  <r>
    <d v="2019-02-11T00:00:00"/>
    <x v="3"/>
    <s v="-"/>
    <x v="0"/>
    <x v="60"/>
    <x v="4"/>
    <s v="-"/>
    <s v="-"/>
    <m/>
    <s v="oui"/>
    <s v="80% 15 + 20% 19"/>
    <n v="2"/>
    <n v="0.75"/>
    <n v="1.5"/>
  </r>
  <r>
    <d v="2019-02-12T00:00:00"/>
    <x v="4"/>
    <s v="-"/>
    <x v="0"/>
    <x v="2"/>
    <x v="4"/>
    <s v="variétal"/>
    <n v="52"/>
    <m/>
    <s v="oui"/>
    <m/>
    <n v="2"/>
    <n v="0.75"/>
    <n v="1.5"/>
  </r>
  <r>
    <d v="2019-02-12T00:00:00"/>
    <x v="4"/>
    <s v="-"/>
    <x v="0"/>
    <x v="2"/>
    <x v="4"/>
    <s v="supérieur"/>
    <n v="20"/>
    <m/>
    <s v="oui"/>
    <m/>
    <n v="2"/>
    <n v="0.75"/>
    <n v="1.5"/>
  </r>
  <r>
    <d v="2019-02-12T00:00:00"/>
    <x v="4"/>
    <s v="-"/>
    <x v="2"/>
    <x v="7"/>
    <x v="4"/>
    <s v="Lot fruité"/>
    <n v="418"/>
    <m/>
    <s v="oui"/>
    <m/>
    <n v="2"/>
    <n v="0.75"/>
    <n v="1.5"/>
  </r>
  <r>
    <d v="2019-02-12T00:00:00"/>
    <x v="4"/>
    <s v="-"/>
    <x v="2"/>
    <x v="7"/>
    <x v="4"/>
    <s v="Lot structuré"/>
    <n v="130"/>
    <m/>
    <s v="oui"/>
    <m/>
    <n v="2"/>
    <n v="0.75"/>
    <n v="1.5"/>
  </r>
  <r>
    <d v="2019-02-13T00:00:00"/>
    <x v="5"/>
    <s v="-"/>
    <x v="1"/>
    <x v="56"/>
    <x v="4"/>
    <s v="-"/>
    <n v="406"/>
    <m/>
    <s v="oui"/>
    <m/>
    <n v="1"/>
    <n v="0.75"/>
    <n v="0.75"/>
  </r>
  <r>
    <d v="2019-02-13T00:00:00"/>
    <x v="67"/>
    <s v="-"/>
    <x v="0"/>
    <x v="3"/>
    <x v="4"/>
    <s v="-"/>
    <n v="334"/>
    <m/>
    <s v="oui"/>
    <m/>
    <n v="1"/>
    <n v="0.75"/>
    <n v="0.75"/>
  </r>
  <r>
    <d v="2019-02-13T00:00:00"/>
    <x v="67"/>
    <s v="-"/>
    <x v="0"/>
    <x v="3"/>
    <x v="4"/>
    <s v="-"/>
    <n v="16"/>
    <m/>
    <s v="oui"/>
    <m/>
    <n v="1"/>
    <n v="0.75"/>
    <n v="0.75"/>
  </r>
  <r>
    <d v="2019-02-13T00:00:00"/>
    <x v="67"/>
    <s v="-"/>
    <x v="0"/>
    <x v="3"/>
    <x v="4"/>
    <s v="-"/>
    <n v="48"/>
    <m/>
    <s v="oui"/>
    <m/>
    <n v="1"/>
    <n v="0.75"/>
    <n v="0.75"/>
  </r>
  <r>
    <d v="2019-02-21T00:00:00"/>
    <x v="52"/>
    <s v="JC Simon"/>
    <x v="0"/>
    <x v="2"/>
    <x v="4"/>
    <s v="variétal"/>
    <n v="52"/>
    <m/>
    <s v="oui"/>
    <m/>
    <n v="2"/>
    <n v="0.75"/>
    <n v="1.5"/>
  </r>
  <r>
    <d v="2019-02-22T00:00:00"/>
    <x v="19"/>
    <s v="-"/>
    <x v="0"/>
    <x v="31"/>
    <x v="4"/>
    <s v="Lot Solis"/>
    <s v="-"/>
    <m/>
    <s v="oui"/>
    <m/>
    <n v="2"/>
    <n v="0.75"/>
    <n v="1.5"/>
  </r>
  <r>
    <d v="2019-02-25T00:00:00"/>
    <x v="2"/>
    <s v="-"/>
    <x v="0"/>
    <x v="9"/>
    <x v="4"/>
    <s v="-"/>
    <n v="45"/>
    <m/>
    <s v="oui"/>
    <m/>
    <n v="4"/>
    <n v="0.75"/>
    <n v="3"/>
  </r>
  <r>
    <d v="2019-02-25T00:00:00"/>
    <x v="1"/>
    <s v="TWS"/>
    <x v="0"/>
    <x v="2"/>
    <x v="4"/>
    <s v="supérieur"/>
    <n v="20"/>
    <m/>
    <s v="oui"/>
    <m/>
    <n v="4"/>
    <n v="0.75"/>
    <n v="3"/>
  </r>
  <r>
    <d v="2019-02-25T00:00:00"/>
    <x v="1"/>
    <s v="TWS"/>
    <x v="2"/>
    <x v="7"/>
    <x v="4"/>
    <s v="Lot fruité"/>
    <n v="417"/>
    <m/>
    <s v="oui"/>
    <m/>
    <n v="4"/>
    <n v="0.75"/>
    <n v="3"/>
  </r>
  <r>
    <d v="2019-02-25T00:00:00"/>
    <x v="1"/>
    <s v="TWS"/>
    <x v="2"/>
    <x v="7"/>
    <x v="4"/>
    <s v="Lot structuré"/>
    <n v="144"/>
    <m/>
    <s v="oui"/>
    <m/>
    <n v="4"/>
    <n v="0.75"/>
    <n v="3"/>
  </r>
  <r>
    <d v="2019-02-25T00:00:00"/>
    <x v="1"/>
    <s v="TWS"/>
    <x v="2"/>
    <x v="13"/>
    <x v="4"/>
    <s v="-"/>
    <n v="415"/>
    <m/>
    <s v="oui"/>
    <m/>
    <n v="4"/>
    <n v="0.75"/>
    <n v="3"/>
  </r>
  <r>
    <d v="2019-02-26T00:00:00"/>
    <x v="61"/>
    <s v="-"/>
    <x v="0"/>
    <x v="16"/>
    <x v="4"/>
    <s v="Lot 4000"/>
    <n v="15"/>
    <m/>
    <s v="oui"/>
    <m/>
    <n v="4"/>
    <n v="0.75"/>
    <n v="3"/>
  </r>
  <r>
    <d v="2019-02-28T00:00:00"/>
    <x v="9"/>
    <s v="Jacques Woloviek"/>
    <x v="1"/>
    <x v="13"/>
    <x v="4"/>
    <s v="-"/>
    <n v="13"/>
    <m/>
    <s v="oui"/>
    <m/>
    <n v="6"/>
    <n v="0.75"/>
    <n v="4.5"/>
  </r>
  <r>
    <d v="2019-03-01T00:00:00"/>
    <x v="1"/>
    <s v="Gilles Louvet"/>
    <x v="0"/>
    <x v="0"/>
    <x v="4"/>
    <s v="supérieur"/>
    <s v="Ag302"/>
    <m/>
    <s v="oui"/>
    <s v=" + 3 g/L Oenovia Affinage"/>
    <n v="3"/>
    <n v="0.75"/>
    <n v="2.25"/>
  </r>
  <r>
    <d v="2019-03-01T00:00:00"/>
    <x v="1"/>
    <s v="Gilles Louvet"/>
    <x v="0"/>
    <x v="0"/>
    <x v="4"/>
    <s v="supérieur"/>
    <s v="Ag302"/>
    <m/>
    <s v="oui"/>
    <s v=" + 5 g/L Oenovia Affinage"/>
    <n v="3"/>
    <n v="0.75"/>
    <n v="2.25"/>
  </r>
  <r>
    <d v="2019-03-01T00:00:00"/>
    <x v="1"/>
    <s v="Gilles Louvet"/>
    <x v="2"/>
    <x v="7"/>
    <x v="4"/>
    <s v="Lot fruité"/>
    <n v="417"/>
    <m/>
    <s v="oui"/>
    <m/>
    <n v="3"/>
    <n v="0.75"/>
    <n v="2.25"/>
  </r>
  <r>
    <d v="2019-03-01T00:00:00"/>
    <x v="1"/>
    <s v="Gilles Louvet"/>
    <x v="2"/>
    <x v="7"/>
    <x v="4"/>
    <s v="Lot structuré"/>
    <n v="144"/>
    <m/>
    <s v="oui"/>
    <m/>
    <n v="3"/>
    <n v="0.75"/>
    <n v="2.25"/>
  </r>
  <r>
    <d v="2019-03-01T00:00:00"/>
    <x v="1"/>
    <s v="Gilles Louvet"/>
    <x v="2"/>
    <x v="13"/>
    <x v="4"/>
    <s v="-"/>
    <n v="415"/>
    <m/>
    <s v="oui"/>
    <m/>
    <n v="3"/>
    <n v="0.75"/>
    <n v="2.25"/>
  </r>
  <r>
    <d v="2019-03-04T00:00:00"/>
    <x v="5"/>
    <s v="-"/>
    <x v="0"/>
    <x v="22"/>
    <x v="4"/>
    <s v="Thau Blanc"/>
    <n v="200"/>
    <m/>
    <s v="oui"/>
    <m/>
    <n v="5"/>
    <n v="0.75"/>
    <n v="3.75"/>
  </r>
  <r>
    <d v="2019-03-05T00:00:00"/>
    <x v="5"/>
    <s v="-"/>
    <x v="1"/>
    <x v="22"/>
    <x v="4"/>
    <s v="Lot 2"/>
    <n v="414"/>
    <m/>
    <s v="oui"/>
    <s v="Terre du Midi"/>
    <n v="3"/>
    <n v="0.75"/>
    <n v="2.25"/>
  </r>
  <r>
    <d v="2019-03-05T00:00:00"/>
    <x v="2"/>
    <s v="-"/>
    <x v="0"/>
    <x v="9"/>
    <x v="4"/>
    <s v="-"/>
    <n v="45"/>
    <m/>
    <s v="oui"/>
    <m/>
    <n v="2"/>
    <n v="0.75"/>
    <n v="1.5"/>
  </r>
  <r>
    <d v="2019-03-06T00:00:00"/>
    <x v="1"/>
    <s v="TWS"/>
    <x v="0"/>
    <x v="3"/>
    <x v="4"/>
    <s v="-"/>
    <n v="48"/>
    <m/>
    <s v="oui"/>
    <m/>
    <n v="3"/>
    <n v="0.75"/>
    <n v="2.25"/>
  </r>
  <r>
    <d v="2019-03-06T00:00:00"/>
    <x v="1"/>
    <s v="TWS"/>
    <x v="0"/>
    <x v="3"/>
    <x v="4"/>
    <s v="-"/>
    <n v="329"/>
    <m/>
    <s v="oui"/>
    <m/>
    <n v="3"/>
    <n v="0.75"/>
    <n v="2.25"/>
  </r>
  <r>
    <d v="2019-03-07T00:00:00"/>
    <x v="20"/>
    <s v="-"/>
    <x v="2"/>
    <x v="13"/>
    <x v="4"/>
    <s v="Bouteille"/>
    <s v="CF1"/>
    <m/>
    <s v="oui"/>
    <m/>
    <n v="6"/>
    <n v="0.75"/>
    <n v="4.5"/>
  </r>
  <r>
    <d v="2019-03-07T00:00:00"/>
    <x v="20"/>
    <s v="-"/>
    <x v="2"/>
    <x v="7"/>
    <x v="4"/>
    <s v="Bouteille"/>
    <s v="CF3"/>
    <m/>
    <s v="oui"/>
    <m/>
    <n v="6"/>
    <n v="0.75"/>
    <n v="4.5"/>
  </r>
  <r>
    <d v="2019-03-07T00:00:00"/>
    <x v="68"/>
    <s v="Claude Serra"/>
    <x v="0"/>
    <x v="0"/>
    <x v="4"/>
    <s v="variétal"/>
    <n v="10"/>
    <m/>
    <s v="oui"/>
    <m/>
    <n v="3"/>
    <n v="0.75"/>
    <n v="2.25"/>
  </r>
  <r>
    <d v="2019-03-11T00:00:00"/>
    <x v="3"/>
    <s v="-"/>
    <x v="0"/>
    <x v="60"/>
    <x v="4"/>
    <s v="-"/>
    <s v="-"/>
    <m/>
    <s v="oui"/>
    <s v="80% 15 + 20% 197"/>
    <n v="6"/>
    <n v="0.75"/>
    <n v="4.5"/>
  </r>
  <r>
    <d v="2019-03-12T00:00:00"/>
    <x v="4"/>
    <s v="-"/>
    <x v="0"/>
    <x v="1"/>
    <x v="4"/>
    <s v="supérieur"/>
    <n v="36"/>
    <m/>
    <s v="oui"/>
    <m/>
    <n v="2"/>
    <n v="0.75"/>
    <n v="1.5"/>
  </r>
  <r>
    <d v="2019-03-12T00:00:00"/>
    <x v="4"/>
    <s v="-"/>
    <x v="2"/>
    <x v="13"/>
    <x v="4"/>
    <s v="-"/>
    <n v="134"/>
    <m/>
    <s v="oui"/>
    <m/>
    <n v="2"/>
    <n v="0.75"/>
    <n v="1.5"/>
  </r>
  <r>
    <d v="2019-03-12T00:00:00"/>
    <x v="4"/>
    <s v="-"/>
    <x v="2"/>
    <x v="7"/>
    <x v="4"/>
    <s v="Lot fruité"/>
    <n v="148"/>
    <m/>
    <s v="oui"/>
    <m/>
    <n v="2"/>
    <n v="0.75"/>
    <n v="1.5"/>
  </r>
  <r>
    <d v="2019-03-12T00:00:00"/>
    <x v="4"/>
    <s v="-"/>
    <x v="2"/>
    <x v="7"/>
    <x v="4"/>
    <s v="Lot structuré"/>
    <n v="144"/>
    <m/>
    <s v="oui"/>
    <m/>
    <n v="2"/>
    <n v="0.75"/>
    <n v="1.5"/>
  </r>
  <r>
    <d v="2019-03-12T00:00:00"/>
    <x v="2"/>
    <s v="-"/>
    <x v="0"/>
    <x v="0"/>
    <x v="4"/>
    <s v="-"/>
    <n v="407"/>
    <m/>
    <s v="oui"/>
    <m/>
    <n v="2"/>
    <n v="0.75"/>
    <n v="1.5"/>
  </r>
  <r>
    <d v="2019-03-12T00:00:00"/>
    <x v="2"/>
    <s v="-"/>
    <x v="0"/>
    <x v="0"/>
    <x v="4"/>
    <s v="-"/>
    <n v="85"/>
    <m/>
    <s v="oui"/>
    <m/>
    <n v="2"/>
    <n v="0.75"/>
    <n v="1.5"/>
  </r>
  <r>
    <d v="2019-03-12T00:00:00"/>
    <x v="2"/>
    <s v="-"/>
    <x v="0"/>
    <x v="0"/>
    <x v="4"/>
    <s v="-"/>
    <s v="Ag128"/>
    <m/>
    <s v="oui"/>
    <m/>
    <n v="2"/>
    <n v="0.75"/>
    <n v="1.5"/>
  </r>
  <r>
    <d v="2019-03-19T00:00:00"/>
    <x v="68"/>
    <s v="Claude Serra"/>
    <x v="0"/>
    <x v="0"/>
    <x v="4"/>
    <s v="variétal"/>
    <n v="10"/>
    <m/>
    <s v="oui"/>
    <m/>
    <n v="6"/>
    <n v="0.75"/>
    <n v="4.5"/>
  </r>
  <r>
    <d v="2019-03-19T00:00:00"/>
    <x v="19"/>
    <s v="-"/>
    <x v="0"/>
    <x v="31"/>
    <x v="4"/>
    <s v="Lot 1"/>
    <s v="-"/>
    <m/>
    <s v="oui"/>
    <s v="2410 hl"/>
    <n v="1"/>
    <n v="0.75"/>
    <n v="0.75"/>
  </r>
  <r>
    <d v="2019-03-19T00:00:00"/>
    <x v="19"/>
    <s v="-"/>
    <x v="0"/>
    <x v="31"/>
    <x v="4"/>
    <s v="Lot 2"/>
    <s v="-"/>
    <m/>
    <s v="oui"/>
    <s v="1800 hl"/>
    <n v="1"/>
    <n v="0.75"/>
    <n v="0.75"/>
  </r>
  <r>
    <d v="2019-03-21T00:00:00"/>
    <x v="5"/>
    <s v="-"/>
    <x v="1"/>
    <x v="10"/>
    <x v="4"/>
    <s v="Lot 2"/>
    <n v="414"/>
    <m/>
    <s v="oui"/>
    <s v="Terre du Midi"/>
    <n v="4"/>
    <n v="0.75"/>
    <n v="3"/>
  </r>
  <r>
    <d v="2019-03-25T00:00:00"/>
    <x v="31"/>
    <s v="Jacques Woloviek"/>
    <x v="0"/>
    <x v="0"/>
    <x v="4"/>
    <s v="Petit degré"/>
    <n v="405"/>
    <m/>
    <s v="oui"/>
    <m/>
    <n v="4"/>
    <n v="0.75"/>
    <n v="3"/>
  </r>
  <r>
    <d v="2019-03-25T00:00:00"/>
    <x v="31"/>
    <s v="Jacques Woloviek"/>
    <x v="0"/>
    <x v="6"/>
    <x v="4"/>
    <s v="Oc Blanc"/>
    <n v="408"/>
    <m/>
    <s v="oui"/>
    <m/>
    <n v="10"/>
    <n v="0.75"/>
    <n v="7.5"/>
  </r>
  <r>
    <d v="2019-03-25T00:00:00"/>
    <x v="31"/>
    <s v="Jacques Woloviek"/>
    <x v="0"/>
    <x v="0"/>
    <x v="4"/>
    <s v="Lot ADVINI"/>
    <s v="-"/>
    <m/>
    <s v="oui"/>
    <s v="40% Ag301 + 60% 10"/>
    <n v="3"/>
    <n v="0.75"/>
    <n v="2.25"/>
  </r>
  <r>
    <d v="2019-03-25T00:00:00"/>
    <x v="31"/>
    <s v="Jacques Woloviek"/>
    <x v="1"/>
    <x v="19"/>
    <x v="4"/>
    <s v="-"/>
    <n v="313"/>
    <m/>
    <s v="oui"/>
    <m/>
    <n v="3"/>
    <n v="0.75"/>
    <n v="2.25"/>
  </r>
  <r>
    <d v="2019-03-25T00:00:00"/>
    <x v="1"/>
    <s v="TWS"/>
    <x v="0"/>
    <x v="3"/>
    <x v="4"/>
    <s v="-"/>
    <n v="48"/>
    <m/>
    <s v="oui"/>
    <m/>
    <n v="3"/>
    <n v="0.75"/>
    <n v="2.25"/>
  </r>
  <r>
    <d v="2019-03-25T00:00:00"/>
    <x v="1"/>
    <s v="TWS"/>
    <x v="0"/>
    <x v="3"/>
    <x v="4"/>
    <s v="-"/>
    <n v="334"/>
    <m/>
    <s v="oui"/>
    <m/>
    <n v="3"/>
    <n v="0.75"/>
    <n v="2.25"/>
  </r>
  <r>
    <d v="2019-03-25T00:00:00"/>
    <x v="1"/>
    <s v="TWS"/>
    <x v="0"/>
    <x v="3"/>
    <x v="4"/>
    <s v="-"/>
    <s v="NP68"/>
    <m/>
    <s v="oui"/>
    <m/>
    <n v="3"/>
    <n v="0.75"/>
    <n v="2.25"/>
  </r>
  <r>
    <d v="2019-03-26T00:00:00"/>
    <x v="44"/>
    <s v="San Nicolas"/>
    <x v="1"/>
    <x v="10"/>
    <x v="4"/>
    <s v="Lot 4"/>
    <n v="330"/>
    <m/>
    <s v="oui"/>
    <s v="Hérault Rosé"/>
    <n v="3"/>
    <n v="0.75"/>
    <n v="2.25"/>
  </r>
  <r>
    <d v="2019-03-26T00:00:00"/>
    <x v="44"/>
    <s v="San Nicolas"/>
    <x v="1"/>
    <x v="10"/>
    <x v="4"/>
    <s v="Lot 1"/>
    <n v="416"/>
    <m/>
    <s v="oui"/>
    <s v="Oc Rosé"/>
    <n v="3"/>
    <n v="0.75"/>
    <n v="2.25"/>
  </r>
  <r>
    <d v="2019-03-26T00:00:00"/>
    <x v="1"/>
    <s v="San Nicolas"/>
    <x v="2"/>
    <x v="7"/>
    <x v="4"/>
    <s v="Lot fruité"/>
    <n v="148"/>
    <m/>
    <s v="oui"/>
    <m/>
    <n v="1"/>
    <n v="0.75"/>
    <n v="0.75"/>
  </r>
  <r>
    <d v="2019-03-26T00:00:00"/>
    <x v="1"/>
    <s v="San Nicolas"/>
    <x v="2"/>
    <x v="7"/>
    <x v="4"/>
    <s v="Lot structuré"/>
    <n v="149"/>
    <m/>
    <s v="oui"/>
    <m/>
    <n v="1"/>
    <n v="0.75"/>
    <n v="0.75"/>
  </r>
  <r>
    <d v="2019-04-04T00:00:00"/>
    <x v="2"/>
    <s v="-"/>
    <x v="0"/>
    <x v="9"/>
    <x v="4"/>
    <s v="-"/>
    <n v="45"/>
    <m/>
    <s v="oui"/>
    <m/>
    <n v="2"/>
    <n v="0.75"/>
    <n v="1.5"/>
  </r>
  <r>
    <d v="2019-04-05T00:00:00"/>
    <x v="69"/>
    <s v="-"/>
    <x v="0"/>
    <x v="0"/>
    <x v="4"/>
    <s v="-"/>
    <s v="-"/>
    <m/>
    <s v="oui"/>
    <s v="Lot Solis 3"/>
    <n v="3"/>
    <n v="0.75"/>
    <n v="2.25"/>
  </r>
  <r>
    <d v="2019-04-05T00:00:00"/>
    <x v="69"/>
    <s v="-"/>
    <x v="2"/>
    <x v="7"/>
    <x v="4"/>
    <s v="Lot fruité"/>
    <n v="148"/>
    <m/>
    <s v="oui"/>
    <m/>
    <n v="3"/>
    <n v="0.75"/>
    <n v="2.25"/>
  </r>
  <r>
    <d v="2019-04-05T00:00:00"/>
    <x v="69"/>
    <s v="-"/>
    <x v="2"/>
    <x v="7"/>
    <x v="4"/>
    <s v="Lot structuré"/>
    <n v="130"/>
    <m/>
    <s v="oui"/>
    <m/>
    <n v="3"/>
    <n v="0.75"/>
    <n v="2.25"/>
  </r>
  <r>
    <d v="2019-04-10T00:00:00"/>
    <x v="54"/>
    <s v="Murphy winecompany"/>
    <x v="0"/>
    <x v="0"/>
    <x v="4"/>
    <s v="Petit degré"/>
    <n v="22"/>
    <m/>
    <s v="oui"/>
    <m/>
    <n v="2"/>
    <n v="0.75"/>
    <n v="1.5"/>
  </r>
  <r>
    <d v="2019-04-10T00:00:00"/>
    <x v="54"/>
    <s v="Murphy winecompany"/>
    <x v="1"/>
    <x v="22"/>
    <x v="4"/>
    <s v="Lot 2"/>
    <n v="332"/>
    <m/>
    <s v="oui"/>
    <m/>
    <n v="2"/>
    <n v="0.75"/>
    <n v="1.5"/>
  </r>
  <r>
    <d v="2019-04-10T00:00:00"/>
    <x v="1"/>
    <s v="JC Simon"/>
    <x v="2"/>
    <x v="7"/>
    <x v="4"/>
    <s v="Lot fruité"/>
    <n v="148"/>
    <m/>
    <s v="oui"/>
    <m/>
    <n v="3"/>
    <n v="0.75"/>
    <n v="2.25"/>
  </r>
  <r>
    <d v="2019-04-10T00:00:00"/>
    <x v="4"/>
    <s v="-"/>
    <x v="0"/>
    <x v="0"/>
    <x v="4"/>
    <s v="-"/>
    <s v="-"/>
    <m/>
    <s v="oui"/>
    <s v="30% 324 + 70% 407"/>
    <n v="2"/>
    <n v="0.75"/>
    <n v="1.5"/>
  </r>
  <r>
    <d v="2019-04-10T00:00:00"/>
    <x v="4"/>
    <s v="-"/>
    <x v="0"/>
    <x v="1"/>
    <x v="4"/>
    <s v="Variétal"/>
    <n v="314"/>
    <m/>
    <s v="oui"/>
    <m/>
    <n v="2"/>
    <n v="0.75"/>
    <n v="1.5"/>
  </r>
  <r>
    <d v="2019-04-10T00:00:00"/>
    <x v="4"/>
    <s v="-"/>
    <x v="2"/>
    <x v="7"/>
    <x v="4"/>
    <s v="Lot fruité"/>
    <n v="148"/>
    <m/>
    <s v="oui"/>
    <m/>
    <n v="2"/>
    <n v="0.75"/>
    <n v="1.5"/>
  </r>
  <r>
    <d v="2019-04-10T00:00:00"/>
    <x v="4"/>
    <s v="-"/>
    <x v="2"/>
    <x v="7"/>
    <x v="4"/>
    <s v="Lot structuré"/>
    <n v="149"/>
    <m/>
    <s v="oui"/>
    <m/>
    <n v="2"/>
    <n v="0.75"/>
    <n v="1.5"/>
  </r>
  <r>
    <d v="2019-04-16T00:00:00"/>
    <x v="3"/>
    <s v="-"/>
    <x v="0"/>
    <x v="1"/>
    <x v="4"/>
    <s v="Variétal"/>
    <n v="331"/>
    <m/>
    <s v="oui"/>
    <m/>
    <n v="4"/>
    <n v="0.75"/>
    <n v="3"/>
  </r>
  <r>
    <d v="2019-04-16T00:00:00"/>
    <x v="3"/>
    <s v="-"/>
    <x v="0"/>
    <x v="1"/>
    <x v="4"/>
    <s v="Supérieur"/>
    <n v="406"/>
    <m/>
    <s v="oui"/>
    <m/>
    <n v="4"/>
    <n v="0.75"/>
    <n v="3"/>
  </r>
  <r>
    <d v="2019-04-16T00:00:00"/>
    <x v="3"/>
    <s v="-"/>
    <x v="0"/>
    <x v="0"/>
    <x v="4"/>
    <s v="Variétal"/>
    <n v="80"/>
    <m/>
    <s v="oui"/>
    <m/>
    <n v="4"/>
    <n v="0.75"/>
    <n v="3"/>
  </r>
  <r>
    <d v="2019-04-16T00:00:00"/>
    <x v="3"/>
    <s v="-"/>
    <x v="0"/>
    <x v="3"/>
    <x v="4"/>
    <s v="variétal"/>
    <s v="NP70"/>
    <m/>
    <s v="oui"/>
    <m/>
    <n v="4"/>
    <n v="0.75"/>
    <n v="3"/>
  </r>
  <r>
    <d v="2019-04-24T00:00:00"/>
    <x v="46"/>
    <s v="-"/>
    <x v="0"/>
    <x v="6"/>
    <x v="4"/>
    <s v="Lot Oc Blanc"/>
    <n v="19"/>
    <m/>
    <s v="oui"/>
    <m/>
    <n v="1"/>
    <n v="0.75"/>
    <n v="0.75"/>
  </r>
  <r>
    <d v="2019-04-30T00:00:00"/>
    <x v="3"/>
    <s v="-"/>
    <x v="0"/>
    <x v="0"/>
    <x v="4"/>
    <s v="Lot Solis"/>
    <s v="-"/>
    <m/>
    <s v="oui"/>
    <m/>
    <n v="1"/>
    <n v="10"/>
    <n v="10"/>
  </r>
  <r>
    <d v="2019-04-30T00:00:00"/>
    <x v="5"/>
    <s v="-"/>
    <x v="2"/>
    <x v="7"/>
    <x v="4"/>
    <s v="Lot fruité"/>
    <n v="417"/>
    <m/>
    <s v="oui"/>
    <m/>
    <n v="1"/>
    <n v="0.75"/>
    <n v="0.75"/>
  </r>
  <r>
    <d v="2019-04-30T00:00:00"/>
    <x v="5"/>
    <s v="-"/>
    <x v="2"/>
    <x v="7"/>
    <x v="4"/>
    <s v="Lot structuré"/>
    <n v="130"/>
    <m/>
    <s v="oui"/>
    <m/>
    <n v="1"/>
    <n v="0.75"/>
    <n v="0.75"/>
  </r>
  <r>
    <d v="2019-05-20T00:00:00"/>
    <x v="46"/>
    <s v="-"/>
    <x v="2"/>
    <x v="5"/>
    <x v="4"/>
    <s v="-"/>
    <n v="129"/>
    <m/>
    <s v="oui"/>
    <m/>
    <n v="2"/>
    <n v="0.75"/>
    <n v="1.5"/>
  </r>
  <r>
    <d v="2019-05-20T00:00:00"/>
    <x v="46"/>
    <s v="-"/>
    <x v="2"/>
    <x v="5"/>
    <x v="3"/>
    <s v="124+126"/>
    <s v="-"/>
    <m/>
    <s v="oui"/>
    <m/>
    <n v="2"/>
    <n v="0.75"/>
    <n v="1.5"/>
  </r>
  <r>
    <d v="2019-05-21T00:00:00"/>
    <x v="61"/>
    <s v="-"/>
    <x v="0"/>
    <x v="6"/>
    <x v="4"/>
    <s v="Lot Oc Blanc"/>
    <n v="16"/>
    <m/>
    <s v="oui"/>
    <m/>
    <n v="3"/>
    <n v="0.75"/>
    <n v="2.25"/>
  </r>
  <r>
    <d v="2019-05-21T00:00:00"/>
    <x v="61"/>
    <s v="-"/>
    <x v="0"/>
    <x v="0"/>
    <x v="4"/>
    <s v="variétal"/>
    <n v="412"/>
    <m/>
    <s v="oui"/>
    <m/>
    <n v="3"/>
    <n v="0.75"/>
    <n v="2.25"/>
  </r>
  <r>
    <d v="2019-05-21T00:00:00"/>
    <x v="11"/>
    <s v="-"/>
    <x v="0"/>
    <x v="0"/>
    <x v="4"/>
    <s v="supérieur"/>
    <s v="Ag302"/>
    <m/>
    <s v="oui"/>
    <m/>
    <n v="1"/>
    <n v="0.75"/>
    <n v="0.75"/>
  </r>
  <r>
    <d v="2019-05-21T00:00:00"/>
    <x v="11"/>
    <s v="-"/>
    <x v="0"/>
    <x v="6"/>
    <x v="4"/>
    <s v="Lot Oc Blanc"/>
    <n v="16"/>
    <m/>
    <s v="oui"/>
    <m/>
    <n v="1"/>
    <n v="0.75"/>
    <n v="0.75"/>
  </r>
  <r>
    <d v="2019-05-21T00:00:00"/>
    <x v="11"/>
    <s v="-"/>
    <x v="1"/>
    <x v="7"/>
    <x v="4"/>
    <s v="Lot Merlot 202"/>
    <n v="202"/>
    <m/>
    <s v="oui"/>
    <m/>
    <n v="1"/>
    <n v="0.75"/>
    <n v="0.75"/>
  </r>
  <r>
    <d v="2019-05-21T00:00:00"/>
    <x v="11"/>
    <s v="-"/>
    <x v="0"/>
    <x v="1"/>
    <x v="4"/>
    <s v="classique"/>
    <n v="333"/>
    <m/>
    <s v="oui"/>
    <s v="Nommé variétal pour Skalli"/>
    <n v="1"/>
    <n v="0.75"/>
    <n v="0.75"/>
  </r>
  <r>
    <d v="2019-05-22T00:00:00"/>
    <x v="53"/>
    <s v="SP Wines"/>
    <x v="0"/>
    <x v="21"/>
    <x v="4"/>
    <s v="-"/>
    <n v="49"/>
    <m/>
    <s v="oui"/>
    <s v="ex 76"/>
    <n v="2"/>
    <n v="0.75"/>
    <n v="1.5"/>
  </r>
  <r>
    <d v="2019-05-24T00:00:00"/>
    <x v="44"/>
    <s v="San Nicolas"/>
    <x v="1"/>
    <x v="38"/>
    <x v="4"/>
    <s v="Lot 1"/>
    <n v="416"/>
    <m/>
    <s v="oui"/>
    <m/>
    <n v="2"/>
    <n v="0.75"/>
    <n v="1.5"/>
  </r>
  <r>
    <d v="2019-05-24T00:00:00"/>
    <x v="44"/>
    <s v="San Nicolas"/>
    <x v="1"/>
    <x v="40"/>
    <x v="4"/>
    <s v="Lot 4"/>
    <n v="81"/>
    <m/>
    <s v="oui"/>
    <m/>
    <n v="2"/>
    <n v="0.75"/>
    <n v="1.5"/>
  </r>
  <r>
    <d v="2019-05-27T00:00:00"/>
    <x v="3"/>
    <s v="-"/>
    <x v="0"/>
    <x v="0"/>
    <x v="4"/>
    <s v="supérieur"/>
    <s v="Ag302"/>
    <m/>
    <s v="oui"/>
    <m/>
    <n v="6"/>
    <n v="0.75"/>
    <n v="4.5"/>
  </r>
  <r>
    <d v="2019-05-27T00:00:00"/>
    <x v="3"/>
    <s v="-"/>
    <x v="0"/>
    <x v="0"/>
    <x v="4"/>
    <s v="Lot 1500"/>
    <n v="206"/>
    <m/>
    <s v="oui"/>
    <m/>
    <n v="6"/>
    <n v="0.75"/>
    <n v="4.5"/>
  </r>
  <r>
    <d v="2019-06-07T00:00:00"/>
    <x v="2"/>
    <s v="-"/>
    <x v="2"/>
    <x v="7"/>
    <x v="4"/>
    <s v="Lot fruité"/>
    <n v="144"/>
    <m/>
    <s v="oui"/>
    <m/>
    <n v="2"/>
    <n v="0.75"/>
    <n v="1.5"/>
  </r>
  <r>
    <d v="2019-06-07T00:00:00"/>
    <x v="2"/>
    <s v="-"/>
    <x v="2"/>
    <x v="7"/>
    <x v="4"/>
    <s v="Lot structuré"/>
    <n v="130"/>
    <m/>
    <s v="oui"/>
    <m/>
    <n v="2"/>
    <n v="0.75"/>
    <n v="1.5"/>
  </r>
  <r>
    <d v="2019-06-13T00:00:00"/>
    <x v="4"/>
    <s v="-"/>
    <x v="0"/>
    <x v="2"/>
    <x v="4"/>
    <s v="Bouteille"/>
    <n v="40"/>
    <m/>
    <s v="oui"/>
    <m/>
    <n v="2"/>
    <n v="0.75"/>
    <n v="1.5"/>
  </r>
  <r>
    <d v="2019-06-13T00:00:00"/>
    <x v="4"/>
    <s v="-"/>
    <x v="0"/>
    <x v="2"/>
    <x v="4"/>
    <s v="variétal"/>
    <n v="52"/>
    <m/>
    <s v="oui"/>
    <m/>
    <n v="2"/>
    <n v="0.75"/>
    <n v="1.5"/>
  </r>
  <r>
    <d v="2019-06-13T00:00:00"/>
    <x v="61"/>
    <s v="-"/>
    <x v="0"/>
    <x v="0"/>
    <x v="4"/>
    <s v="variétal"/>
    <n v="85"/>
    <m/>
    <s v="oui"/>
    <m/>
    <n v="2"/>
    <n v="0.75"/>
    <n v="1.5"/>
  </r>
  <r>
    <d v="2019-06-19T00:00:00"/>
    <x v="61"/>
    <s v="-"/>
    <x v="0"/>
    <x v="0"/>
    <x v="4"/>
    <s v="variétal"/>
    <n v="330"/>
    <m/>
    <s v="oui"/>
    <m/>
    <n v="2"/>
    <n v="0.75"/>
    <n v="1.5"/>
  </r>
  <r>
    <d v="2019-06-19T00:00:00"/>
    <x v="2"/>
    <s v="-"/>
    <x v="0"/>
    <x v="9"/>
    <x v="4"/>
    <s v="-"/>
    <n v="45"/>
    <m/>
    <s v="oui"/>
    <m/>
    <n v="4"/>
    <n v="0.75"/>
    <n v="3"/>
  </r>
  <r>
    <d v="2019-06-19T00:00:00"/>
    <x v="70"/>
    <s v="JC Simon"/>
    <x v="2"/>
    <x v="7"/>
    <x v="4"/>
    <s v="Lot structuré"/>
    <n v="149"/>
    <m/>
    <s v="oui"/>
    <m/>
    <n v="2"/>
    <n v="0.75"/>
    <n v="1.5"/>
  </r>
  <r>
    <d v="2019-07-17T00:00:00"/>
    <x v="9"/>
    <s v="Jacques Woloviek"/>
    <x v="0"/>
    <x v="0"/>
    <x v="4"/>
    <s v="supérieur"/>
    <s v="Ag305"/>
    <m/>
    <s v="oui"/>
    <m/>
    <n v="3"/>
    <n v="0.75"/>
    <n v="2.25"/>
  </r>
  <r>
    <d v="2019-07-17T00:00:00"/>
    <x v="9"/>
    <s v="Jacques Woloviek"/>
    <x v="0"/>
    <x v="0"/>
    <x v="4"/>
    <s v="Variétal"/>
    <n v="324"/>
    <m/>
    <s v="oui"/>
    <m/>
    <n v="3"/>
    <n v="0.75"/>
    <n v="2.25"/>
  </r>
  <r>
    <d v="2019-07-22T00:00:00"/>
    <x v="5"/>
    <s v="-"/>
    <x v="1"/>
    <x v="22"/>
    <x v="4"/>
    <s v="Cap d'Agde"/>
    <n v="14"/>
    <m/>
    <s v="oui"/>
    <m/>
    <n v="1"/>
    <n v="0.75"/>
    <n v="0.75"/>
  </r>
  <r>
    <d v="2019-07-24T00:00:00"/>
    <x v="12"/>
    <s v="René Jeanjean"/>
    <x v="0"/>
    <x v="0"/>
    <x v="4"/>
    <s v="supérieur"/>
    <s v="Ag150"/>
    <m/>
    <s v="oui"/>
    <m/>
    <n v="2"/>
    <n v="0.75"/>
    <n v="1.5"/>
  </r>
  <r>
    <d v="2019-08-07T00:00:00"/>
    <x v="71"/>
    <s v="-"/>
    <x v="2"/>
    <x v="7"/>
    <x v="4"/>
    <s v="structuré"/>
    <n v="152"/>
    <m/>
    <s v="oui"/>
    <m/>
    <n v="2"/>
    <n v="0.75"/>
    <n v="1.5"/>
  </r>
  <r>
    <d v="2019-08-07T00:00:00"/>
    <x v="61"/>
    <s v="-"/>
    <x v="0"/>
    <x v="0"/>
    <x v="4"/>
    <s v="Variétal"/>
    <n v="77"/>
    <m/>
    <s v="oui"/>
    <m/>
    <n v="2"/>
    <n v="0.75"/>
    <n v="1.5"/>
  </r>
  <r>
    <d v="2019-10-09T00:00:00"/>
    <x v="43"/>
    <s v="Vailhere Pascal"/>
    <x v="1"/>
    <x v="7"/>
    <x v="5"/>
    <s v="-"/>
    <n v="199"/>
    <m/>
    <s v="oui"/>
    <m/>
    <n v="2"/>
    <n v="0.75"/>
    <n v="1.5"/>
  </r>
  <r>
    <d v="2019-10-09T00:00:00"/>
    <x v="1"/>
    <s v="Gilles Lambert"/>
    <x v="0"/>
    <x v="0"/>
    <x v="5"/>
    <s v="variétal"/>
    <s v="-"/>
    <m/>
    <s v="oui"/>
    <m/>
    <n v="1"/>
    <n v="0.75"/>
    <n v="0.75"/>
  </r>
  <r>
    <d v="2019-10-09T00:00:00"/>
    <x v="1"/>
    <s v="Gilles Lambert"/>
    <x v="0"/>
    <x v="0"/>
    <x v="5"/>
    <s v="supérieur"/>
    <s v="-"/>
    <m/>
    <s v="oui"/>
    <m/>
    <n v="1"/>
    <n v="0.75"/>
    <n v="0.75"/>
  </r>
  <r>
    <d v="2019-10-10T00:00:00"/>
    <x v="2"/>
    <s v="-"/>
    <x v="0"/>
    <x v="1"/>
    <x v="5"/>
    <s v="classique"/>
    <s v="-"/>
    <m/>
    <s v="oui"/>
    <m/>
    <n v="2"/>
    <n v="0.75"/>
    <n v="1.5"/>
  </r>
  <r>
    <d v="2019-10-10T00:00:00"/>
    <x v="2"/>
    <s v="-"/>
    <x v="0"/>
    <x v="1"/>
    <x v="5"/>
    <s v="variétal"/>
    <s v="-"/>
    <m/>
    <s v="oui"/>
    <m/>
    <n v="2"/>
    <n v="0.75"/>
    <n v="1.5"/>
  </r>
  <r>
    <d v="2019-10-10T00:00:00"/>
    <x v="2"/>
    <s v="-"/>
    <x v="0"/>
    <x v="1"/>
    <x v="5"/>
    <s v="supérieur"/>
    <s v="-"/>
    <m/>
    <s v="oui"/>
    <m/>
    <n v="2"/>
    <n v="0.75"/>
    <n v="1.5"/>
  </r>
  <r>
    <d v="2019-10-14T00:00:00"/>
    <x v="2"/>
    <s v="-"/>
    <x v="0"/>
    <x v="0"/>
    <x v="5"/>
    <s v="classique"/>
    <s v="-"/>
    <m/>
    <s v="oui"/>
    <m/>
    <n v="4"/>
    <n v="0.75"/>
    <n v="3"/>
  </r>
  <r>
    <d v="2019-10-14T00:00:00"/>
    <x v="2"/>
    <s v="-"/>
    <x v="0"/>
    <x v="0"/>
    <x v="5"/>
    <s v="variétal"/>
    <s v="-"/>
    <m/>
    <s v="oui"/>
    <m/>
    <n v="4"/>
    <n v="0.75"/>
    <n v="3"/>
  </r>
  <r>
    <d v="2019-10-14T00:00:00"/>
    <x v="2"/>
    <s v="-"/>
    <x v="0"/>
    <x v="0"/>
    <x v="5"/>
    <s v="supérieur"/>
    <s v="-"/>
    <m/>
    <s v="oui"/>
    <m/>
    <n v="4"/>
    <n v="0.75"/>
    <n v="3"/>
  </r>
  <r>
    <d v="2019-10-14T00:00:00"/>
    <x v="2"/>
    <s v="-"/>
    <x v="0"/>
    <x v="1"/>
    <x v="5"/>
    <s v="supérieur"/>
    <s v="-"/>
    <m/>
    <s v="oui"/>
    <m/>
    <n v="4"/>
    <n v="0.75"/>
    <n v="3"/>
  </r>
  <r>
    <d v="2019-10-14T00:00:00"/>
    <x v="2"/>
    <s v="-"/>
    <x v="0"/>
    <x v="1"/>
    <x v="5"/>
    <s v="classique"/>
    <s v="-"/>
    <m/>
    <s v="oui"/>
    <m/>
    <n v="4"/>
    <n v="0.75"/>
    <n v="3"/>
  </r>
  <r>
    <d v="2019-10-14T00:00:00"/>
    <x v="2"/>
    <s v="-"/>
    <x v="0"/>
    <x v="1"/>
    <x v="5"/>
    <s v="variétal"/>
    <s v="-"/>
    <m/>
    <s v="oui"/>
    <m/>
    <n v="4"/>
    <n v="0.75"/>
    <n v="3"/>
  </r>
  <r>
    <d v="2019-10-14T00:00:00"/>
    <x v="1"/>
    <s v="San Nicolas"/>
    <x v="0"/>
    <x v="0"/>
    <x v="5"/>
    <s v="classique"/>
    <s v="-"/>
    <m/>
    <s v="oui"/>
    <m/>
    <n v="3"/>
    <n v="0.75"/>
    <n v="2.25"/>
  </r>
  <r>
    <d v="2019-10-14T00:00:00"/>
    <x v="1"/>
    <s v="San Nicolas"/>
    <x v="0"/>
    <x v="0"/>
    <x v="5"/>
    <s v="variétal"/>
    <s v="-"/>
    <m/>
    <s v="oui"/>
    <m/>
    <n v="3"/>
    <n v="0.75"/>
    <n v="2.25"/>
  </r>
  <r>
    <d v="2019-10-14T00:00:00"/>
    <x v="1"/>
    <s v="San Nicolas"/>
    <x v="0"/>
    <x v="0"/>
    <x v="5"/>
    <s v="supérieur"/>
    <s v="-"/>
    <m/>
    <s v="oui"/>
    <m/>
    <n v="3"/>
    <n v="0.75"/>
    <n v="2.25"/>
  </r>
  <r>
    <d v="2019-10-14T00:00:00"/>
    <x v="1"/>
    <s v="San Nicolas"/>
    <x v="0"/>
    <x v="1"/>
    <x v="5"/>
    <s v="supérieur"/>
    <s v="-"/>
    <m/>
    <s v="oui"/>
    <m/>
    <n v="3"/>
    <n v="0.75"/>
    <n v="2.25"/>
  </r>
  <r>
    <d v="2019-10-14T00:00:00"/>
    <x v="1"/>
    <s v="San Nicolas"/>
    <x v="0"/>
    <x v="1"/>
    <x v="5"/>
    <s v="classique"/>
    <s v="-"/>
    <m/>
    <s v="oui"/>
    <m/>
    <n v="3"/>
    <n v="0.75"/>
    <n v="2.25"/>
  </r>
  <r>
    <d v="2019-10-14T00:00:00"/>
    <x v="1"/>
    <s v="San Nicolas"/>
    <x v="0"/>
    <x v="1"/>
    <x v="5"/>
    <s v="variétal"/>
    <s v="-"/>
    <m/>
    <s v="oui"/>
    <m/>
    <n v="3"/>
    <n v="0.75"/>
    <n v="2.25"/>
  </r>
  <r>
    <d v="2019-10-14T00:00:00"/>
    <x v="2"/>
    <s v="-"/>
    <x v="0"/>
    <x v="6"/>
    <x v="5"/>
    <s v="-"/>
    <n v="198"/>
    <m/>
    <s v="oui"/>
    <m/>
    <n v="2"/>
    <n v="0.75"/>
    <n v="1.5"/>
  </r>
  <r>
    <d v="2019-10-14T00:00:00"/>
    <x v="2"/>
    <s v="-"/>
    <x v="0"/>
    <x v="6"/>
    <x v="5"/>
    <s v="-"/>
    <n v="197"/>
    <m/>
    <s v="oui"/>
    <m/>
    <n v="2"/>
    <n v="0.75"/>
    <n v="1.5"/>
  </r>
  <r>
    <d v="2019-10-14T00:00:00"/>
    <x v="72"/>
    <s v="-"/>
    <x v="0"/>
    <x v="0"/>
    <x v="5"/>
    <s v="classique"/>
    <s v="-"/>
    <m/>
    <s v="oui"/>
    <m/>
    <n v="4"/>
    <n v="0.75"/>
    <n v="3"/>
  </r>
  <r>
    <d v="2019-10-14T00:00:00"/>
    <x v="72"/>
    <s v="-"/>
    <x v="0"/>
    <x v="0"/>
    <x v="5"/>
    <s v="variétal"/>
    <s v="-"/>
    <m/>
    <s v="oui"/>
    <m/>
    <n v="4"/>
    <n v="0.75"/>
    <n v="3"/>
  </r>
  <r>
    <d v="2019-10-14T00:00:00"/>
    <x v="72"/>
    <s v="-"/>
    <x v="0"/>
    <x v="0"/>
    <x v="5"/>
    <s v="supérieur"/>
    <s v="-"/>
    <m/>
    <s v="oui"/>
    <m/>
    <n v="4"/>
    <n v="0.75"/>
    <n v="3"/>
  </r>
  <r>
    <d v="2019-10-14T00:00:00"/>
    <x v="72"/>
    <s v="-"/>
    <x v="0"/>
    <x v="1"/>
    <x v="5"/>
    <s v="supérieur"/>
    <s v="-"/>
    <m/>
    <s v="oui"/>
    <m/>
    <n v="4"/>
    <n v="0.75"/>
    <n v="3"/>
  </r>
  <r>
    <d v="2019-10-14T00:00:00"/>
    <x v="72"/>
    <s v="-"/>
    <x v="0"/>
    <x v="1"/>
    <x v="5"/>
    <s v="classique"/>
    <s v="-"/>
    <m/>
    <s v="oui"/>
    <m/>
    <n v="4"/>
    <n v="0.75"/>
    <n v="3"/>
  </r>
  <r>
    <d v="2019-10-14T00:00:00"/>
    <x v="72"/>
    <s v="-"/>
    <x v="0"/>
    <x v="1"/>
    <x v="5"/>
    <s v="variétal"/>
    <s v="-"/>
    <m/>
    <s v="oui"/>
    <m/>
    <n v="4"/>
    <n v="0.75"/>
    <n v="3"/>
  </r>
  <r>
    <d v="2019-10-16T00:00:00"/>
    <x v="3"/>
    <s v="-"/>
    <x v="0"/>
    <x v="1"/>
    <x v="5"/>
    <s v="supérieur"/>
    <s v="-"/>
    <m/>
    <s v="oui"/>
    <m/>
    <n v="1"/>
    <n v="0.75"/>
    <n v="0.75"/>
  </r>
  <r>
    <d v="2019-10-16T00:00:00"/>
    <x v="3"/>
    <s v="-"/>
    <x v="0"/>
    <x v="1"/>
    <x v="5"/>
    <s v="classique"/>
    <s v="-"/>
    <m/>
    <s v="oui"/>
    <m/>
    <n v="1"/>
    <n v="0.75"/>
    <n v="0.75"/>
  </r>
  <r>
    <d v="2019-10-16T00:00:00"/>
    <x v="3"/>
    <s v="-"/>
    <x v="0"/>
    <x v="1"/>
    <x v="5"/>
    <s v="variétal"/>
    <s v="-"/>
    <m/>
    <s v="oui"/>
    <m/>
    <n v="1"/>
    <n v="0.75"/>
    <n v="0.75"/>
  </r>
  <r>
    <d v="2019-10-16T00:00:00"/>
    <x v="3"/>
    <s v="-"/>
    <x v="0"/>
    <x v="0"/>
    <x v="5"/>
    <s v="classique"/>
    <s v="-"/>
    <m/>
    <s v="oui"/>
    <m/>
    <n v="1"/>
    <n v="0.75"/>
    <n v="0.75"/>
  </r>
  <r>
    <d v="2019-10-16T00:00:00"/>
    <x v="3"/>
    <s v="-"/>
    <x v="0"/>
    <x v="0"/>
    <x v="5"/>
    <s v="variétal"/>
    <s v="-"/>
    <m/>
    <s v="oui"/>
    <m/>
    <n v="1"/>
    <n v="0.75"/>
    <n v="0.75"/>
  </r>
  <r>
    <d v="2019-10-16T00:00:00"/>
    <x v="3"/>
    <s v="-"/>
    <x v="0"/>
    <x v="0"/>
    <x v="5"/>
    <s v="supérieur"/>
    <s v="-"/>
    <m/>
    <s v="oui"/>
    <m/>
    <n v="1"/>
    <n v="0.75"/>
    <n v="0.75"/>
  </r>
  <r>
    <d v="2019-10-16T00:00:00"/>
    <x v="7"/>
    <s v="-"/>
    <x v="0"/>
    <x v="1"/>
    <x v="5"/>
    <s v="supérieur"/>
    <s v="-"/>
    <m/>
    <s v="oui"/>
    <m/>
    <n v="1"/>
    <n v="0.75"/>
    <n v="0.75"/>
  </r>
  <r>
    <d v="2019-10-16T00:00:00"/>
    <x v="7"/>
    <s v="-"/>
    <x v="0"/>
    <x v="1"/>
    <x v="5"/>
    <s v="classique"/>
    <s v="-"/>
    <m/>
    <s v="oui"/>
    <m/>
    <n v="1"/>
    <n v="0.75"/>
    <n v="0.75"/>
  </r>
  <r>
    <d v="2019-10-16T00:00:00"/>
    <x v="7"/>
    <s v="-"/>
    <x v="0"/>
    <x v="1"/>
    <x v="5"/>
    <s v="variétal"/>
    <s v="-"/>
    <m/>
    <s v="oui"/>
    <m/>
    <n v="1"/>
    <n v="0.75"/>
    <n v="0.75"/>
  </r>
  <r>
    <d v="2019-10-17T00:00:00"/>
    <x v="1"/>
    <s v="TWS"/>
    <x v="0"/>
    <x v="11"/>
    <x v="5"/>
    <s v="-"/>
    <n v="99"/>
    <m/>
    <s v="oui"/>
    <m/>
    <n v="4"/>
    <n v="0.75"/>
    <n v="3"/>
  </r>
  <r>
    <d v="2019-10-17T00:00:00"/>
    <x v="47"/>
    <s v="Gilles Lambert"/>
    <x v="0"/>
    <x v="0"/>
    <x v="5"/>
    <s v="supérieur"/>
    <s v="-"/>
    <m/>
    <s v="oui"/>
    <m/>
    <n v="3"/>
    <n v="0.75"/>
    <n v="2.25"/>
  </r>
  <r>
    <d v="2019-10-17T00:00:00"/>
    <x v="9"/>
    <s v="Jacques Woloviek"/>
    <x v="0"/>
    <x v="1"/>
    <x v="5"/>
    <s v="classique"/>
    <s v="-"/>
    <m/>
    <s v="oui"/>
    <m/>
    <n v="4"/>
    <n v="0.75"/>
    <n v="3"/>
  </r>
  <r>
    <d v="2019-10-17T00:00:00"/>
    <x v="9"/>
    <s v="Jacques Woloviek"/>
    <x v="0"/>
    <x v="1"/>
    <x v="5"/>
    <s v="variétal"/>
    <s v="-"/>
    <m/>
    <s v="oui"/>
    <m/>
    <n v="4"/>
    <n v="0.75"/>
    <n v="3"/>
  </r>
  <r>
    <d v="2019-10-17T00:00:00"/>
    <x v="9"/>
    <s v="Jacques Woloviek"/>
    <x v="0"/>
    <x v="3"/>
    <x v="5"/>
    <s v="Frais"/>
    <s v="-"/>
    <m/>
    <s v="oui"/>
    <m/>
    <n v="6"/>
    <n v="0.75"/>
    <n v="4.5"/>
  </r>
  <r>
    <d v="2019-10-17T00:00:00"/>
    <x v="9"/>
    <s v="Jacques Woloviek"/>
    <x v="0"/>
    <x v="3"/>
    <x v="5"/>
    <s v="Mûrs"/>
    <s v="-"/>
    <m/>
    <s v="oui"/>
    <m/>
    <n v="6"/>
    <n v="0.75"/>
    <n v="4.5"/>
  </r>
  <r>
    <d v="2019-10-18T00:00:00"/>
    <x v="73"/>
    <s v="Vailhere Pascal"/>
    <x v="0"/>
    <x v="3"/>
    <x v="5"/>
    <s v="Frais"/>
    <s v="-"/>
    <m/>
    <s v="oui"/>
    <m/>
    <n v="3"/>
    <n v="0.75"/>
    <n v="2.25"/>
  </r>
  <r>
    <d v="2019-10-18T00:00:00"/>
    <x v="73"/>
    <s v="Vailhere Pascal"/>
    <x v="0"/>
    <x v="3"/>
    <x v="5"/>
    <s v="Mûrs"/>
    <s v="-"/>
    <m/>
    <s v="oui"/>
    <m/>
    <n v="3"/>
    <n v="0.75"/>
    <n v="2.25"/>
  </r>
  <r>
    <d v="2019-10-21T00:00:00"/>
    <x v="1"/>
    <s v="Olivier Castillo"/>
    <x v="0"/>
    <x v="0"/>
    <x v="5"/>
    <s v="variétal"/>
    <s v="-"/>
    <m/>
    <s v="oui"/>
    <m/>
    <n v="5"/>
    <n v="0.75"/>
    <n v="3.75"/>
  </r>
  <r>
    <d v="2019-10-21T00:00:00"/>
    <x v="1"/>
    <s v="Olivier Castillo"/>
    <x v="0"/>
    <x v="0"/>
    <x v="5"/>
    <s v="supérieur"/>
    <s v="-"/>
    <m/>
    <s v="oui"/>
    <m/>
    <n v="5"/>
    <n v="0.75"/>
    <n v="3.75"/>
  </r>
  <r>
    <d v="2019-10-21T00:00:00"/>
    <x v="1"/>
    <s v="Olivier Castillo"/>
    <x v="0"/>
    <x v="2"/>
    <x v="5"/>
    <s v="-"/>
    <s v="-"/>
    <m/>
    <s v="oui"/>
    <m/>
    <n v="3"/>
    <n v="0.75"/>
    <n v="2.25"/>
  </r>
  <r>
    <d v="2019-10-21T00:00:00"/>
    <x v="2"/>
    <s v="-"/>
    <x v="0"/>
    <x v="0"/>
    <x v="5"/>
    <s v="variétal"/>
    <s v="-"/>
    <m/>
    <s v="oui"/>
    <m/>
    <n v="3"/>
    <n v="0.75"/>
    <n v="2.25"/>
  </r>
  <r>
    <d v="2019-10-21T00:00:00"/>
    <x v="2"/>
    <s v="-"/>
    <x v="0"/>
    <x v="0"/>
    <x v="5"/>
    <s v="supérieur"/>
    <s v="-"/>
    <m/>
    <s v="oui"/>
    <m/>
    <n v="3"/>
    <n v="0.75"/>
    <n v="2.25"/>
  </r>
  <r>
    <d v="2019-10-21T00:00:00"/>
    <x v="2"/>
    <s v="-"/>
    <x v="0"/>
    <x v="1"/>
    <x v="5"/>
    <s v="supérieur"/>
    <s v="-"/>
    <m/>
    <s v="oui"/>
    <m/>
    <n v="3"/>
    <n v="0.75"/>
    <n v="2.25"/>
  </r>
  <r>
    <d v="2019-10-21T00:00:00"/>
    <x v="2"/>
    <s v="-"/>
    <x v="0"/>
    <x v="1"/>
    <x v="5"/>
    <s v="classique"/>
    <s v="-"/>
    <m/>
    <s v="oui"/>
    <m/>
    <n v="3"/>
    <n v="0.75"/>
    <n v="2.25"/>
  </r>
  <r>
    <d v="2019-10-21T00:00:00"/>
    <x v="2"/>
    <s v="-"/>
    <x v="0"/>
    <x v="1"/>
    <x v="5"/>
    <s v="variétal"/>
    <s v="-"/>
    <m/>
    <s v="oui"/>
    <m/>
    <n v="3"/>
    <n v="0.75"/>
    <n v="2.25"/>
  </r>
  <r>
    <d v="2019-10-21T00:00:00"/>
    <x v="2"/>
    <s v="-"/>
    <x v="0"/>
    <x v="2"/>
    <x v="5"/>
    <s v="-"/>
    <s v="-"/>
    <m/>
    <s v="oui"/>
    <m/>
    <n v="3"/>
    <n v="0.75"/>
    <n v="2.25"/>
  </r>
  <r>
    <d v="2019-10-21T00:00:00"/>
    <x v="2"/>
    <s v="-"/>
    <x v="0"/>
    <x v="6"/>
    <x v="5"/>
    <s v="Lot 210"/>
    <n v="199"/>
    <m/>
    <s v="oui"/>
    <m/>
    <n v="3"/>
    <n v="0.75"/>
    <n v="2.25"/>
  </r>
  <r>
    <d v="2019-10-22T00:00:00"/>
    <x v="43"/>
    <s v="Vailhere Pascal"/>
    <x v="0"/>
    <x v="3"/>
    <x v="5"/>
    <s v="Frais"/>
    <s v="-"/>
    <m/>
    <s v="oui"/>
    <m/>
    <n v="2"/>
    <n v="0.75"/>
    <n v="1.5"/>
  </r>
  <r>
    <d v="2019-10-22T00:00:00"/>
    <x v="43"/>
    <s v="Vailhere Pascal"/>
    <x v="0"/>
    <x v="3"/>
    <x v="5"/>
    <s v="Mûrs"/>
    <s v="-"/>
    <m/>
    <s v="oui"/>
    <m/>
    <n v="2"/>
    <n v="0.75"/>
    <n v="1.5"/>
  </r>
  <r>
    <d v="2019-10-22T00:00:00"/>
    <x v="15"/>
    <s v="René Jeanjean"/>
    <x v="0"/>
    <x v="6"/>
    <x v="5"/>
    <s v="Lot 210"/>
    <n v="199"/>
    <m/>
    <s v="oui"/>
    <m/>
    <n v="3"/>
    <n v="0.75"/>
    <n v="2.25"/>
  </r>
  <r>
    <d v="2019-10-22T00:00:00"/>
    <x v="15"/>
    <s v="René Jeanjean"/>
    <x v="0"/>
    <x v="1"/>
    <x v="5"/>
    <s v="Variétal"/>
    <s v="-"/>
    <m/>
    <s v="oui"/>
    <m/>
    <n v="3"/>
    <n v="0.75"/>
    <n v="2.25"/>
  </r>
  <r>
    <d v="2019-10-22T00:00:00"/>
    <x v="15"/>
    <s v="René Jeanjean"/>
    <x v="0"/>
    <x v="0"/>
    <x v="5"/>
    <s v="Variétal"/>
    <s v="-"/>
    <m/>
    <s v="oui"/>
    <m/>
    <n v="3"/>
    <n v="0.75"/>
    <n v="2.25"/>
  </r>
  <r>
    <d v="2019-10-22T00:00:00"/>
    <x v="15"/>
    <s v="René Jeanjean"/>
    <x v="1"/>
    <x v="4"/>
    <x v="5"/>
    <s v="-"/>
    <n v="407"/>
    <m/>
    <s v="oui"/>
    <m/>
    <n v="3"/>
    <n v="0.75"/>
    <n v="2.25"/>
  </r>
  <r>
    <d v="2019-10-22T00:00:00"/>
    <x v="3"/>
    <s v="-"/>
    <x v="0"/>
    <x v="0"/>
    <x v="5"/>
    <s v="variétal"/>
    <s v="-"/>
    <m/>
    <s v="oui"/>
    <m/>
    <n v="3"/>
    <n v="0.75"/>
    <n v="2.25"/>
  </r>
  <r>
    <d v="2019-10-22T00:00:00"/>
    <x v="3"/>
    <s v="-"/>
    <x v="0"/>
    <x v="0"/>
    <x v="5"/>
    <s v="supérieur"/>
    <s v="-"/>
    <m/>
    <s v="oui"/>
    <m/>
    <n v="3"/>
    <n v="0.75"/>
    <n v="2.25"/>
  </r>
  <r>
    <d v="2019-10-22T00:00:00"/>
    <x v="3"/>
    <s v="-"/>
    <x v="0"/>
    <x v="1"/>
    <x v="5"/>
    <s v="supérieur"/>
    <s v="-"/>
    <m/>
    <s v="oui"/>
    <m/>
    <n v="3"/>
    <n v="0.75"/>
    <n v="2.25"/>
  </r>
  <r>
    <d v="2019-10-22T00:00:00"/>
    <x v="3"/>
    <s v="-"/>
    <x v="0"/>
    <x v="1"/>
    <x v="5"/>
    <s v="variétal"/>
    <s v="-"/>
    <m/>
    <s v="oui"/>
    <m/>
    <n v="3"/>
    <n v="0.75"/>
    <n v="2.25"/>
  </r>
  <r>
    <d v="2019-10-22T00:00:00"/>
    <x v="3"/>
    <s v="-"/>
    <x v="0"/>
    <x v="0"/>
    <x v="5"/>
    <s v="Lot TDS"/>
    <s v="-"/>
    <m/>
    <s v="oui"/>
    <m/>
    <n v="3"/>
    <n v="0.75"/>
    <n v="2.25"/>
  </r>
  <r>
    <d v="2019-10-22T00:00:00"/>
    <x v="3"/>
    <s v="-"/>
    <x v="0"/>
    <x v="3"/>
    <x v="5"/>
    <s v="Frais"/>
    <s v="-"/>
    <m/>
    <s v="oui"/>
    <m/>
    <n v="3"/>
    <n v="0.75"/>
    <n v="2.25"/>
  </r>
  <r>
    <d v="2019-10-22T00:00:00"/>
    <x v="5"/>
    <s v="-"/>
    <x v="1"/>
    <x v="56"/>
    <x v="5"/>
    <s v="Lot 500"/>
    <s v="-"/>
    <m/>
    <s v="oui"/>
    <m/>
    <n v="2"/>
    <n v="0.75"/>
    <n v="1.5"/>
  </r>
  <r>
    <d v="2019-10-22T00:00:00"/>
    <x v="5"/>
    <s v="-"/>
    <x v="1"/>
    <x v="56"/>
    <x v="5"/>
    <s v="Lot 750"/>
    <s v="-"/>
    <m/>
    <s v="oui"/>
    <m/>
    <n v="2"/>
    <n v="0.75"/>
    <n v="1.5"/>
  </r>
  <r>
    <d v="2019-10-22T00:00:00"/>
    <x v="5"/>
    <s v="-"/>
    <x v="1"/>
    <x v="56"/>
    <x v="5"/>
    <s v="Lot 1000"/>
    <s v="-"/>
    <m/>
    <s v="oui"/>
    <m/>
    <n v="2"/>
    <n v="0.75"/>
    <n v="1.5"/>
  </r>
  <r>
    <d v="2019-10-23T00:00:00"/>
    <x v="2"/>
    <s v="-"/>
    <x v="0"/>
    <x v="1"/>
    <x v="5"/>
    <s v="supérieur"/>
    <s v="-"/>
    <m/>
    <s v="oui"/>
    <m/>
    <n v="2"/>
    <n v="0.75"/>
    <n v="1.5"/>
  </r>
  <r>
    <d v="2019-10-23T00:00:00"/>
    <x v="2"/>
    <s v="-"/>
    <x v="0"/>
    <x v="1"/>
    <x v="5"/>
    <s v="classique"/>
    <s v="-"/>
    <m/>
    <s v="oui"/>
    <m/>
    <n v="2"/>
    <n v="0.75"/>
    <n v="1.5"/>
  </r>
  <r>
    <d v="2019-10-23T00:00:00"/>
    <x v="2"/>
    <s v="-"/>
    <x v="0"/>
    <x v="1"/>
    <x v="5"/>
    <s v="variétal"/>
    <s v="-"/>
    <m/>
    <s v="oui"/>
    <m/>
    <n v="2"/>
    <n v="0.75"/>
    <n v="1.5"/>
  </r>
  <r>
    <d v="2019-10-23T00:00:00"/>
    <x v="2"/>
    <s v="-"/>
    <x v="0"/>
    <x v="0"/>
    <x v="5"/>
    <s v="variétal"/>
    <s v="-"/>
    <m/>
    <s v="oui"/>
    <m/>
    <n v="3"/>
    <n v="0.75"/>
    <n v="2.25"/>
  </r>
  <r>
    <d v="2019-10-23T00:00:00"/>
    <x v="2"/>
    <s v="-"/>
    <x v="0"/>
    <x v="0"/>
    <x v="5"/>
    <s v="supérieur"/>
    <s v="-"/>
    <m/>
    <s v="oui"/>
    <m/>
    <n v="3"/>
    <n v="0.75"/>
    <n v="2.25"/>
  </r>
  <r>
    <d v="2019-10-23T00:00:00"/>
    <x v="2"/>
    <s v="-"/>
    <x v="0"/>
    <x v="2"/>
    <x v="5"/>
    <s v="-"/>
    <s v="-"/>
    <m/>
    <s v="oui"/>
    <m/>
    <n v="6"/>
    <n v="0.75"/>
    <n v="4.5"/>
  </r>
  <r>
    <d v="2019-10-23T00:00:00"/>
    <x v="2"/>
    <s v="-"/>
    <x v="0"/>
    <x v="6"/>
    <x v="5"/>
    <n v="210"/>
    <n v="422"/>
    <m/>
    <s v="oui"/>
    <m/>
    <n v="3"/>
    <n v="0.75"/>
    <n v="2.25"/>
  </r>
  <r>
    <d v="2019-10-23T00:00:00"/>
    <x v="2"/>
    <s v="-"/>
    <x v="1"/>
    <x v="10"/>
    <x v="5"/>
    <s v="-"/>
    <s v="-"/>
    <m/>
    <s v="oui"/>
    <m/>
    <n v="3"/>
    <n v="0.75"/>
    <n v="2.25"/>
  </r>
  <r>
    <d v="2019-10-23T00:00:00"/>
    <x v="54"/>
    <s v="Murphy winecompany"/>
    <x v="0"/>
    <x v="0"/>
    <x v="5"/>
    <s v="Petit degré"/>
    <s v="-"/>
    <m/>
    <s v="oui"/>
    <n v="0.06"/>
    <n v="1"/>
    <n v="0.75"/>
    <n v="0.75"/>
  </r>
  <r>
    <d v="2019-10-23T00:00:00"/>
    <x v="54"/>
    <s v="Murphy winecompany"/>
    <x v="0"/>
    <x v="0"/>
    <x v="5"/>
    <s v="supérieur"/>
    <s v="-"/>
    <m/>
    <s v="oui"/>
    <m/>
    <n v="1"/>
    <n v="0.75"/>
    <n v="0.75"/>
  </r>
  <r>
    <d v="2019-10-23T00:00:00"/>
    <x v="54"/>
    <s v="Murphy winecompany"/>
    <x v="1"/>
    <x v="10"/>
    <x v="5"/>
    <s v="-"/>
    <s v="-"/>
    <m/>
    <s v="oui"/>
    <m/>
    <n v="1"/>
    <n v="0.75"/>
    <n v="0.75"/>
  </r>
  <r>
    <d v="2019-10-23T00:00:00"/>
    <x v="47"/>
    <s v="Gilles Lambert"/>
    <x v="0"/>
    <x v="0"/>
    <x v="5"/>
    <s v="supérieur"/>
    <s v="-"/>
    <m/>
    <s v="oui"/>
    <m/>
    <n v="3"/>
    <n v="0.75"/>
    <n v="2.25"/>
  </r>
  <r>
    <d v="2019-10-23T00:00:00"/>
    <x v="1"/>
    <s v="Gilles Lambert"/>
    <x v="0"/>
    <x v="2"/>
    <x v="5"/>
    <s v="-"/>
    <s v="-"/>
    <m/>
    <s v="oui"/>
    <m/>
    <n v="2"/>
    <n v="0.75"/>
    <n v="1.5"/>
  </r>
  <r>
    <d v="2019-10-23T00:00:00"/>
    <x v="7"/>
    <s v="-"/>
    <x v="0"/>
    <x v="1"/>
    <x v="5"/>
    <s v="supérieur"/>
    <s v="-"/>
    <m/>
    <s v="oui"/>
    <m/>
    <n v="2"/>
    <n v="0.75"/>
    <n v="1.5"/>
  </r>
  <r>
    <d v="2019-10-23T00:00:00"/>
    <x v="7"/>
    <s v="-"/>
    <x v="0"/>
    <x v="1"/>
    <x v="5"/>
    <s v="classique"/>
    <s v="-"/>
    <m/>
    <s v="oui"/>
    <m/>
    <n v="2"/>
    <n v="0.75"/>
    <n v="1.5"/>
  </r>
  <r>
    <d v="2019-10-23T00:00:00"/>
    <x v="7"/>
    <s v="-"/>
    <x v="0"/>
    <x v="1"/>
    <x v="5"/>
    <s v="variétal"/>
    <s v="-"/>
    <m/>
    <s v="oui"/>
    <m/>
    <n v="2"/>
    <n v="0.75"/>
    <n v="1.5"/>
  </r>
  <r>
    <d v="2019-10-23T00:00:00"/>
    <x v="46"/>
    <s v="-"/>
    <x v="0"/>
    <x v="6"/>
    <x v="4"/>
    <s v="Oc Blanc"/>
    <s v="-"/>
    <m/>
    <s v="oui"/>
    <m/>
    <n v="1"/>
    <n v="0.75"/>
    <n v="0.75"/>
  </r>
  <r>
    <d v="2019-10-28T00:00:00"/>
    <x v="72"/>
    <s v="-"/>
    <x v="1"/>
    <x v="10"/>
    <x v="5"/>
    <s v="vrac"/>
    <s v="-"/>
    <m/>
    <s v="oui"/>
    <m/>
    <n v="4"/>
    <n v="0.75"/>
    <n v="3"/>
  </r>
  <r>
    <d v="2019-10-28T00:00:00"/>
    <x v="72"/>
    <s v="-"/>
    <x v="0"/>
    <x v="2"/>
    <x v="5"/>
    <s v="vrac"/>
    <s v="-"/>
    <m/>
    <s v="oui"/>
    <m/>
    <n v="2"/>
    <n v="0.75"/>
    <n v="1.5"/>
  </r>
  <r>
    <d v="2019-10-28T00:00:00"/>
    <x v="72"/>
    <s v="-"/>
    <x v="0"/>
    <x v="21"/>
    <x v="5"/>
    <s v="-"/>
    <n v="329"/>
    <m/>
    <s v="oui"/>
    <m/>
    <n v="2"/>
    <n v="0.75"/>
    <n v="1.5"/>
  </r>
  <r>
    <d v="2019-10-28T00:00:00"/>
    <x v="1"/>
    <s v="San Nicolas"/>
    <x v="0"/>
    <x v="0"/>
    <x v="5"/>
    <s v="variétal"/>
    <n v="199"/>
    <m/>
    <s v="oui"/>
    <m/>
    <n v="3"/>
    <n v="0.75"/>
    <n v="2.25"/>
  </r>
  <r>
    <d v="2019-10-28T00:00:00"/>
    <x v="1"/>
    <s v="San Nicolas"/>
    <x v="0"/>
    <x v="0"/>
    <x v="5"/>
    <s v="supérieur"/>
    <s v="-"/>
    <m/>
    <s v="oui"/>
    <m/>
    <n v="3"/>
    <n v="0.75"/>
    <n v="2.25"/>
  </r>
  <r>
    <d v="2019-10-28T00:00:00"/>
    <x v="1"/>
    <s v="San Nicolas"/>
    <x v="0"/>
    <x v="1"/>
    <x v="5"/>
    <s v="supérieur"/>
    <s v="-"/>
    <m/>
    <s v="oui"/>
    <m/>
    <n v="3"/>
    <n v="0.75"/>
    <n v="2.25"/>
  </r>
  <r>
    <d v="2019-10-28T00:00:00"/>
    <x v="1"/>
    <s v="San Nicolas"/>
    <x v="0"/>
    <x v="1"/>
    <x v="5"/>
    <s v="classique"/>
    <n v="200"/>
    <m/>
    <s v="oui"/>
    <m/>
    <n v="3"/>
    <n v="0.75"/>
    <n v="2.25"/>
  </r>
  <r>
    <d v="2019-10-28T00:00:00"/>
    <x v="1"/>
    <s v="San Nicolas"/>
    <x v="0"/>
    <x v="1"/>
    <x v="5"/>
    <s v="variétal"/>
    <s v="-"/>
    <m/>
    <s v="oui"/>
    <m/>
    <n v="3"/>
    <n v="0.75"/>
    <n v="2.25"/>
  </r>
  <r>
    <d v="2019-10-28T00:00:00"/>
    <x v="1"/>
    <s v="San Nicolas"/>
    <x v="0"/>
    <x v="3"/>
    <x v="5"/>
    <s v="Frais"/>
    <s v="-"/>
    <m/>
    <s v="oui"/>
    <m/>
    <n v="3"/>
    <n v="0.75"/>
    <n v="2.25"/>
  </r>
  <r>
    <d v="2019-10-28T00:00:00"/>
    <x v="1"/>
    <s v="San Nicolas"/>
    <x v="0"/>
    <x v="3"/>
    <x v="5"/>
    <s v="Mûrs"/>
    <s v="-"/>
    <m/>
    <s v="oui"/>
    <m/>
    <n v="3"/>
    <n v="0.75"/>
    <n v="2.25"/>
  </r>
  <r>
    <d v="2019-10-28T00:00:00"/>
    <x v="59"/>
    <s v="-"/>
    <x v="0"/>
    <x v="17"/>
    <x v="4"/>
    <s v="-"/>
    <n v="313"/>
    <m/>
    <s v="oui"/>
    <m/>
    <n v="1"/>
    <n v="0.75"/>
    <n v="0.75"/>
  </r>
  <r>
    <d v="2019-10-28T00:00:00"/>
    <x v="10"/>
    <s v="René Jeanjean"/>
    <x v="0"/>
    <x v="0"/>
    <x v="5"/>
    <s v="variétal"/>
    <n v="199"/>
    <m/>
    <s v="oui"/>
    <m/>
    <n v="1"/>
    <n v="0.75"/>
    <n v="0.75"/>
  </r>
  <r>
    <d v="2019-10-28T00:00:00"/>
    <x v="10"/>
    <s v="René Jeanjean"/>
    <x v="0"/>
    <x v="0"/>
    <x v="5"/>
    <s v="supérieur"/>
    <s v="-"/>
    <m/>
    <s v="oui"/>
    <m/>
    <n v="1"/>
    <n v="0.75"/>
    <n v="0.75"/>
  </r>
  <r>
    <d v="2019-10-28T00:00:00"/>
    <x v="10"/>
    <s v="René Jeanjean"/>
    <x v="0"/>
    <x v="1"/>
    <x v="5"/>
    <s v="supérieur"/>
    <s v="-"/>
    <m/>
    <s v="oui"/>
    <m/>
    <n v="1"/>
    <n v="0.75"/>
    <n v="0.75"/>
  </r>
  <r>
    <d v="2019-10-28T00:00:00"/>
    <x v="10"/>
    <s v="René Jeanjean"/>
    <x v="0"/>
    <x v="1"/>
    <x v="5"/>
    <s v="classique"/>
    <n v="200"/>
    <m/>
    <s v="oui"/>
    <m/>
    <n v="1"/>
    <n v="0.75"/>
    <n v="0.75"/>
  </r>
  <r>
    <d v="2019-10-28T00:00:00"/>
    <x v="10"/>
    <s v="René Jeanjean"/>
    <x v="0"/>
    <x v="2"/>
    <x v="5"/>
    <s v="vrac"/>
    <s v="-"/>
    <m/>
    <s v="oui"/>
    <m/>
    <n v="1"/>
    <n v="0.75"/>
    <n v="0.75"/>
  </r>
  <r>
    <d v="2019-10-28T00:00:00"/>
    <x v="10"/>
    <s v="René Jeanjean"/>
    <x v="1"/>
    <x v="5"/>
    <x v="5"/>
    <s v="-"/>
    <n v="322"/>
    <m/>
    <s v="oui"/>
    <m/>
    <n v="1"/>
    <n v="0.75"/>
    <n v="0.75"/>
  </r>
  <r>
    <d v="2019-10-29T00:00:00"/>
    <x v="39"/>
    <s v="SP Wines"/>
    <x v="0"/>
    <x v="1"/>
    <x v="5"/>
    <s v="supérieur"/>
    <s v="-"/>
    <m/>
    <s v="oui"/>
    <m/>
    <n v="2"/>
    <n v="0.75"/>
    <n v="1.5"/>
  </r>
  <r>
    <d v="2019-10-29T00:00:00"/>
    <x v="39"/>
    <s v="SP Wines"/>
    <x v="0"/>
    <x v="1"/>
    <x v="5"/>
    <s v="classique"/>
    <n v="200"/>
    <m/>
    <s v="oui"/>
    <m/>
    <n v="2"/>
    <n v="0.75"/>
    <n v="1.5"/>
  </r>
  <r>
    <d v="2019-10-29T00:00:00"/>
    <x v="39"/>
    <s v="SP Wines"/>
    <x v="0"/>
    <x v="1"/>
    <x v="5"/>
    <s v="variétal"/>
    <s v="-"/>
    <m/>
    <s v="oui"/>
    <m/>
    <n v="2"/>
    <n v="0.75"/>
    <n v="1.5"/>
  </r>
  <r>
    <d v="2019-10-29T00:00:00"/>
    <x v="53"/>
    <s v="SP Wines"/>
    <x v="0"/>
    <x v="2"/>
    <x v="5"/>
    <s v="vrac"/>
    <s v="-"/>
    <m/>
    <s v="oui"/>
    <m/>
    <n v="2"/>
    <n v="0.75"/>
    <n v="1.5"/>
  </r>
  <r>
    <d v="2019-10-29T00:00:00"/>
    <x v="53"/>
    <s v="SP Wines"/>
    <x v="0"/>
    <x v="21"/>
    <x v="5"/>
    <s v="-"/>
    <n v="329"/>
    <m/>
    <s v="oui"/>
    <m/>
    <n v="2"/>
    <n v="0.75"/>
    <n v="1.5"/>
  </r>
  <r>
    <d v="2019-10-29T00:00:00"/>
    <x v="74"/>
    <s v="SP Wines"/>
    <x v="0"/>
    <x v="19"/>
    <x v="5"/>
    <s v="-"/>
    <n v="32"/>
    <m/>
    <s v="oui"/>
    <m/>
    <n v="2"/>
    <n v="0.75"/>
    <n v="1.5"/>
  </r>
  <r>
    <d v="2019-10-29T00:00:00"/>
    <x v="74"/>
    <s v="SP Wines"/>
    <x v="0"/>
    <x v="1"/>
    <x v="5"/>
    <s v="supérieur"/>
    <s v="-"/>
    <m/>
    <s v="oui"/>
    <m/>
    <n v="2"/>
    <n v="0.75"/>
    <n v="1.5"/>
  </r>
  <r>
    <d v="2019-10-29T00:00:00"/>
    <x v="74"/>
    <s v="SP Wines"/>
    <x v="0"/>
    <x v="1"/>
    <x v="5"/>
    <s v="classique"/>
    <n v="200"/>
    <m/>
    <s v="oui"/>
    <m/>
    <n v="2"/>
    <n v="0.75"/>
    <n v="1.5"/>
  </r>
  <r>
    <d v="2019-10-29T00:00:00"/>
    <x v="74"/>
    <s v="SP Wines"/>
    <x v="0"/>
    <x v="1"/>
    <x v="5"/>
    <s v="variétal"/>
    <s v="-"/>
    <m/>
    <s v="oui"/>
    <m/>
    <n v="2"/>
    <n v="0.75"/>
    <n v="1.5"/>
  </r>
  <r>
    <d v="2019-10-29T00:00:00"/>
    <x v="74"/>
    <s v="SP Wines"/>
    <x v="0"/>
    <x v="21"/>
    <x v="5"/>
    <s v="-"/>
    <n v="329"/>
    <m/>
    <s v="oui"/>
    <m/>
    <n v="2"/>
    <n v="0.75"/>
    <n v="1.5"/>
  </r>
  <r>
    <d v="2019-10-29T00:00:00"/>
    <x v="74"/>
    <s v="SP Wines"/>
    <x v="0"/>
    <x v="9"/>
    <x v="5"/>
    <s v="-"/>
    <s v="NP70"/>
    <m/>
    <s v="oui"/>
    <m/>
    <n v="2"/>
    <n v="0.75"/>
    <n v="1.5"/>
  </r>
  <r>
    <d v="2019-10-29T00:00:00"/>
    <x v="74"/>
    <s v="SP Wines"/>
    <x v="0"/>
    <x v="11"/>
    <x v="5"/>
    <s v="-"/>
    <n v="71"/>
    <m/>
    <s v="oui"/>
    <m/>
    <n v="2"/>
    <n v="0.75"/>
    <n v="1.5"/>
  </r>
  <r>
    <d v="2019-10-29T00:00:00"/>
    <x v="74"/>
    <s v="SP Wines"/>
    <x v="0"/>
    <x v="2"/>
    <x v="5"/>
    <s v="vrac"/>
    <s v="-"/>
    <m/>
    <s v="oui"/>
    <m/>
    <n v="2"/>
    <n v="0.75"/>
    <n v="1.5"/>
  </r>
  <r>
    <d v="2019-11-04T00:00:00"/>
    <x v="53"/>
    <s v="SP Wines"/>
    <x v="0"/>
    <x v="2"/>
    <x v="5"/>
    <s v="vrac"/>
    <s v="-"/>
    <m/>
    <s v="oui"/>
    <m/>
    <n v="1"/>
    <n v="0.75"/>
    <n v="0.75"/>
  </r>
  <r>
    <d v="2019-11-04T00:00:00"/>
    <x v="53"/>
    <s v="SP Wines"/>
    <x v="0"/>
    <x v="21"/>
    <x v="5"/>
    <s v="-"/>
    <n v="329"/>
    <m/>
    <s v="oui"/>
    <m/>
    <n v="1"/>
    <n v="0.75"/>
    <n v="0.75"/>
  </r>
  <r>
    <d v="2019-11-04T00:00:00"/>
    <x v="53"/>
    <s v="SP Wines"/>
    <x v="0"/>
    <x v="1"/>
    <x v="5"/>
    <s v="supérieur"/>
    <s v="-"/>
    <m/>
    <s v="oui"/>
    <m/>
    <n v="1"/>
    <n v="0.75"/>
    <n v="0.75"/>
  </r>
  <r>
    <d v="2019-11-04T00:00:00"/>
    <x v="72"/>
    <s v="-"/>
    <x v="0"/>
    <x v="1"/>
    <x v="5"/>
    <s v="classique"/>
    <n v="54"/>
    <m/>
    <s v="oui"/>
    <m/>
    <n v="3"/>
    <n v="0.75"/>
    <n v="2.25"/>
  </r>
  <r>
    <d v="2019-11-04T00:00:00"/>
    <x v="72"/>
    <s v="-"/>
    <x v="0"/>
    <x v="0"/>
    <x v="5"/>
    <s v="variétal"/>
    <n v="199"/>
    <m/>
    <s v="oui"/>
    <m/>
    <n v="3"/>
    <n v="0.75"/>
    <n v="2.25"/>
  </r>
  <r>
    <d v="2019-11-04T00:00:00"/>
    <x v="72"/>
    <s v="-"/>
    <x v="1"/>
    <x v="10"/>
    <x v="5"/>
    <s v="vrac"/>
    <s v="-"/>
    <m/>
    <s v="oui"/>
    <m/>
    <n v="3"/>
    <n v="0.75"/>
    <n v="2.25"/>
  </r>
  <r>
    <d v="2019-11-04T00:00:00"/>
    <x v="5"/>
    <s v="-"/>
    <x v="1"/>
    <x v="56"/>
    <x v="5"/>
    <s v="-"/>
    <n v="201"/>
    <m/>
    <s v="oui"/>
    <m/>
    <n v="6"/>
    <n v="0.75"/>
    <n v="4.5"/>
  </r>
  <r>
    <d v="2019-11-04T00:00:00"/>
    <x v="2"/>
    <s v="-"/>
    <x v="0"/>
    <x v="1"/>
    <x v="5"/>
    <s v="supérieur"/>
    <s v="-"/>
    <m/>
    <s v="oui"/>
    <m/>
    <n v="1"/>
    <n v="0.75"/>
    <n v="0.75"/>
  </r>
  <r>
    <d v="2019-11-04T00:00:00"/>
    <x v="2"/>
    <s v="-"/>
    <x v="0"/>
    <x v="1"/>
    <x v="5"/>
    <s v="classique"/>
    <s v="-"/>
    <m/>
    <s v="oui"/>
    <m/>
    <n v="1"/>
    <n v="0.75"/>
    <n v="0.75"/>
  </r>
  <r>
    <d v="2019-11-04T00:00:00"/>
    <x v="2"/>
    <s v="-"/>
    <x v="0"/>
    <x v="1"/>
    <x v="5"/>
    <s v="variétal"/>
    <s v="-"/>
    <m/>
    <s v="oui"/>
    <m/>
    <n v="1"/>
    <n v="0.75"/>
    <n v="0.75"/>
  </r>
  <r>
    <d v="2019-11-04T00:00:00"/>
    <x v="2"/>
    <s v="-"/>
    <x v="0"/>
    <x v="0"/>
    <x v="5"/>
    <s v="variétal"/>
    <s v="-"/>
    <m/>
    <s v="oui"/>
    <m/>
    <n v="3"/>
    <n v="0.75"/>
    <n v="2.25"/>
  </r>
  <r>
    <d v="2019-11-04T00:00:00"/>
    <x v="2"/>
    <s v="-"/>
    <x v="0"/>
    <x v="0"/>
    <x v="5"/>
    <s v="supérieur"/>
    <s v="-"/>
    <m/>
    <s v="oui"/>
    <m/>
    <n v="3"/>
    <n v="0.75"/>
    <n v="2.25"/>
  </r>
  <r>
    <d v="2019-11-04T00:00:00"/>
    <x v="2"/>
    <s v="-"/>
    <x v="0"/>
    <x v="2"/>
    <x v="5"/>
    <s v="-"/>
    <s v="-"/>
    <m/>
    <s v="oui"/>
    <m/>
    <n v="6"/>
    <n v="0.75"/>
    <n v="4.5"/>
  </r>
  <r>
    <d v="2019-11-04T00:00:00"/>
    <x v="2"/>
    <s v="-"/>
    <x v="1"/>
    <x v="10"/>
    <x v="5"/>
    <s v="-"/>
    <s v="-"/>
    <m/>
    <s v="oui"/>
    <m/>
    <n v="4"/>
    <n v="0.75"/>
    <n v="3"/>
  </r>
  <r>
    <d v="2019-11-05T00:00:00"/>
    <x v="3"/>
    <s v="-"/>
    <x v="0"/>
    <x v="1"/>
    <x v="5"/>
    <s v="variétal"/>
    <s v="-"/>
    <m/>
    <s v="oui"/>
    <m/>
    <n v="2"/>
    <n v="10"/>
    <n v="20"/>
  </r>
  <r>
    <d v="2019-11-06T00:00:00"/>
    <x v="3"/>
    <s v="-"/>
    <x v="0"/>
    <x v="3"/>
    <x v="5"/>
    <s v="Frais"/>
    <s v="-"/>
    <m/>
    <s v="oui"/>
    <m/>
    <n v="1"/>
    <n v="10"/>
    <n v="10"/>
  </r>
  <r>
    <d v="2019-11-06T00:00:00"/>
    <x v="3"/>
    <s v="-"/>
    <x v="0"/>
    <x v="0"/>
    <x v="5"/>
    <s v="variétal"/>
    <n v="403"/>
    <m/>
    <s v="oui"/>
    <m/>
    <n v="2"/>
    <n v="5"/>
    <n v="10"/>
  </r>
  <r>
    <d v="2019-11-06T00:00:00"/>
    <x v="3"/>
    <s v="-"/>
    <x v="0"/>
    <x v="0"/>
    <x v="5"/>
    <s v="variétal"/>
    <n v="403"/>
    <m/>
    <s v="oui"/>
    <m/>
    <n v="4"/>
    <n v="10"/>
    <n v="40"/>
  </r>
  <r>
    <d v="2019-11-06T00:00:00"/>
    <x v="75"/>
    <s v="-"/>
    <x v="0"/>
    <x v="1"/>
    <x v="5"/>
    <s v="variétal"/>
    <s v="-"/>
    <m/>
    <s v="oui"/>
    <m/>
    <n v="2"/>
    <n v="0.75"/>
    <n v="1.5"/>
  </r>
  <r>
    <d v="2019-11-06T00:00:00"/>
    <x v="75"/>
    <s v="-"/>
    <x v="0"/>
    <x v="1"/>
    <x v="5"/>
    <s v="supérieur"/>
    <s v="-"/>
    <m/>
    <s v="oui"/>
    <m/>
    <n v="1"/>
    <n v="0.75"/>
    <n v="0.75"/>
  </r>
  <r>
    <d v="2019-11-07T00:00:00"/>
    <x v="3"/>
    <s v="-"/>
    <x v="0"/>
    <x v="1"/>
    <x v="5"/>
    <s v="variétal"/>
    <n v="209"/>
    <m/>
    <s v="oui"/>
    <m/>
    <n v="4"/>
    <n v="10"/>
    <n v="40"/>
  </r>
  <r>
    <d v="2019-11-07T00:00:00"/>
    <x v="76"/>
    <s v="-"/>
    <x v="0"/>
    <x v="1"/>
    <x v="5"/>
    <s v="classique"/>
    <n v="310"/>
    <m/>
    <s v="oui"/>
    <m/>
    <n v="2"/>
    <n v="0.75"/>
    <n v="1.5"/>
  </r>
  <r>
    <d v="2019-11-07T00:00:00"/>
    <x v="76"/>
    <s v="-"/>
    <x v="0"/>
    <x v="1"/>
    <x v="5"/>
    <s v="variétal"/>
    <n v="209"/>
    <m/>
    <s v="oui"/>
    <m/>
    <n v="2"/>
    <n v="0.75"/>
    <n v="1.5"/>
  </r>
  <r>
    <d v="2019-11-07T00:00:00"/>
    <x v="76"/>
    <s v="-"/>
    <x v="0"/>
    <x v="1"/>
    <x v="5"/>
    <s v="supérieur"/>
    <s v="-"/>
    <m/>
    <s v="oui"/>
    <m/>
    <n v="2"/>
    <n v="0.75"/>
    <n v="1.5"/>
  </r>
  <r>
    <d v="2019-11-07T00:00:00"/>
    <x v="76"/>
    <s v="-"/>
    <x v="0"/>
    <x v="0"/>
    <x v="5"/>
    <s v="variétal"/>
    <n v="199"/>
    <m/>
    <s v="oui"/>
    <m/>
    <n v="2"/>
    <n v="0.75"/>
    <n v="1.5"/>
  </r>
  <r>
    <d v="2019-11-07T00:00:00"/>
    <x v="76"/>
    <s v="-"/>
    <x v="0"/>
    <x v="0"/>
    <x v="5"/>
    <s v="supérieur"/>
    <n v="200"/>
    <m/>
    <s v="oui"/>
    <m/>
    <n v="2"/>
    <n v="0.75"/>
    <n v="1.5"/>
  </r>
  <r>
    <d v="2019-11-07T00:00:00"/>
    <x v="76"/>
    <s v="-"/>
    <x v="0"/>
    <x v="22"/>
    <x v="5"/>
    <s v="vrac"/>
    <n v="422"/>
    <m/>
    <s v="oui"/>
    <m/>
    <n v="2"/>
    <n v="0.75"/>
    <n v="1.5"/>
  </r>
  <r>
    <d v="2019-11-07T00:00:00"/>
    <x v="76"/>
    <s v="-"/>
    <x v="1"/>
    <x v="7"/>
    <x v="5"/>
    <s v="Lot GCF"/>
    <n v="417"/>
    <m/>
    <s v="oui"/>
    <m/>
    <n v="2"/>
    <n v="0.75"/>
    <n v="1.5"/>
  </r>
  <r>
    <d v="2019-11-07T00:00:00"/>
    <x v="7"/>
    <s v="-"/>
    <x v="0"/>
    <x v="1"/>
    <x v="5"/>
    <s v="variétal"/>
    <n v="209"/>
    <m/>
    <s v="oui"/>
    <m/>
    <n v="1"/>
    <n v="0.75"/>
    <n v="0.75"/>
  </r>
  <r>
    <d v="2019-11-07T00:00:00"/>
    <x v="7"/>
    <s v="-"/>
    <x v="0"/>
    <x v="1"/>
    <x v="5"/>
    <s v="supérieur"/>
    <s v="-"/>
    <m/>
    <s v="oui"/>
    <m/>
    <n v="1"/>
    <n v="0.75"/>
    <n v="0.75"/>
  </r>
  <r>
    <d v="2019-11-07T00:00:00"/>
    <x v="7"/>
    <s v="-"/>
    <x v="0"/>
    <x v="6"/>
    <x v="5"/>
    <s v="-"/>
    <n v="422"/>
    <m/>
    <s v="oui"/>
    <m/>
    <n v="1"/>
    <n v="0.75"/>
    <n v="0.75"/>
  </r>
  <r>
    <d v="2019-11-07T00:00:00"/>
    <x v="47"/>
    <s v="Gilles Lambert"/>
    <x v="0"/>
    <x v="0"/>
    <x v="5"/>
    <s v="supérieur"/>
    <n v="200"/>
    <m/>
    <s v="oui"/>
    <m/>
    <n v="3"/>
    <n v="0.75"/>
    <n v="2.25"/>
  </r>
  <r>
    <d v="2019-11-07T00:00:00"/>
    <x v="9"/>
    <s v="Jacques Woloviek"/>
    <x v="0"/>
    <x v="0"/>
    <x v="5"/>
    <s v="variétal"/>
    <n v="199"/>
    <m/>
    <s v="oui"/>
    <m/>
    <n v="2"/>
    <n v="0.75"/>
    <n v="1.5"/>
  </r>
  <r>
    <d v="2019-11-07T00:00:00"/>
    <x v="9"/>
    <s v="Jacques Woloviek"/>
    <x v="0"/>
    <x v="1"/>
    <x v="5"/>
    <s v="variétal"/>
    <n v="209"/>
    <m/>
    <s v="oui"/>
    <m/>
    <n v="2"/>
    <n v="0.75"/>
    <n v="1.5"/>
  </r>
  <r>
    <d v="2019-11-07T00:00:00"/>
    <x v="9"/>
    <s v="Jacques Woloviek"/>
    <x v="0"/>
    <x v="3"/>
    <x v="5"/>
    <s v="Frais"/>
    <s v="-"/>
    <m/>
    <s v="oui"/>
    <m/>
    <n v="6"/>
    <n v="0.75"/>
    <n v="4.5"/>
  </r>
  <r>
    <d v="2019-11-07T00:00:00"/>
    <x v="2"/>
    <s v="-"/>
    <x v="0"/>
    <x v="3"/>
    <x v="5"/>
    <s v="Frais"/>
    <s v="-"/>
    <m/>
    <s v="oui"/>
    <m/>
    <n v="1"/>
    <n v="0.75"/>
    <n v="0.75"/>
  </r>
  <r>
    <d v="2019-11-07T00:00:00"/>
    <x v="2"/>
    <s v="-"/>
    <x v="0"/>
    <x v="3"/>
    <x v="5"/>
    <s v="Mûrs"/>
    <s v="-"/>
    <m/>
    <s v="oui"/>
    <m/>
    <n v="1"/>
    <n v="0.75"/>
    <n v="0.75"/>
  </r>
  <r>
    <d v="2019-11-07T00:00:00"/>
    <x v="15"/>
    <s v="René Jeanjean"/>
    <x v="1"/>
    <x v="10"/>
    <x v="5"/>
    <s v="vrac"/>
    <s v="-"/>
    <m/>
    <s v="oui"/>
    <m/>
    <n v="2"/>
    <n v="0.75"/>
    <n v="1.5"/>
  </r>
  <r>
    <d v="2019-11-07T00:00:00"/>
    <x v="15"/>
    <s v="René Jeanjean"/>
    <x v="1"/>
    <x v="13"/>
    <x v="5"/>
    <s v="vrac"/>
    <s v="-"/>
    <m/>
    <s v="oui"/>
    <m/>
    <n v="2"/>
    <n v="0.75"/>
    <n v="1.5"/>
  </r>
  <r>
    <d v="2019-11-07T00:00:00"/>
    <x v="15"/>
    <s v="René Jeanjean"/>
    <x v="1"/>
    <x v="7"/>
    <x v="5"/>
    <s v="Lot 1"/>
    <n v="416"/>
    <m/>
    <s v="oui"/>
    <m/>
    <n v="2"/>
    <n v="0.75"/>
    <n v="1.5"/>
  </r>
  <r>
    <d v="2019-11-07T00:00:00"/>
    <x v="15"/>
    <s v="René Jeanjean"/>
    <x v="0"/>
    <x v="3"/>
    <x v="5"/>
    <s v="Frais"/>
    <s v="-"/>
    <m/>
    <s v="oui"/>
    <m/>
    <n v="2"/>
    <n v="0.75"/>
    <n v="1.5"/>
  </r>
  <r>
    <d v="2019-11-07T00:00:00"/>
    <x v="15"/>
    <s v="René Jeanjean"/>
    <x v="0"/>
    <x v="3"/>
    <x v="5"/>
    <s v="Mûrs"/>
    <s v="-"/>
    <m/>
    <s v="oui"/>
    <m/>
    <n v="2"/>
    <n v="0.75"/>
    <n v="1.5"/>
  </r>
  <r>
    <d v="2019-11-07T00:00:00"/>
    <x v="15"/>
    <s v="René Jeanjean"/>
    <x v="0"/>
    <x v="2"/>
    <x v="5"/>
    <s v="vrac"/>
    <s v="-"/>
    <m/>
    <s v="oui"/>
    <m/>
    <n v="2"/>
    <n v="0.75"/>
    <n v="1.5"/>
  </r>
  <r>
    <d v="2019-11-07T00:00:00"/>
    <x v="15"/>
    <s v="René Jeanjean"/>
    <x v="0"/>
    <x v="1"/>
    <x v="5"/>
    <s v="supérieur"/>
    <s v="-"/>
    <m/>
    <s v="oui"/>
    <m/>
    <n v="2"/>
    <n v="0.75"/>
    <n v="1.5"/>
  </r>
  <r>
    <d v="2019-11-07T00:00:00"/>
    <x v="15"/>
    <s v="René Jeanjean"/>
    <x v="0"/>
    <x v="16"/>
    <x v="5"/>
    <s v="vrac"/>
    <s v="-"/>
    <m/>
    <s v="oui"/>
    <m/>
    <n v="2"/>
    <n v="0.75"/>
    <n v="1.5"/>
  </r>
  <r>
    <d v="2019-11-07T00:00:00"/>
    <x v="10"/>
    <s v="René Jeanjean"/>
    <x v="0"/>
    <x v="1"/>
    <x v="5"/>
    <s v="variétal"/>
    <n v="209"/>
    <m/>
    <s v="oui"/>
    <m/>
    <n v="1"/>
    <n v="0.75"/>
    <n v="0.75"/>
  </r>
  <r>
    <d v="2019-11-07T00:00:00"/>
    <x v="25"/>
    <s v="San Nicolas"/>
    <x v="0"/>
    <x v="0"/>
    <x v="5"/>
    <s v="supérieur"/>
    <n v="200"/>
    <m/>
    <s v="oui"/>
    <m/>
    <n v="2"/>
    <n v="0.75"/>
    <n v="1.5"/>
  </r>
  <r>
    <d v="2019-11-07T00:00:00"/>
    <x v="25"/>
    <s v="San Nicolas"/>
    <x v="0"/>
    <x v="0"/>
    <x v="5"/>
    <s v="variétal"/>
    <n v="403"/>
    <m/>
    <s v="oui"/>
    <m/>
    <n v="2"/>
    <n v="0.75"/>
    <n v="1.5"/>
  </r>
  <r>
    <d v="2019-11-07T00:00:00"/>
    <x v="5"/>
    <s v="-"/>
    <x v="1"/>
    <x v="56"/>
    <x v="5"/>
    <s v="-"/>
    <n v="53"/>
    <m/>
    <s v="oui"/>
    <m/>
    <n v="6"/>
    <n v="0.75"/>
    <n v="4.5"/>
  </r>
  <r>
    <d v="2019-11-12T00:00:00"/>
    <x v="39"/>
    <s v="SP Wines"/>
    <x v="0"/>
    <x v="1"/>
    <x v="5"/>
    <s v="classique"/>
    <n v="54"/>
    <m/>
    <s v="oui"/>
    <m/>
    <n v="2"/>
    <n v="0.75"/>
    <n v="1.5"/>
  </r>
  <r>
    <d v="2019-11-12T00:00:00"/>
    <x v="39"/>
    <s v="SP Wines"/>
    <x v="0"/>
    <x v="1"/>
    <x v="5"/>
    <s v="variétal"/>
    <n v="209"/>
    <m/>
    <s v="oui"/>
    <m/>
    <n v="2"/>
    <n v="0.75"/>
    <n v="1.5"/>
  </r>
  <r>
    <d v="2019-11-12T00:00:00"/>
    <x v="39"/>
    <s v="SP Wines"/>
    <x v="0"/>
    <x v="1"/>
    <x v="5"/>
    <s v="supérieur"/>
    <s v="-"/>
    <m/>
    <s v="oui"/>
    <m/>
    <n v="2"/>
    <n v="0.75"/>
    <n v="1.5"/>
  </r>
  <r>
    <d v="2019-11-12T00:00:00"/>
    <x v="39"/>
    <s v="SP Wines"/>
    <x v="1"/>
    <x v="5"/>
    <x v="5"/>
    <s v="-"/>
    <n v="322"/>
    <m/>
    <s v="oui"/>
    <m/>
    <n v="2"/>
    <n v="0.75"/>
    <n v="1.5"/>
  </r>
  <r>
    <d v="2019-11-12T00:00:00"/>
    <x v="39"/>
    <s v="SP Wines"/>
    <x v="2"/>
    <x v="5"/>
    <x v="5"/>
    <s v="-"/>
    <n v="98"/>
    <m/>
    <s v="oui"/>
    <m/>
    <n v="2"/>
    <n v="0.75"/>
    <n v="1.5"/>
  </r>
  <r>
    <d v="2019-11-12T00:00:00"/>
    <x v="2"/>
    <s v="-"/>
    <x v="0"/>
    <x v="3"/>
    <x v="5"/>
    <s v="Frais"/>
    <s v="-"/>
    <m/>
    <s v="oui"/>
    <m/>
    <n v="2"/>
    <n v="0.75"/>
    <n v="1.5"/>
  </r>
  <r>
    <d v="2019-11-12T00:00:00"/>
    <x v="2"/>
    <s v="-"/>
    <x v="0"/>
    <x v="3"/>
    <x v="5"/>
    <s v="Mûrs"/>
    <s v="-"/>
    <m/>
    <s v="oui"/>
    <m/>
    <n v="3"/>
    <n v="0.75"/>
    <n v="2.25"/>
  </r>
  <r>
    <d v="2019-11-12T00:00:00"/>
    <x v="2"/>
    <s v="-"/>
    <x v="0"/>
    <x v="6"/>
    <x v="5"/>
    <s v="-"/>
    <n v="422"/>
    <m/>
    <s v="oui"/>
    <m/>
    <n v="2"/>
    <n v="0.75"/>
    <n v="1.5"/>
  </r>
  <r>
    <d v="2019-11-12T00:00:00"/>
    <x v="1"/>
    <s v="Olivier Castillo"/>
    <x v="1"/>
    <x v="5"/>
    <x v="5"/>
    <s v="-"/>
    <n v="332"/>
    <m/>
    <s v="oui"/>
    <m/>
    <n v="2"/>
    <n v="0.75"/>
    <n v="1.5"/>
  </r>
  <r>
    <d v="2019-11-12T00:00:00"/>
    <x v="75"/>
    <s v="-"/>
    <x v="0"/>
    <x v="1"/>
    <x v="5"/>
    <s v="supérieur"/>
    <s v="-"/>
    <m/>
    <s v="oui"/>
    <m/>
    <n v="3"/>
    <n v="0.75"/>
    <n v="2.25"/>
  </r>
  <r>
    <d v="2019-11-12T00:00:00"/>
    <x v="75"/>
    <s v="-"/>
    <x v="0"/>
    <x v="6"/>
    <x v="5"/>
    <s v="-"/>
    <n v="422"/>
    <m/>
    <s v="oui"/>
    <m/>
    <n v="1"/>
    <n v="0.75"/>
    <n v="0.75"/>
  </r>
  <r>
    <d v="2019-11-12T00:00:00"/>
    <x v="75"/>
    <s v="-"/>
    <x v="0"/>
    <x v="0"/>
    <x v="5"/>
    <s v="variétal"/>
    <n v="402"/>
    <m/>
    <s v="oui"/>
    <m/>
    <n v="2"/>
    <n v="0.75"/>
    <n v="1.5"/>
  </r>
  <r>
    <d v="2019-11-12T00:00:00"/>
    <x v="75"/>
    <s v="-"/>
    <x v="0"/>
    <x v="2"/>
    <x v="5"/>
    <s v="vrac"/>
    <s v="-"/>
    <m/>
    <s v="oui"/>
    <m/>
    <n v="2"/>
    <n v="0.75"/>
    <n v="1.5"/>
  </r>
  <r>
    <d v="2019-11-13T00:00:00"/>
    <x v="15"/>
    <s v="René Jeanjean"/>
    <x v="0"/>
    <x v="3"/>
    <x v="5"/>
    <s v="Fruité"/>
    <s v="-"/>
    <m/>
    <s v="oui"/>
    <m/>
    <n v="2"/>
    <n v="0.75"/>
    <n v="1.5"/>
  </r>
  <r>
    <d v="2019-11-13T00:00:00"/>
    <x v="15"/>
    <s v="René Jeanjean"/>
    <x v="0"/>
    <x v="3"/>
    <x v="5"/>
    <s v="Mûrs"/>
    <n v="15"/>
    <m/>
    <s v="oui"/>
    <m/>
    <n v="2"/>
    <n v="0.75"/>
    <n v="1.5"/>
  </r>
  <r>
    <d v="2019-11-13T00:00:00"/>
    <x v="2"/>
    <s v="-"/>
    <x v="0"/>
    <x v="2"/>
    <x v="5"/>
    <s v="vrac"/>
    <s v="-"/>
    <m/>
    <s v="oui"/>
    <m/>
    <n v="3"/>
    <n v="0.75"/>
    <n v="2.25"/>
  </r>
  <r>
    <d v="2019-11-14T00:00:00"/>
    <x v="33"/>
    <s v="Olivier Castillo"/>
    <x v="1"/>
    <x v="5"/>
    <x v="5"/>
    <s v="-"/>
    <n v="332"/>
    <m/>
    <s v="oui"/>
    <m/>
    <n v="2"/>
    <n v="0.75"/>
    <n v="1.5"/>
  </r>
  <r>
    <d v="2019-11-14T00:00:00"/>
    <x v="5"/>
    <s v="-"/>
    <x v="0"/>
    <x v="61"/>
    <x v="5"/>
    <s v="-"/>
    <s v="-"/>
    <m/>
    <s v="oui"/>
    <s v="70% 422 + 30% 207"/>
    <n v="2"/>
    <n v="0.75"/>
    <n v="1.5"/>
  </r>
  <r>
    <d v="2019-11-15T00:00:00"/>
    <x v="53"/>
    <s v="SP Wines"/>
    <x v="0"/>
    <x v="2"/>
    <x v="5"/>
    <s v="vrac"/>
    <s v="-"/>
    <m/>
    <s v="oui"/>
    <m/>
    <n v="2"/>
    <n v="0.75"/>
    <n v="1.5"/>
  </r>
  <r>
    <d v="2019-11-15T00:00:00"/>
    <x v="5"/>
    <s v="-"/>
    <x v="0"/>
    <x v="18"/>
    <x v="5"/>
    <s v="Bouteille"/>
    <n v="405"/>
    <m/>
    <s v="oui"/>
    <m/>
    <n v="2"/>
    <n v="0.75"/>
    <n v="1.5"/>
  </r>
  <r>
    <d v="2019-11-15T00:00:00"/>
    <x v="5"/>
    <s v="-"/>
    <x v="0"/>
    <x v="1"/>
    <x v="5"/>
    <s v="supérieur"/>
    <s v="-"/>
    <m/>
    <s v="oui"/>
    <m/>
    <n v="2"/>
    <n v="0.75"/>
    <n v="1.5"/>
  </r>
  <r>
    <d v="2019-11-18T00:00:00"/>
    <x v="9"/>
    <s v="Jacques Woloviek"/>
    <x v="0"/>
    <x v="0"/>
    <x v="5"/>
    <s v="variétal"/>
    <n v="402"/>
    <m/>
    <s v="oui"/>
    <m/>
    <n v="4"/>
    <n v="0.75"/>
    <n v="3"/>
  </r>
  <r>
    <d v="2019-11-18T00:00:00"/>
    <x v="9"/>
    <s v="Jacques Woloviek"/>
    <x v="0"/>
    <x v="1"/>
    <x v="5"/>
    <s v="variétal"/>
    <n v="307"/>
    <m/>
    <s v="oui"/>
    <m/>
    <n v="4"/>
    <n v="0.75"/>
    <n v="3"/>
  </r>
  <r>
    <d v="2019-11-18T00:00:00"/>
    <x v="1"/>
    <s v="Jacques Woloviek"/>
    <x v="2"/>
    <x v="7"/>
    <x v="5"/>
    <s v="Bouteille"/>
    <n v="134"/>
    <m/>
    <s v="oui"/>
    <m/>
    <n v="2"/>
    <n v="0.75"/>
    <n v="1.5"/>
  </r>
  <r>
    <d v="2019-11-18T00:00:00"/>
    <x v="2"/>
    <s v="-"/>
    <x v="0"/>
    <x v="0"/>
    <x v="5"/>
    <s v="supérieur"/>
    <n v="409"/>
    <m/>
    <s v="oui"/>
    <m/>
    <n v="2"/>
    <n v="0.75"/>
    <n v="1.5"/>
  </r>
  <r>
    <d v="2019-11-18T00:00:00"/>
    <x v="2"/>
    <s v="-"/>
    <x v="0"/>
    <x v="0"/>
    <x v="5"/>
    <s v="variétal"/>
    <n v="402"/>
    <m/>
    <s v="oui"/>
    <m/>
    <n v="2"/>
    <n v="0.75"/>
    <n v="1.5"/>
  </r>
  <r>
    <d v="2019-11-18T00:00:00"/>
    <x v="2"/>
    <s v="-"/>
    <x v="0"/>
    <x v="2"/>
    <x v="5"/>
    <s v="vrac"/>
    <n v="35"/>
    <m/>
    <s v="oui"/>
    <m/>
    <n v="4"/>
    <n v="0.75"/>
    <n v="3"/>
  </r>
  <r>
    <d v="2019-11-18T00:00:00"/>
    <x v="72"/>
    <s v="-"/>
    <x v="0"/>
    <x v="0"/>
    <x v="5"/>
    <s v="variétal"/>
    <n v="402"/>
    <m/>
    <s v="oui"/>
    <m/>
    <n v="2"/>
    <n v="0.75"/>
    <n v="1.5"/>
  </r>
  <r>
    <d v="2019-11-18T00:00:00"/>
    <x v="72"/>
    <s v="-"/>
    <x v="0"/>
    <x v="2"/>
    <x v="5"/>
    <s v="vrac"/>
    <n v="35"/>
    <m/>
    <s v="oui"/>
    <m/>
    <n v="2"/>
    <n v="0.75"/>
    <n v="1.5"/>
  </r>
  <r>
    <d v="2019-11-18T00:00:00"/>
    <x v="11"/>
    <s v="-"/>
    <x v="0"/>
    <x v="1"/>
    <x v="5"/>
    <s v="classique"/>
    <n v="206"/>
    <m/>
    <s v="oui"/>
    <s v="Nommé variétal pour Skalli"/>
    <n v="2"/>
    <n v="0.75"/>
    <n v="1.5"/>
  </r>
  <r>
    <d v="2019-11-18T00:00:00"/>
    <x v="11"/>
    <s v="-"/>
    <x v="0"/>
    <x v="0"/>
    <x v="5"/>
    <s v="supérieur"/>
    <n v="409"/>
    <m/>
    <s v="oui"/>
    <m/>
    <n v="2"/>
    <n v="0.75"/>
    <n v="1.5"/>
  </r>
  <r>
    <d v="2019-11-18T00:00:00"/>
    <x v="11"/>
    <s v="-"/>
    <x v="0"/>
    <x v="0"/>
    <x v="5"/>
    <s v="variétal"/>
    <n v="402"/>
    <m/>
    <s v="oui"/>
    <m/>
    <n v="2"/>
    <n v="0.75"/>
    <n v="1.5"/>
  </r>
  <r>
    <d v="2019-11-18T00:00:00"/>
    <x v="11"/>
    <s v="-"/>
    <x v="0"/>
    <x v="6"/>
    <x v="5"/>
    <s v="Oc Blanc"/>
    <n v="199"/>
    <m/>
    <s v="oui"/>
    <m/>
    <n v="2"/>
    <n v="0.75"/>
    <n v="1.5"/>
  </r>
  <r>
    <d v="2019-11-20T00:00:00"/>
    <x v="5"/>
    <s v="-"/>
    <x v="1"/>
    <x v="7"/>
    <x v="5"/>
    <s v="GCF"/>
    <n v="417"/>
    <m/>
    <s v="oui"/>
    <m/>
    <n v="8"/>
    <n v="0.75"/>
    <n v="6"/>
  </r>
  <r>
    <d v="2019-11-20T00:00:00"/>
    <x v="5"/>
    <s v="-"/>
    <x v="1"/>
    <x v="56"/>
    <x v="5"/>
    <s v="GCF"/>
    <n v="201"/>
    <m/>
    <s v="oui"/>
    <m/>
    <n v="6"/>
    <n v="0.75"/>
    <n v="4.5"/>
  </r>
  <r>
    <d v="2019-11-20T00:00:00"/>
    <x v="55"/>
    <s v="René Jeanjean"/>
    <x v="0"/>
    <x v="1"/>
    <x v="5"/>
    <s v="supérieur"/>
    <n v="200"/>
    <m/>
    <s v="oui"/>
    <m/>
    <n v="1"/>
    <n v="0.75"/>
    <n v="0.75"/>
  </r>
  <r>
    <d v="2019-11-20T00:00:00"/>
    <x v="55"/>
    <s v="René Jeanjean"/>
    <x v="0"/>
    <x v="2"/>
    <x v="5"/>
    <s v="supérieur"/>
    <n v="33"/>
    <m/>
    <s v="oui"/>
    <m/>
    <n v="1"/>
    <n v="0.75"/>
    <n v="0.75"/>
  </r>
  <r>
    <d v="2019-11-20T00:00:00"/>
    <x v="15"/>
    <s v="René Jeanjean"/>
    <x v="0"/>
    <x v="0"/>
    <x v="5"/>
    <s v="variétal"/>
    <n v="402"/>
    <m/>
    <s v="oui"/>
    <m/>
    <n v="1"/>
    <n v="0.75"/>
    <n v="0.75"/>
  </r>
  <r>
    <d v="2019-11-20T00:00:00"/>
    <x v="15"/>
    <s v="René Jeanjean"/>
    <x v="0"/>
    <x v="0"/>
    <x v="5"/>
    <s v="supérieur"/>
    <n v="409"/>
    <m/>
    <s v="oui"/>
    <m/>
    <n v="1"/>
    <n v="0.75"/>
    <n v="0.75"/>
  </r>
  <r>
    <d v="2019-11-20T00:00:00"/>
    <x v="19"/>
    <s v="-"/>
    <x v="0"/>
    <x v="0"/>
    <x v="5"/>
    <s v="Solis"/>
    <s v="-"/>
    <m/>
    <s v="oui"/>
    <s v="Lot Chardonnay Viognier"/>
    <n v="2"/>
    <n v="0.75"/>
    <n v="1.5"/>
  </r>
  <r>
    <d v="2019-11-20T00:00:00"/>
    <x v="2"/>
    <s v="-"/>
    <x v="1"/>
    <x v="46"/>
    <x v="5"/>
    <s v="Oc Rosé"/>
    <s v="-"/>
    <m/>
    <s v="oui"/>
    <m/>
    <n v="4"/>
    <n v="0.75"/>
    <n v="3"/>
  </r>
  <r>
    <d v="2019-11-20T00:00:00"/>
    <x v="2"/>
    <s v="-"/>
    <x v="0"/>
    <x v="0"/>
    <x v="5"/>
    <s v="variétal"/>
    <n v="402"/>
    <m/>
    <s v="oui"/>
    <m/>
    <n v="1"/>
    <n v="0.75"/>
    <n v="0.75"/>
  </r>
  <r>
    <d v="2019-11-20T00:00:00"/>
    <x v="2"/>
    <s v="-"/>
    <x v="0"/>
    <x v="0"/>
    <x v="5"/>
    <s v="supérieur"/>
    <n v="409"/>
    <m/>
    <s v="oui"/>
    <m/>
    <n v="1"/>
    <n v="0.75"/>
    <n v="0.75"/>
  </r>
  <r>
    <d v="2019-11-20T00:00:00"/>
    <x v="2"/>
    <s v="-"/>
    <x v="0"/>
    <x v="2"/>
    <x v="5"/>
    <s v="vrac"/>
    <n v="33"/>
    <m/>
    <s v="oui"/>
    <m/>
    <n v="4"/>
    <n v="0.75"/>
    <n v="3"/>
  </r>
  <r>
    <d v="2019-11-20T00:00:00"/>
    <x v="2"/>
    <s v="-"/>
    <x v="0"/>
    <x v="0"/>
    <x v="5"/>
    <s v="Celliers du Vent"/>
    <s v="-"/>
    <m/>
    <s v="oui"/>
    <s v="Lot Chardonnay Viognier"/>
    <n v="3"/>
    <n v="0.75"/>
    <n v="2.25"/>
  </r>
  <r>
    <d v="2019-11-20T00:00:00"/>
    <x v="2"/>
    <s v="-"/>
    <x v="0"/>
    <x v="0"/>
    <x v="5"/>
    <s v="variétal"/>
    <n v="402"/>
    <m/>
    <s v="oui"/>
    <m/>
    <n v="2"/>
    <n v="0.75"/>
    <n v="1.5"/>
  </r>
  <r>
    <d v="2019-11-20T00:00:00"/>
    <x v="2"/>
    <s v="-"/>
    <x v="0"/>
    <x v="0"/>
    <x v="5"/>
    <s v="supérieur"/>
    <n v="409"/>
    <m/>
    <s v="oui"/>
    <m/>
    <n v="2"/>
    <n v="0.75"/>
    <n v="1.5"/>
  </r>
  <r>
    <d v="2019-11-20T00:00:00"/>
    <x v="2"/>
    <s v="-"/>
    <x v="0"/>
    <x v="1"/>
    <x v="5"/>
    <s v="classique"/>
    <n v="54"/>
    <m/>
    <s v="oui"/>
    <m/>
    <n v="2"/>
    <n v="0.75"/>
    <n v="1.5"/>
  </r>
  <r>
    <d v="2019-11-20T00:00:00"/>
    <x v="2"/>
    <s v="-"/>
    <x v="0"/>
    <x v="1"/>
    <x v="5"/>
    <s v="variétal"/>
    <n v="28"/>
    <m/>
    <s v="oui"/>
    <m/>
    <n v="2"/>
    <n v="0.75"/>
    <n v="1.5"/>
  </r>
  <r>
    <d v="2019-11-20T00:00:00"/>
    <x v="2"/>
    <s v="-"/>
    <x v="0"/>
    <x v="1"/>
    <x v="5"/>
    <s v="supérieur"/>
    <n v="200"/>
    <m/>
    <s v="oui"/>
    <m/>
    <n v="2"/>
    <n v="0.75"/>
    <n v="1.5"/>
  </r>
  <r>
    <d v="2019-11-21T00:00:00"/>
    <x v="77"/>
    <s v="Claude Serra"/>
    <x v="0"/>
    <x v="0"/>
    <x v="5"/>
    <s v="Bouteille"/>
    <s v="CF2"/>
    <m/>
    <s v="oui"/>
    <m/>
    <n v="2"/>
    <n v="0.75"/>
    <n v="1.5"/>
  </r>
  <r>
    <d v="2019-11-21T00:00:00"/>
    <x v="77"/>
    <s v="Claude Serra"/>
    <x v="0"/>
    <x v="1"/>
    <x v="5"/>
    <s v="Primeur"/>
    <s v="CF6"/>
    <m/>
    <s v="oui"/>
    <m/>
    <n v="1"/>
    <n v="0.75"/>
    <n v="0.75"/>
  </r>
  <r>
    <d v="2019-11-21T00:00:00"/>
    <x v="77"/>
    <s v="Claude Serra"/>
    <x v="2"/>
    <x v="7"/>
    <x v="5"/>
    <s v="-"/>
    <n v="137"/>
    <m/>
    <s v="oui"/>
    <m/>
    <n v="1"/>
    <n v="0.75"/>
    <n v="0.75"/>
  </r>
  <r>
    <d v="2019-11-21T00:00:00"/>
    <x v="77"/>
    <s v="Claude Serra"/>
    <x v="1"/>
    <x v="29"/>
    <x v="5"/>
    <s v="Bouteille"/>
    <n v="25"/>
    <m/>
    <s v="oui"/>
    <m/>
    <n v="1"/>
    <n v="0.75"/>
    <n v="0.75"/>
  </r>
  <r>
    <d v="2019-11-21T00:00:00"/>
    <x v="77"/>
    <s v="Claude Serra"/>
    <x v="2"/>
    <x v="13"/>
    <x v="5"/>
    <s v="-"/>
    <n v="70"/>
    <m/>
    <s v="oui"/>
    <s v="Cabernet Franc"/>
    <n v="2"/>
    <n v="0.75"/>
    <n v="1.5"/>
  </r>
  <r>
    <d v="2019-11-21T00:00:00"/>
    <x v="25"/>
    <s v="SP Wines"/>
    <x v="0"/>
    <x v="0"/>
    <x v="5"/>
    <s v="variétal"/>
    <n v="402"/>
    <m/>
    <s v="oui"/>
    <m/>
    <n v="1"/>
    <n v="0.75"/>
    <n v="0.75"/>
  </r>
  <r>
    <d v="2019-11-21T00:00:00"/>
    <x v="25"/>
    <s v="SP Wines"/>
    <x v="0"/>
    <x v="0"/>
    <x v="5"/>
    <s v="supérieur"/>
    <n v="409"/>
    <m/>
    <s v="oui"/>
    <m/>
    <n v="1"/>
    <n v="0.75"/>
    <n v="0.75"/>
  </r>
  <r>
    <d v="2019-11-22T00:00:00"/>
    <x v="5"/>
    <s v="-"/>
    <x v="1"/>
    <x v="7"/>
    <x v="5"/>
    <s v="GCF"/>
    <n v="417"/>
    <m/>
    <s v="oui"/>
    <m/>
    <n v="8"/>
    <n v="0.75"/>
    <n v="6"/>
  </r>
  <r>
    <d v="2019-11-22T00:00:00"/>
    <x v="61"/>
    <s v="-"/>
    <x v="0"/>
    <x v="0"/>
    <x v="5"/>
    <s v="variétal"/>
    <n v="402"/>
    <m/>
    <s v="oui"/>
    <m/>
    <n v="2"/>
    <n v="0.75"/>
    <n v="1.5"/>
  </r>
  <r>
    <d v="2019-11-22T00:00:00"/>
    <x v="61"/>
    <s v="-"/>
    <x v="0"/>
    <x v="0"/>
    <x v="5"/>
    <s v="supérieur"/>
    <n v="409"/>
    <m/>
    <s v="oui"/>
    <m/>
    <n v="2"/>
    <n v="0.75"/>
    <n v="1.5"/>
  </r>
  <r>
    <d v="2019-11-22T00:00:00"/>
    <x v="61"/>
    <s v="-"/>
    <x v="0"/>
    <x v="2"/>
    <x v="5"/>
    <s v="vrac"/>
    <n v="33"/>
    <m/>
    <s v="oui"/>
    <m/>
    <n v="2"/>
    <n v="0.75"/>
    <n v="1.5"/>
  </r>
  <r>
    <d v="2019-11-22T00:00:00"/>
    <x v="61"/>
    <s v="-"/>
    <x v="0"/>
    <x v="16"/>
    <x v="5"/>
    <s v="Oc Blanc"/>
    <n v="413"/>
    <m/>
    <s v="oui"/>
    <m/>
    <n v="2"/>
    <n v="0.75"/>
    <n v="1.5"/>
  </r>
  <r>
    <d v="2019-11-22T00:00:00"/>
    <x v="61"/>
    <s v="-"/>
    <x v="0"/>
    <x v="16"/>
    <x v="4"/>
    <s v="Buvette"/>
    <n v="45"/>
    <m/>
    <s v="oui"/>
    <m/>
    <n v="2"/>
    <n v="0.75"/>
    <n v="1.5"/>
  </r>
  <r>
    <d v="2019-11-22T00:00:00"/>
    <x v="61"/>
    <s v="-"/>
    <x v="0"/>
    <x v="16"/>
    <x v="4"/>
    <s v="Thau Blanc"/>
    <n v="36"/>
    <m/>
    <s v="oui"/>
    <m/>
    <n v="2"/>
    <n v="0.75"/>
    <n v="1.5"/>
  </r>
  <r>
    <d v="2019-11-25T00:00:00"/>
    <x v="15"/>
    <s v="René Jeanjean"/>
    <x v="0"/>
    <x v="1"/>
    <x v="5"/>
    <s v="supérieur"/>
    <n v="411"/>
    <m/>
    <s v="oui"/>
    <m/>
    <n v="3"/>
    <n v="0.75"/>
    <n v="2.25"/>
  </r>
  <r>
    <d v="2019-11-25T00:00:00"/>
    <x v="15"/>
    <s v="René Jeanjean"/>
    <x v="0"/>
    <x v="2"/>
    <x v="5"/>
    <s v="vrac"/>
    <n v="33"/>
    <m/>
    <s v="oui"/>
    <m/>
    <n v="2"/>
    <n v="0.75"/>
    <n v="1.5"/>
  </r>
  <r>
    <d v="2019-11-25T00:00:00"/>
    <x v="15"/>
    <s v="René Jeanjean"/>
    <x v="0"/>
    <x v="3"/>
    <x v="5"/>
    <s v="Frais"/>
    <n v="309"/>
    <m/>
    <s v="oui"/>
    <m/>
    <n v="1"/>
    <n v="0.75"/>
    <n v="0.75"/>
  </r>
  <r>
    <d v="2019-11-25T00:00:00"/>
    <x v="15"/>
    <s v="René Jeanjean"/>
    <x v="0"/>
    <x v="3"/>
    <x v="5"/>
    <s v="Mûrs"/>
    <n v="331"/>
    <m/>
    <s v="oui"/>
    <m/>
    <n v="1"/>
    <n v="0.75"/>
    <n v="0.75"/>
  </r>
  <r>
    <d v="2019-11-25T00:00:00"/>
    <x v="1"/>
    <s v="Olivier Castillo"/>
    <x v="0"/>
    <x v="1"/>
    <x v="5"/>
    <s v="classique"/>
    <n v="310"/>
    <m/>
    <s v="oui"/>
    <m/>
    <n v="2"/>
    <n v="0.75"/>
    <n v="1.5"/>
  </r>
  <r>
    <d v="2019-11-25T00:00:00"/>
    <x v="1"/>
    <s v="Olivier Castillo"/>
    <x v="1"/>
    <x v="5"/>
    <x v="5"/>
    <s v="-"/>
    <n v="332"/>
    <m/>
    <s v="oui"/>
    <m/>
    <n v="1"/>
    <n v="0.75"/>
    <n v="0.75"/>
  </r>
  <r>
    <d v="2019-11-28T00:00:00"/>
    <x v="61"/>
    <s v="-"/>
    <x v="0"/>
    <x v="0"/>
    <x v="5"/>
    <s v="variétal"/>
    <n v="403"/>
    <m/>
    <s v="oui"/>
    <m/>
    <n v="5"/>
    <n v="0.75"/>
    <n v="3.75"/>
  </r>
  <r>
    <d v="2019-11-28T00:00:00"/>
    <x v="61"/>
    <s v="-"/>
    <x v="0"/>
    <x v="0"/>
    <x v="5"/>
    <s v="supérieur"/>
    <n v="37"/>
    <m/>
    <s v="oui"/>
    <m/>
    <n v="2"/>
    <n v="0.75"/>
    <n v="1.5"/>
  </r>
  <r>
    <d v="2019-11-28T00:00:00"/>
    <x v="61"/>
    <s v="-"/>
    <x v="0"/>
    <x v="2"/>
    <x v="5"/>
    <s v="vrac"/>
    <n v="33"/>
    <m/>
    <s v="oui"/>
    <m/>
    <n v="2"/>
    <n v="0.75"/>
    <n v="1.5"/>
  </r>
  <r>
    <d v="2019-11-28T00:00:00"/>
    <x v="61"/>
    <s v="-"/>
    <x v="0"/>
    <x v="16"/>
    <x v="5"/>
    <s v="Oc Blanc"/>
    <n v="407"/>
    <m/>
    <s v="oui"/>
    <m/>
    <n v="2"/>
    <n v="0.75"/>
    <n v="1.5"/>
  </r>
  <r>
    <d v="2019-11-28T00:00:00"/>
    <x v="5"/>
    <s v="-"/>
    <x v="0"/>
    <x v="17"/>
    <x v="5"/>
    <s v="Thau Blanc"/>
    <s v="-"/>
    <m/>
    <s v="oui"/>
    <m/>
    <n v="2"/>
    <n v="0.75"/>
    <n v="1.5"/>
  </r>
  <r>
    <d v="2019-11-28T00:00:00"/>
    <x v="5"/>
    <s v="-"/>
    <x v="0"/>
    <x v="17"/>
    <x v="5"/>
    <s v="Colombard"/>
    <s v="-"/>
    <m/>
    <s v="oui"/>
    <m/>
    <n v="2"/>
    <n v="0.75"/>
    <n v="1.5"/>
  </r>
  <r>
    <d v="2019-11-29T00:00:00"/>
    <x v="78"/>
    <s v="SP Wines"/>
    <x v="0"/>
    <x v="9"/>
    <x v="5"/>
    <s v="-"/>
    <s v="NP70"/>
    <m/>
    <s v="oui"/>
    <m/>
    <n v="3"/>
    <n v="0.75"/>
    <n v="2.25"/>
  </r>
  <r>
    <d v="2019-12-02T00:00:00"/>
    <x v="9"/>
    <s v="Jacques Woloviek"/>
    <x v="0"/>
    <x v="0"/>
    <x v="5"/>
    <s v="classique"/>
    <n v="203"/>
    <m/>
    <s v="oui"/>
    <m/>
    <n v="2"/>
    <n v="0.75"/>
    <n v="1.5"/>
  </r>
  <r>
    <d v="2019-12-02T00:00:00"/>
    <x v="9"/>
    <s v="Jacques Woloviek"/>
    <x v="0"/>
    <x v="0"/>
    <x v="5"/>
    <s v="supérieur"/>
    <n v="409"/>
    <m/>
    <s v="oui"/>
    <m/>
    <n v="2"/>
    <n v="0.75"/>
    <n v="1.5"/>
  </r>
  <r>
    <d v="2019-12-02T00:00:00"/>
    <x v="9"/>
    <s v="Jacques Woloviek"/>
    <x v="0"/>
    <x v="1"/>
    <x v="5"/>
    <s v="variétal"/>
    <n v="54"/>
    <m/>
    <s v="oui"/>
    <m/>
    <n v="6"/>
    <n v="0.75"/>
    <n v="4.5"/>
  </r>
  <r>
    <d v="2019-12-02T00:00:00"/>
    <x v="9"/>
    <s v="Jacques Woloviek"/>
    <x v="0"/>
    <x v="2"/>
    <x v="5"/>
    <s v="vrac"/>
    <n v="33"/>
    <m/>
    <s v="oui"/>
    <m/>
    <n v="2"/>
    <n v="0.75"/>
    <n v="1.5"/>
  </r>
  <r>
    <d v="2019-12-02T00:00:00"/>
    <x v="55"/>
    <s v="René Jeanjean"/>
    <x v="0"/>
    <x v="2"/>
    <x v="5"/>
    <s v="vrac"/>
    <n v="33"/>
    <m/>
    <s v="oui"/>
    <m/>
    <n v="1"/>
    <n v="0.75"/>
    <n v="0.75"/>
  </r>
  <r>
    <d v="2019-12-02T00:00:00"/>
    <x v="15"/>
    <s v="René Jeanjean"/>
    <x v="0"/>
    <x v="1"/>
    <x v="5"/>
    <s v="supérieur"/>
    <n v="411"/>
    <m/>
    <s v="oui"/>
    <m/>
    <n v="8"/>
    <n v="0.75"/>
    <n v="6"/>
  </r>
  <r>
    <d v="2019-12-02T00:00:00"/>
    <x v="15"/>
    <s v="René Jeanjean"/>
    <x v="0"/>
    <x v="2"/>
    <x v="5"/>
    <s v="vrac"/>
    <n v="33"/>
    <m/>
    <s v="oui"/>
    <m/>
    <n v="1"/>
    <n v="0.75"/>
    <n v="0.75"/>
  </r>
  <r>
    <d v="2019-12-02T00:00:00"/>
    <x v="15"/>
    <s v="René Jeanjean"/>
    <x v="0"/>
    <x v="3"/>
    <x v="5"/>
    <s v="Frais"/>
    <n v="309"/>
    <m/>
    <s v="oui"/>
    <m/>
    <n v="1"/>
    <n v="0.75"/>
    <n v="0.75"/>
  </r>
  <r>
    <d v="2019-12-02T00:00:00"/>
    <x v="43"/>
    <s v="Vailhere Pascal"/>
    <x v="0"/>
    <x v="3"/>
    <x v="5"/>
    <s v="Lot n°1"/>
    <n v="84"/>
    <m/>
    <s v="oui"/>
    <m/>
    <n v="2"/>
    <n v="0.75"/>
    <n v="1.5"/>
  </r>
  <r>
    <d v="2019-12-02T00:00:00"/>
    <x v="43"/>
    <s v="Vailhere Pascal"/>
    <x v="0"/>
    <x v="3"/>
    <x v="5"/>
    <s v="Lot n°2"/>
    <s v="-"/>
    <m/>
    <s v="oui"/>
    <m/>
    <n v="2"/>
    <n v="0.75"/>
    <n v="1.5"/>
  </r>
  <r>
    <d v="2019-12-02T00:00:00"/>
    <x v="43"/>
    <s v="Vailhere Pascal"/>
    <x v="0"/>
    <x v="3"/>
    <x v="5"/>
    <s v="Lot n°3"/>
    <s v="-"/>
    <m/>
    <s v="oui"/>
    <m/>
    <n v="2"/>
    <n v="0.75"/>
    <n v="1.5"/>
  </r>
  <r>
    <d v="2019-12-02T00:00:00"/>
    <x v="2"/>
    <s v="-"/>
    <x v="0"/>
    <x v="0"/>
    <x v="5"/>
    <s v="variétal"/>
    <n v="403"/>
    <m/>
    <s v="oui"/>
    <m/>
    <n v="6"/>
    <n v="0.75"/>
    <n v="4.5"/>
  </r>
  <r>
    <d v="2019-12-02T00:00:00"/>
    <x v="2"/>
    <s v="-"/>
    <x v="0"/>
    <x v="0"/>
    <x v="5"/>
    <s v="supérieur"/>
    <n v="409"/>
    <m/>
    <s v="oui"/>
    <m/>
    <n v="6"/>
    <n v="0.75"/>
    <n v="4.5"/>
  </r>
  <r>
    <d v="2019-12-02T00:00:00"/>
    <x v="2"/>
    <s v="-"/>
    <x v="0"/>
    <x v="0"/>
    <x v="5"/>
    <s v="Lot Celliers du Vent"/>
    <n v="405"/>
    <m/>
    <s v="oui"/>
    <m/>
    <n v="6"/>
    <n v="0.75"/>
    <n v="4.5"/>
  </r>
  <r>
    <d v="2019-12-02T00:00:00"/>
    <x v="2"/>
    <s v="-"/>
    <x v="0"/>
    <x v="2"/>
    <x v="5"/>
    <s v="vrac"/>
    <n v="33"/>
    <m/>
    <s v="oui"/>
    <m/>
    <n v="4"/>
    <n v="0.75"/>
    <n v="3"/>
  </r>
  <r>
    <d v="2019-12-03T00:00:00"/>
    <x v="61"/>
    <s v="-"/>
    <x v="0"/>
    <x v="0"/>
    <x v="5"/>
    <s v="variétal"/>
    <n v="403"/>
    <m/>
    <s v="oui"/>
    <m/>
    <n v="3"/>
    <n v="0.75"/>
    <n v="2.25"/>
  </r>
  <r>
    <d v="2019-12-04T00:00:00"/>
    <x v="5"/>
    <s v="-"/>
    <x v="1"/>
    <x v="7"/>
    <x v="5"/>
    <s v="GCF"/>
    <n v="417"/>
    <m/>
    <s v="oui"/>
    <m/>
    <n v="2"/>
    <n v="0.75"/>
    <n v="1.5"/>
  </r>
  <r>
    <d v="2019-12-04T00:00:00"/>
    <x v="5"/>
    <s v="-"/>
    <x v="1"/>
    <x v="62"/>
    <x v="5"/>
    <s v="GCF"/>
    <n v="205"/>
    <m/>
    <s v="oui"/>
    <m/>
    <n v="2"/>
    <n v="0.75"/>
    <n v="1.5"/>
  </r>
  <r>
    <d v="2019-12-04T00:00:00"/>
    <x v="41"/>
    <s v="San Nicolas"/>
    <x v="0"/>
    <x v="1"/>
    <x v="5"/>
    <s v="Bouteille"/>
    <n v="415"/>
    <m/>
    <s v="oui"/>
    <m/>
    <n v="2"/>
    <n v="0.75"/>
    <n v="1.5"/>
  </r>
  <r>
    <d v="2019-12-04T00:00:00"/>
    <x v="41"/>
    <s v="San Nicolas"/>
    <x v="0"/>
    <x v="0"/>
    <x v="5"/>
    <s v="Bouteille"/>
    <n v="31"/>
    <m/>
    <s v="oui"/>
    <m/>
    <n v="2"/>
    <n v="0.75"/>
    <n v="1.5"/>
  </r>
  <r>
    <d v="2019-12-04T00:00:00"/>
    <x v="41"/>
    <s v="San Nicolas"/>
    <x v="0"/>
    <x v="3"/>
    <x v="5"/>
    <s v="Bouteille"/>
    <n v="12"/>
    <m/>
    <s v="oui"/>
    <m/>
    <n v="2"/>
    <n v="0.75"/>
    <n v="1.5"/>
  </r>
  <r>
    <d v="2019-12-04T00:00:00"/>
    <x v="41"/>
    <s v="San Nicolas"/>
    <x v="0"/>
    <x v="2"/>
    <x v="5"/>
    <s v="Bouteille"/>
    <n v="23"/>
    <m/>
    <s v="oui"/>
    <m/>
    <n v="2"/>
    <n v="0.75"/>
    <n v="1.5"/>
  </r>
  <r>
    <d v="2019-12-04T00:00:00"/>
    <x v="79"/>
    <s v="Olivier Castillo"/>
    <x v="0"/>
    <x v="1"/>
    <x v="5"/>
    <s v="classique"/>
    <n v="54"/>
    <m/>
    <s v="oui"/>
    <m/>
    <n v="2"/>
    <n v="0.75"/>
    <n v="1.5"/>
  </r>
  <r>
    <d v="2019-12-05T00:00:00"/>
    <x v="80"/>
    <s v="Gilles Louvet"/>
    <x v="0"/>
    <x v="1"/>
    <x v="5"/>
    <s v="variétal"/>
    <n v="38"/>
    <m/>
    <s v="oui"/>
    <m/>
    <n v="1"/>
    <n v="0.75"/>
    <n v="0.75"/>
  </r>
  <r>
    <d v="2019-12-05T00:00:00"/>
    <x v="80"/>
    <s v="Gilles Louvet"/>
    <x v="0"/>
    <x v="1"/>
    <x v="5"/>
    <s v="supérieur"/>
    <n v="411"/>
    <m/>
    <s v="oui"/>
    <m/>
    <n v="1"/>
    <n v="0.75"/>
    <n v="0.75"/>
  </r>
  <r>
    <d v="2019-12-05T00:00:00"/>
    <x v="80"/>
    <s v="Gilles Louvet"/>
    <x v="0"/>
    <x v="1"/>
    <x v="5"/>
    <s v="Bouteille"/>
    <n v="415"/>
    <m/>
    <s v="oui"/>
    <m/>
    <n v="1"/>
    <n v="0.75"/>
    <n v="0.75"/>
  </r>
  <r>
    <d v="2019-12-05T00:00:00"/>
    <x v="80"/>
    <s v="Gilles Louvet"/>
    <x v="0"/>
    <x v="16"/>
    <x v="5"/>
    <s v="Oc Blanc"/>
    <n v="424"/>
    <m/>
    <s v="oui"/>
    <m/>
    <n v="1"/>
    <n v="0.75"/>
    <n v="0.75"/>
  </r>
  <r>
    <d v="2019-12-05T00:00:00"/>
    <x v="80"/>
    <s v="Gilles Louvet"/>
    <x v="0"/>
    <x v="63"/>
    <x v="5"/>
    <s v="Bouteille"/>
    <n v="420"/>
    <m/>
    <s v="oui"/>
    <m/>
    <n v="1"/>
    <n v="0.75"/>
    <n v="0.75"/>
  </r>
  <r>
    <d v="2019-12-05T00:00:00"/>
    <x v="80"/>
    <s v="Gilles Louvet"/>
    <x v="0"/>
    <x v="21"/>
    <x v="5"/>
    <s v="vrac"/>
    <n v="24"/>
    <m/>
    <s v="oui"/>
    <m/>
    <n v="1"/>
    <n v="0.75"/>
    <n v="0.75"/>
  </r>
  <r>
    <d v="2019-12-05T00:00:00"/>
    <x v="80"/>
    <s v="Gilles Louvet"/>
    <x v="2"/>
    <x v="7"/>
    <x v="5"/>
    <s v="vrac"/>
    <s v="-"/>
    <m/>
    <s v="oui"/>
    <m/>
    <n v="1"/>
    <n v="0.75"/>
    <n v="0.75"/>
  </r>
  <r>
    <d v="2019-12-05T00:00:00"/>
    <x v="80"/>
    <s v="Gilles Louvet"/>
    <x v="2"/>
    <x v="7"/>
    <x v="5"/>
    <s v="Bouteille"/>
    <n v="419"/>
    <m/>
    <s v="oui"/>
    <m/>
    <n v="1"/>
    <n v="0.75"/>
    <n v="0.75"/>
  </r>
  <r>
    <d v="2019-12-06T00:00:00"/>
    <x v="9"/>
    <s v="Jacques Woloviek"/>
    <x v="0"/>
    <x v="0"/>
    <x v="5"/>
    <s v="Petit degré"/>
    <n v="203"/>
    <m/>
    <s v="oui"/>
    <m/>
    <n v="2"/>
    <n v="0.75"/>
    <n v="1.5"/>
  </r>
  <r>
    <d v="2019-12-06T00:00:00"/>
    <x v="9"/>
    <s v="Jacques Woloviek"/>
    <x v="0"/>
    <x v="0"/>
    <x v="5"/>
    <s v="supérieur"/>
    <n v="409"/>
    <m/>
    <s v="oui"/>
    <m/>
    <n v="2"/>
    <n v="0.75"/>
    <n v="1.5"/>
  </r>
  <r>
    <d v="2019-12-06T00:00:00"/>
    <x v="9"/>
    <s v="Jacques Woloviek"/>
    <x v="0"/>
    <x v="1"/>
    <x v="5"/>
    <s v="classique"/>
    <n v="54"/>
    <m/>
    <s v="oui"/>
    <m/>
    <n v="2"/>
    <n v="0.75"/>
    <n v="1.5"/>
  </r>
  <r>
    <d v="2019-12-06T00:00:00"/>
    <x v="9"/>
    <s v="Jacques Woloviek"/>
    <x v="1"/>
    <x v="7"/>
    <x v="5"/>
    <s v="Lot 1"/>
    <n v="30"/>
    <m/>
    <s v="oui"/>
    <m/>
    <n v="1"/>
    <n v="0.75"/>
    <n v="0.75"/>
  </r>
  <r>
    <d v="2019-12-06T00:00:00"/>
    <x v="9"/>
    <s v="Jacques Woloviek"/>
    <x v="1"/>
    <x v="13"/>
    <x v="5"/>
    <s v="-"/>
    <n v="14"/>
    <m/>
    <s v="oui"/>
    <m/>
    <n v="1"/>
    <n v="0.75"/>
    <n v="0.75"/>
  </r>
  <r>
    <d v="2019-12-06T00:00:00"/>
    <x v="9"/>
    <s v="Jacques Woloviek"/>
    <x v="0"/>
    <x v="16"/>
    <x v="5"/>
    <s v="Oc Blanc"/>
    <n v="407"/>
    <m/>
    <s v="oui"/>
    <m/>
    <n v="2"/>
    <n v="0.75"/>
    <n v="1.5"/>
  </r>
  <r>
    <d v="2019-12-06T00:00:00"/>
    <x v="9"/>
    <s v="Jacques Woloviek"/>
    <x v="1"/>
    <x v="10"/>
    <x v="5"/>
    <s v="Oc Rosé"/>
    <n v="424"/>
    <m/>
    <s v="oui"/>
    <m/>
    <n v="2"/>
    <n v="0.75"/>
    <n v="1.5"/>
  </r>
  <r>
    <d v="2019-12-06T00:00:00"/>
    <x v="9"/>
    <s v="Jacques Woloviek"/>
    <x v="0"/>
    <x v="2"/>
    <x v="5"/>
    <s v="vrac"/>
    <n v="49"/>
    <m/>
    <s v="oui"/>
    <m/>
    <n v="2"/>
    <n v="0.75"/>
    <n v="1.5"/>
  </r>
  <r>
    <d v="2019-12-06T00:00:00"/>
    <x v="9"/>
    <s v="Jacques Woloviek"/>
    <x v="2"/>
    <x v="13"/>
    <x v="4"/>
    <s v="Bouteille"/>
    <s v="FK09"/>
    <m/>
    <s v="oui"/>
    <m/>
    <n v="1"/>
    <n v="0.75"/>
    <n v="0.75"/>
  </r>
  <r>
    <d v="2019-12-09T00:00:00"/>
    <x v="5"/>
    <s v="-"/>
    <x v="0"/>
    <x v="17"/>
    <x v="5"/>
    <s v="-"/>
    <n v="197"/>
    <m/>
    <s v="oui"/>
    <m/>
    <n v="3"/>
    <n v="0.75"/>
    <n v="2.25"/>
  </r>
  <r>
    <d v="2019-12-09T00:00:00"/>
    <x v="5"/>
    <s v="-"/>
    <x v="0"/>
    <x v="49"/>
    <x v="5"/>
    <s v="-"/>
    <s v="-"/>
    <m/>
    <s v="oui"/>
    <m/>
    <n v="3"/>
    <n v="0.75"/>
    <n v="2.25"/>
  </r>
  <r>
    <d v="2019-12-10T00:00:00"/>
    <x v="2"/>
    <s v="-"/>
    <x v="0"/>
    <x v="0"/>
    <x v="5"/>
    <s v="variétal"/>
    <n v="402"/>
    <m/>
    <s v="oui"/>
    <m/>
    <n v="3"/>
    <n v="0.75"/>
    <n v="2.25"/>
  </r>
  <r>
    <d v="2019-12-10T00:00:00"/>
    <x v="2"/>
    <s v="-"/>
    <x v="0"/>
    <x v="0"/>
    <x v="5"/>
    <s v="supérieur"/>
    <n v="409"/>
    <m/>
    <s v="oui"/>
    <m/>
    <n v="3"/>
    <n v="0.75"/>
    <n v="2.25"/>
  </r>
  <r>
    <d v="2019-12-10T00:00:00"/>
    <x v="72"/>
    <s v="-"/>
    <x v="1"/>
    <x v="38"/>
    <x v="5"/>
    <s v="Oc Rosé"/>
    <n v="424"/>
    <m/>
    <s v="oui"/>
    <m/>
    <n v="3"/>
    <n v="0.75"/>
    <n v="2.25"/>
  </r>
  <r>
    <d v="2019-12-10T00:00:00"/>
    <x v="17"/>
    <s v="-"/>
    <x v="0"/>
    <x v="34"/>
    <x v="5"/>
    <s v="Oc Blanc"/>
    <n v="200"/>
    <m/>
    <s v="oui"/>
    <m/>
    <n v="2"/>
    <n v="0.75"/>
    <n v="1.5"/>
  </r>
  <r>
    <d v="2019-12-10T00:00:00"/>
    <x v="17"/>
    <s v="-"/>
    <x v="1"/>
    <x v="47"/>
    <x v="5"/>
    <s v="Oc Rosé"/>
    <n v="424"/>
    <m/>
    <s v="oui"/>
    <m/>
    <n v="2"/>
    <n v="0.75"/>
    <n v="1.5"/>
  </r>
  <r>
    <d v="2019-12-10T00:00:00"/>
    <x v="17"/>
    <s v="-"/>
    <x v="2"/>
    <x v="45"/>
    <x v="5"/>
    <s v="Lot Buxy"/>
    <n v="305"/>
    <m/>
    <s v="oui"/>
    <m/>
    <n v="2"/>
    <n v="0.75"/>
    <n v="1.5"/>
  </r>
  <r>
    <d v="2019-12-11T00:00:00"/>
    <x v="1"/>
    <s v="Cathala"/>
    <x v="0"/>
    <x v="0"/>
    <x v="5"/>
    <s v="Bouteille"/>
    <n v="31"/>
    <m/>
    <s v="oui"/>
    <m/>
    <n v="3"/>
    <n v="0.75"/>
    <n v="2.25"/>
  </r>
  <r>
    <d v="2019-12-12T00:00:00"/>
    <x v="81"/>
    <s v="-"/>
    <x v="0"/>
    <x v="64"/>
    <x v="5"/>
    <s v="-"/>
    <s v="-"/>
    <m/>
    <s v="oui"/>
    <s v="70% Viognier vrac + 30 % Muscat vrac"/>
    <n v="2"/>
    <n v="0.75"/>
    <n v="1.5"/>
  </r>
  <r>
    <d v="2019-12-16T00:00:00"/>
    <x v="6"/>
    <s v="Vailhere Pascal"/>
    <x v="2"/>
    <x v="13"/>
    <x v="5"/>
    <s v="vrac"/>
    <n v="403"/>
    <m/>
    <s v="oui"/>
    <m/>
    <n v="2"/>
    <n v="0.75"/>
    <n v="1.5"/>
  </r>
  <r>
    <d v="2019-12-16T00:00:00"/>
    <x v="5"/>
    <s v="-"/>
    <x v="0"/>
    <x v="0"/>
    <x v="5"/>
    <s v="GCF"/>
    <n v="311"/>
    <m/>
    <s v="oui"/>
    <m/>
    <n v="1"/>
    <n v="0.75"/>
    <n v="0.75"/>
  </r>
  <r>
    <d v="2019-12-16T00:00:00"/>
    <x v="5"/>
    <s v="-"/>
    <x v="0"/>
    <x v="17"/>
    <x v="5"/>
    <s v="GCF"/>
    <n v="199"/>
    <m/>
    <s v="oui"/>
    <m/>
    <n v="1"/>
    <n v="0.75"/>
    <n v="0.75"/>
  </r>
  <r>
    <d v="2019-12-16T00:00:00"/>
    <x v="2"/>
    <s v="-"/>
    <x v="0"/>
    <x v="6"/>
    <x v="5"/>
    <s v="GCF"/>
    <n v="199"/>
    <m/>
    <s v="oui"/>
    <m/>
    <n v="2"/>
    <n v="0.75"/>
    <n v="1.5"/>
  </r>
  <r>
    <d v="2019-12-16T00:00:00"/>
    <x v="5"/>
    <s v="-"/>
    <x v="0"/>
    <x v="1"/>
    <x v="5"/>
    <s v="GCF"/>
    <s v="-"/>
    <m/>
    <s v="oui"/>
    <m/>
    <n v="1"/>
    <n v="0.75"/>
    <n v="0.75"/>
  </r>
  <r>
    <d v="2019-12-16T00:00:00"/>
    <x v="5"/>
    <s v="-"/>
    <x v="1"/>
    <x v="7"/>
    <x v="5"/>
    <s v="GCF"/>
    <s v="-"/>
    <m/>
    <s v="oui"/>
    <m/>
    <n v="1"/>
    <n v="0.75"/>
    <n v="0.75"/>
  </r>
  <r>
    <d v="2019-12-16T00:00:00"/>
    <x v="5"/>
    <s v="-"/>
    <x v="1"/>
    <x v="56"/>
    <x v="5"/>
    <s v="GCF"/>
    <n v="201"/>
    <m/>
    <s v="oui"/>
    <m/>
    <n v="1"/>
    <n v="0.75"/>
    <n v="0.75"/>
  </r>
  <r>
    <d v="2019-12-16T00:00:00"/>
    <x v="5"/>
    <s v="-"/>
    <x v="0"/>
    <x v="20"/>
    <x v="5"/>
    <s v="-"/>
    <n v="306"/>
    <m/>
    <s v="oui"/>
    <m/>
    <n v="1"/>
    <n v="0.75"/>
    <n v="0.75"/>
  </r>
  <r>
    <d v="2019-12-17T00:00:00"/>
    <x v="15"/>
    <s v="René Jeanjean"/>
    <x v="0"/>
    <x v="1"/>
    <x v="5"/>
    <s v="supérieur"/>
    <n v="412"/>
    <m/>
    <s v="oui"/>
    <m/>
    <n v="2"/>
    <n v="0.75"/>
    <n v="1.5"/>
  </r>
  <r>
    <d v="2019-12-17T00:00:00"/>
    <x v="15"/>
    <s v="René Jeanjean"/>
    <x v="0"/>
    <x v="2"/>
    <x v="5"/>
    <s v="vrac"/>
    <n v="49"/>
    <m/>
    <s v="oui"/>
    <m/>
    <n v="2"/>
    <n v="0.75"/>
    <n v="1.5"/>
  </r>
  <r>
    <d v="2019-12-18T00:00:00"/>
    <x v="54"/>
    <s v="Murphy winecompany"/>
    <x v="0"/>
    <x v="0"/>
    <x v="5"/>
    <s v="Petit degré"/>
    <n v="203"/>
    <m/>
    <s v="oui"/>
    <n v="0.02"/>
    <n v="2"/>
    <n v="0.75"/>
    <n v="1.5"/>
  </r>
  <r>
    <d v="2019-12-18T00:00:00"/>
    <x v="46"/>
    <s v="-"/>
    <x v="0"/>
    <x v="6"/>
    <x v="5"/>
    <s v="Oc Blanc"/>
    <n v="407"/>
    <m/>
    <s v="oui"/>
    <m/>
    <n v="2"/>
    <n v="0.75"/>
    <n v="1.5"/>
  </r>
  <r>
    <d v="2019-12-20T00:00:00"/>
    <x v="5"/>
    <s v="-"/>
    <x v="1"/>
    <x v="7"/>
    <x v="5"/>
    <s v="GCF"/>
    <n v="417"/>
    <m/>
    <s v="oui"/>
    <m/>
    <n v="10"/>
    <n v="0.75"/>
    <n v="7.5"/>
  </r>
  <r>
    <d v="2019-12-20T00:00:00"/>
    <x v="5"/>
    <s v="-"/>
    <x v="1"/>
    <x v="62"/>
    <x v="5"/>
    <s v="GCF"/>
    <n v="201"/>
    <m/>
    <s v="oui"/>
    <m/>
    <n v="4"/>
    <n v="0.75"/>
    <n v="3"/>
  </r>
  <r>
    <d v="2020-01-06T00:00:00"/>
    <x v="82"/>
    <s v="-"/>
    <x v="1"/>
    <x v="7"/>
    <x v="5"/>
    <s v="GCF"/>
    <n v="417"/>
    <m/>
    <s v="oui"/>
    <m/>
    <n v="3"/>
    <n v="0.75"/>
    <n v="2.25"/>
  </r>
  <r>
    <d v="2020-01-06T00:00:00"/>
    <x v="5"/>
    <s v="-"/>
    <x v="1"/>
    <x v="56"/>
    <x v="5"/>
    <s v="GCF"/>
    <n v="201"/>
    <m/>
    <s v="oui"/>
    <m/>
    <n v="3"/>
    <n v="0.75"/>
    <n v="2.25"/>
  </r>
  <r>
    <d v="2020-01-06T00:00:00"/>
    <x v="2"/>
    <s v="-"/>
    <x v="0"/>
    <x v="0"/>
    <x v="5"/>
    <s v="variétal"/>
    <n v="402"/>
    <m/>
    <s v="oui"/>
    <m/>
    <n v="3"/>
    <n v="0.75"/>
    <n v="2.25"/>
  </r>
  <r>
    <d v="2020-01-06T00:00:00"/>
    <x v="2"/>
    <s v="-"/>
    <x v="0"/>
    <x v="0"/>
    <x v="5"/>
    <s v="supérieur"/>
    <n v="409"/>
    <m/>
    <s v="oui"/>
    <m/>
    <n v="3"/>
    <n v="0.75"/>
    <n v="2.25"/>
  </r>
  <r>
    <d v="2020-01-06T00:00:00"/>
    <x v="61"/>
    <s v="-"/>
    <x v="0"/>
    <x v="0"/>
    <x v="5"/>
    <s v="variétal"/>
    <n v="402"/>
    <m/>
    <s v="oui"/>
    <m/>
    <n v="2"/>
    <n v="0.75"/>
    <n v="1.5"/>
  </r>
  <r>
    <d v="2020-01-07T00:00:00"/>
    <x v="11"/>
    <s v="-"/>
    <x v="1"/>
    <x v="38"/>
    <x v="5"/>
    <s v="Oc Rosé"/>
    <n v="10"/>
    <m/>
    <s v="oui"/>
    <m/>
    <n v="2"/>
    <n v="0.75"/>
    <n v="1.5"/>
  </r>
  <r>
    <d v="2020-01-07T00:00:00"/>
    <x v="11"/>
    <s v="-"/>
    <x v="0"/>
    <x v="1"/>
    <x v="5"/>
    <s v="classique"/>
    <n v="79"/>
    <m/>
    <s v="oui"/>
    <s v="Nommé variétal pour Skalli"/>
    <n v="2"/>
    <n v="0.75"/>
    <n v="1.5"/>
  </r>
  <r>
    <d v="2020-01-08T00:00:00"/>
    <x v="5"/>
    <s v="-"/>
    <x v="0"/>
    <x v="1"/>
    <x v="5"/>
    <s v="GCF"/>
    <s v="-"/>
    <m/>
    <s v="oui"/>
    <m/>
    <n v="3"/>
    <n v="0.75"/>
    <n v="2.25"/>
  </r>
  <r>
    <d v="2020-01-08T00:00:00"/>
    <x v="5"/>
    <s v="-"/>
    <x v="0"/>
    <x v="0"/>
    <x v="5"/>
    <s v="GCF"/>
    <n v="304"/>
    <m/>
    <s v="oui"/>
    <m/>
    <n v="3"/>
    <n v="0.75"/>
    <n v="2.25"/>
  </r>
  <r>
    <d v="2020-01-08T00:00:00"/>
    <x v="5"/>
    <s v="-"/>
    <x v="1"/>
    <x v="7"/>
    <x v="5"/>
    <s v="GCF"/>
    <n v="417"/>
    <m/>
    <s v="oui"/>
    <m/>
    <n v="3"/>
    <n v="0.75"/>
    <n v="2.25"/>
  </r>
  <r>
    <d v="2020-01-08T00:00:00"/>
    <x v="5"/>
    <s v="-"/>
    <x v="0"/>
    <x v="17"/>
    <x v="5"/>
    <s v="Thau Blanc"/>
    <n v="200"/>
    <m/>
    <s v="oui"/>
    <m/>
    <n v="1"/>
    <n v="0.75"/>
    <n v="0.75"/>
  </r>
  <r>
    <d v="2020-01-08T00:00:00"/>
    <x v="5"/>
    <s v="-"/>
    <x v="0"/>
    <x v="56"/>
    <x v="5"/>
    <s v="GCF"/>
    <n v="201"/>
    <m/>
    <s v="oui"/>
    <m/>
    <n v="1"/>
    <n v="0.75"/>
    <n v="0.75"/>
  </r>
  <r>
    <d v="2020-01-08T00:00:00"/>
    <x v="5"/>
    <s v="-"/>
    <x v="0"/>
    <x v="17"/>
    <x v="5"/>
    <s v="Colombard"/>
    <n v="306"/>
    <m/>
    <s v="oui"/>
    <m/>
    <n v="1"/>
    <n v="0.75"/>
    <n v="0.75"/>
  </r>
  <r>
    <d v="2020-01-08T00:00:00"/>
    <x v="9"/>
    <s v="Jacques Woloviek"/>
    <x v="0"/>
    <x v="0"/>
    <x v="5"/>
    <s v="ADVINI"/>
    <s v="-"/>
    <m/>
    <s v="oui"/>
    <m/>
    <n v="4"/>
    <n v="0.75"/>
    <n v="3"/>
  </r>
  <r>
    <d v="2020-01-09T00:00:00"/>
    <x v="10"/>
    <s v="René Jeanjean"/>
    <x v="2"/>
    <x v="7"/>
    <x v="2"/>
    <s v="VDF Merlot"/>
    <n v="305"/>
    <m/>
    <s v="oui"/>
    <m/>
    <n v="2"/>
    <n v="0.75"/>
    <n v="1.5"/>
  </r>
  <r>
    <d v="2020-01-10T00:00:00"/>
    <x v="43"/>
    <s v="Cathala"/>
    <x v="0"/>
    <x v="0"/>
    <x v="5"/>
    <s v="Bouteille"/>
    <n v="31"/>
    <m/>
    <s v="oui"/>
    <m/>
    <n v="2"/>
    <n v="0.75"/>
    <n v="1.5"/>
  </r>
  <r>
    <d v="2020-01-10T00:00:00"/>
    <x v="43"/>
    <s v="Cathala"/>
    <x v="1"/>
    <x v="19"/>
    <x v="5"/>
    <s v="Cap d'Agde"/>
    <n v="21"/>
    <m/>
    <s v="oui"/>
    <s v="Nommé lot CA"/>
    <n v="2"/>
    <n v="0.75"/>
    <n v="1.5"/>
  </r>
  <r>
    <d v="2020-01-10T00:00:00"/>
    <x v="43"/>
    <s v="Cathala"/>
    <x v="1"/>
    <x v="46"/>
    <x v="5"/>
    <s v="Oc Rosé"/>
    <n v="15"/>
    <m/>
    <s v="oui"/>
    <s v="Nommé Générique"/>
    <n v="2"/>
    <n v="0.75"/>
    <n v="1.5"/>
  </r>
  <r>
    <d v="2020-01-10T00:00:00"/>
    <x v="43"/>
    <s v="Cathala"/>
    <x v="1"/>
    <x v="46"/>
    <x v="5"/>
    <s v="Cap d'Agde GCF"/>
    <n v="53"/>
    <m/>
    <s v="oui"/>
    <s v="Nommé CARGC"/>
    <n v="2"/>
    <n v="0.75"/>
    <n v="1.5"/>
  </r>
  <r>
    <d v="2020-01-13T00:00:00"/>
    <x v="54"/>
    <s v="-"/>
    <x v="0"/>
    <x v="0"/>
    <x v="5"/>
    <s v="Petit degré"/>
    <n v="96"/>
    <m/>
    <s v="oui"/>
    <m/>
    <n v="2"/>
    <n v="0.75"/>
    <n v="1.5"/>
  </r>
  <r>
    <d v="2020-01-13T00:00:00"/>
    <x v="83"/>
    <s v="-"/>
    <x v="2"/>
    <x v="13"/>
    <x v="5"/>
    <s v="Bouteille"/>
    <n v="130"/>
    <m/>
    <s v="oui"/>
    <m/>
    <n v="2"/>
    <n v="0.75"/>
    <n v="1.5"/>
  </r>
  <r>
    <d v="2020-01-13T00:00:00"/>
    <x v="83"/>
    <s v="-"/>
    <x v="2"/>
    <x v="65"/>
    <x v="5"/>
    <s v="Bouteille"/>
    <n v="98"/>
    <m/>
    <s v="oui"/>
    <m/>
    <n v="2"/>
    <n v="0.75"/>
    <n v="1.5"/>
  </r>
  <r>
    <d v="2020-01-13T00:00:00"/>
    <x v="83"/>
    <s v="-"/>
    <x v="2"/>
    <x v="66"/>
    <x v="5"/>
    <s v="Bouteille"/>
    <s v="CF03"/>
    <m/>
    <s v="oui"/>
    <m/>
    <n v="2"/>
    <n v="0.75"/>
    <n v="1.5"/>
  </r>
  <r>
    <d v="2020-01-14T00:00:00"/>
    <x v="21"/>
    <s v="Emilie Conraads"/>
    <x v="2"/>
    <x v="13"/>
    <x v="5"/>
    <s v="Bouteille"/>
    <n v="130"/>
    <m/>
    <s v="oui"/>
    <s v=" + 2 g/l MCR + 10cl/hl Stabivin SP"/>
    <n v="2"/>
    <n v="0.75"/>
    <n v="1.5"/>
  </r>
  <r>
    <d v="2020-01-14T00:00:00"/>
    <x v="3"/>
    <s v="-"/>
    <x v="0"/>
    <x v="1"/>
    <x v="5"/>
    <s v="variétal"/>
    <n v="30"/>
    <m/>
    <s v="oui"/>
    <m/>
    <n v="4"/>
    <n v="0.75"/>
    <n v="3"/>
  </r>
  <r>
    <d v="2020-01-15T00:00:00"/>
    <x v="2"/>
    <s v="-"/>
    <x v="1"/>
    <x v="38"/>
    <x v="5"/>
    <s v="Oc Rosé"/>
    <n v="15"/>
    <m/>
    <s v="oui"/>
    <m/>
    <n v="2"/>
    <n v="0.75"/>
    <n v="1.5"/>
  </r>
  <r>
    <d v="2020-01-16T00:00:00"/>
    <x v="15"/>
    <s v="René Jeanjean"/>
    <x v="0"/>
    <x v="1"/>
    <x v="5"/>
    <s v="supérieur"/>
    <n v="412"/>
    <m/>
    <s v="oui"/>
    <m/>
    <n v="2"/>
    <n v="0.75"/>
    <n v="1.5"/>
  </r>
  <r>
    <d v="2020-01-16T00:00:00"/>
    <x v="84"/>
    <s v="-"/>
    <x v="0"/>
    <x v="18"/>
    <x v="5"/>
    <s v="Bouteille"/>
    <n v="52"/>
    <m/>
    <s v="oui"/>
    <m/>
    <n v="2"/>
    <n v="0.75"/>
    <n v="1.5"/>
  </r>
  <r>
    <d v="2020-01-16T00:00:00"/>
    <x v="61"/>
    <s v="-"/>
    <x v="0"/>
    <x v="16"/>
    <x v="5"/>
    <s v="Oc Blanc"/>
    <n v="407"/>
    <m/>
    <s v="oui"/>
    <m/>
    <n v="2"/>
    <n v="0.75"/>
    <n v="1.5"/>
  </r>
  <r>
    <d v="2020-01-16T00:00:00"/>
    <x v="43"/>
    <s v="San Nicolas"/>
    <x v="0"/>
    <x v="0"/>
    <x v="5"/>
    <s v="variétal"/>
    <n v="411"/>
    <m/>
    <s v="oui"/>
    <m/>
    <n v="6"/>
    <n v="0.75"/>
    <n v="4.5"/>
  </r>
  <r>
    <d v="2020-01-17T00:00:00"/>
    <x v="5"/>
    <s v="-"/>
    <x v="0"/>
    <x v="20"/>
    <x v="5"/>
    <s v="-"/>
    <n v="306"/>
    <m/>
    <s v="oui"/>
    <m/>
    <n v="2"/>
    <n v="0.75"/>
    <n v="1.5"/>
  </r>
  <r>
    <d v="2020-01-20T00:00:00"/>
    <x v="31"/>
    <s v="Jacques Woloviek"/>
    <x v="0"/>
    <x v="6"/>
    <x v="5"/>
    <s v="Oc Blanc"/>
    <n v="407"/>
    <m/>
    <s v="oui"/>
    <m/>
    <n v="2"/>
    <n v="0.75"/>
    <n v="1.5"/>
  </r>
  <r>
    <d v="2020-01-20T00:00:00"/>
    <x v="11"/>
    <s v="-"/>
    <x v="0"/>
    <x v="1"/>
    <x v="5"/>
    <s v="classique"/>
    <n v="54"/>
    <m/>
    <s v="oui"/>
    <s v="Nommé variétal pour Skalli"/>
    <n v="6"/>
    <n v="0.75"/>
    <n v="4.5"/>
  </r>
  <r>
    <d v="2020-01-20T00:00:00"/>
    <x v="5"/>
    <s v="-"/>
    <x v="1"/>
    <x v="7"/>
    <x v="5"/>
    <s v="GCF"/>
    <n v="417"/>
    <m/>
    <s v="oui"/>
    <m/>
    <n v="3"/>
    <n v="0.75"/>
    <n v="2.25"/>
  </r>
  <r>
    <d v="2020-01-20T00:00:00"/>
    <x v="5"/>
    <s v="-"/>
    <x v="1"/>
    <x v="56"/>
    <x v="5"/>
    <s v="GCF"/>
    <n v="201"/>
    <m/>
    <s v="oui"/>
    <m/>
    <n v="6"/>
    <n v="0.75"/>
    <n v="4.5"/>
  </r>
  <r>
    <d v="2020-01-20T00:00:00"/>
    <x v="20"/>
    <s v="-"/>
    <x v="0"/>
    <x v="6"/>
    <x v="5"/>
    <s v="Oc Blanc"/>
    <n v="407"/>
    <m/>
    <s v="oui"/>
    <m/>
    <n v="2"/>
    <n v="0.75"/>
    <n v="1.5"/>
  </r>
  <r>
    <d v="2020-01-20T00:00:00"/>
    <x v="20"/>
    <s v="-"/>
    <x v="0"/>
    <x v="2"/>
    <x v="5"/>
    <s v="vrac"/>
    <n v="414"/>
    <m/>
    <s v="oui"/>
    <m/>
    <n v="2"/>
    <n v="0.75"/>
    <n v="1.5"/>
  </r>
  <r>
    <d v="2020-01-21T00:00:00"/>
    <x v="20"/>
    <s v="-"/>
    <x v="0"/>
    <x v="1"/>
    <x v="5"/>
    <s v="Bouteille"/>
    <n v="422"/>
    <m/>
    <s v="oui"/>
    <m/>
    <n v="12"/>
    <n v="0.75"/>
    <n v="9"/>
  </r>
  <r>
    <d v="2020-01-21T00:00:00"/>
    <x v="20"/>
    <s v="-"/>
    <x v="0"/>
    <x v="2"/>
    <x v="5"/>
    <s v="Bouteille"/>
    <n v="23"/>
    <m/>
    <s v="oui"/>
    <m/>
    <n v="12"/>
    <n v="0.75"/>
    <n v="9"/>
  </r>
  <r>
    <d v="2020-01-21T00:00:00"/>
    <x v="20"/>
    <s v="-"/>
    <x v="0"/>
    <x v="6"/>
    <x v="5"/>
    <s v="Bouteille"/>
    <n v="78"/>
    <m/>
    <s v="oui"/>
    <m/>
    <n v="12"/>
    <n v="0.75"/>
    <n v="9"/>
  </r>
  <r>
    <d v="2020-01-21T00:00:00"/>
    <x v="20"/>
    <s v="-"/>
    <x v="2"/>
    <x v="7"/>
    <x v="5"/>
    <s v="Bouteille"/>
    <n v="82"/>
    <m/>
    <s v="oui"/>
    <m/>
    <n v="12"/>
    <n v="0.75"/>
    <n v="9"/>
  </r>
  <r>
    <d v="2020-01-21T00:00:00"/>
    <x v="20"/>
    <s v="-"/>
    <x v="2"/>
    <x v="13"/>
    <x v="5"/>
    <s v="Bouteille"/>
    <n v="130"/>
    <m/>
    <s v="oui"/>
    <m/>
    <n v="12"/>
    <n v="0.75"/>
    <n v="9"/>
  </r>
  <r>
    <d v="2020-01-21T00:00:00"/>
    <x v="20"/>
    <s v="-"/>
    <x v="2"/>
    <x v="7"/>
    <x v="5"/>
    <s v="Buvette"/>
    <n v="138"/>
    <m/>
    <s v="oui"/>
    <m/>
    <n v="12"/>
    <n v="0.75"/>
    <n v="9"/>
  </r>
  <r>
    <d v="2020-01-22T00:00:00"/>
    <x v="15"/>
    <s v="-"/>
    <x v="0"/>
    <x v="1"/>
    <x v="5"/>
    <s v="supérieur"/>
    <n v="412"/>
    <m/>
    <s v="oui"/>
    <m/>
    <n v="2"/>
    <n v="0.75"/>
    <n v="1.5"/>
  </r>
  <r>
    <d v="2020-01-22T00:00:00"/>
    <x v="15"/>
    <s v="-"/>
    <x v="0"/>
    <x v="2"/>
    <x v="5"/>
    <s v="vrac"/>
    <n v="414"/>
    <m/>
    <s v="oui"/>
    <m/>
    <n v="2"/>
    <n v="0.75"/>
    <n v="1.5"/>
  </r>
  <r>
    <d v="2020-01-23T00:00:00"/>
    <x v="54"/>
    <s v="Murphy winecompany"/>
    <x v="0"/>
    <x v="0"/>
    <x v="5"/>
    <s v="Petit degré"/>
    <n v="84"/>
    <m/>
    <s v="oui"/>
    <s v="Filtré"/>
    <n v="2"/>
    <n v="0.75"/>
    <n v="1.5"/>
  </r>
  <r>
    <d v="2020-01-23T00:00:00"/>
    <x v="3"/>
    <s v="-"/>
    <x v="0"/>
    <x v="0"/>
    <x v="5"/>
    <s v="variétal"/>
    <n v="411"/>
    <m/>
    <s v="oui"/>
    <m/>
    <n v="3"/>
    <n v="0.75"/>
    <n v="2.25"/>
  </r>
  <r>
    <d v="2020-01-23T00:00:00"/>
    <x v="3"/>
    <s v="-"/>
    <x v="0"/>
    <x v="0"/>
    <x v="5"/>
    <s v="Lot TDS"/>
    <n v="33"/>
    <m/>
    <s v="oui"/>
    <m/>
    <n v="3"/>
    <n v="0.75"/>
    <n v="2.25"/>
  </r>
  <r>
    <d v="2020-01-23T00:00:00"/>
    <x v="20"/>
    <s v="-"/>
    <x v="0"/>
    <x v="0"/>
    <x v="5"/>
    <s v="Bouteille"/>
    <n v="31"/>
    <m/>
    <s v="oui"/>
    <m/>
    <n v="12"/>
    <n v="0.75"/>
    <n v="9"/>
  </r>
  <r>
    <d v="2020-01-29T00:00:00"/>
    <x v="66"/>
    <s v="Emilie Conraads"/>
    <x v="2"/>
    <x v="13"/>
    <x v="5"/>
    <s v="Bouteille"/>
    <n v="130"/>
    <m/>
    <s v="oui"/>
    <s v=" + 5 g/L MCR + 20 cl/hl Stabivin SP"/>
    <n v="4"/>
    <n v="0.75"/>
    <n v="3"/>
  </r>
  <r>
    <d v="2020-02-04T00:00:00"/>
    <x v="85"/>
    <s v="-"/>
    <x v="2"/>
    <x v="67"/>
    <x v="5"/>
    <s v="Lot 1"/>
    <s v="-"/>
    <m/>
    <s v="oui"/>
    <s v="(60% Merlot18 + 40% Cab 18) +à 80 % + (60% Merlot 19 + 40% Cab 19) à 20 % + 2 g/l MCR"/>
    <n v="2"/>
    <n v="0.75"/>
    <n v="1.5"/>
  </r>
  <r>
    <d v="2020-02-04T00:00:00"/>
    <x v="85"/>
    <s v="-"/>
    <x v="2"/>
    <x v="67"/>
    <x v="5"/>
    <s v="Lot 2"/>
    <s v="-"/>
    <m/>
    <s v="oui"/>
    <s v="(60% Merlot18 + 40% Cab 18) à 70 % + (60% Merlot 19 + 40% Cab 19) à 20 % + 10% CapRouge + 2 g/l MCR"/>
    <n v="2"/>
    <n v="0.75"/>
    <n v="1.5"/>
  </r>
  <r>
    <d v="2020-02-04T00:00:00"/>
    <x v="86"/>
    <s v="-"/>
    <x v="0"/>
    <x v="3"/>
    <x v="5"/>
    <s v="Castel"/>
    <n v="93"/>
    <m/>
    <s v="oui"/>
    <m/>
    <n v="2"/>
    <n v="0.75"/>
    <n v="1.5"/>
  </r>
  <r>
    <d v="2020-02-07T00:00:00"/>
    <x v="49"/>
    <s v="-"/>
    <x v="0"/>
    <x v="0"/>
    <x v="5"/>
    <s v="variétal"/>
    <n v="411"/>
    <m/>
    <s v="oui"/>
    <m/>
    <n v="2"/>
    <n v="0.75"/>
    <n v="1.5"/>
  </r>
  <r>
    <d v="2020-02-07T00:00:00"/>
    <x v="49"/>
    <s v="-"/>
    <x v="2"/>
    <x v="5"/>
    <x v="5"/>
    <s v="-"/>
    <n v="314"/>
    <m/>
    <s v="oui"/>
    <m/>
    <n v="2"/>
    <n v="0.75"/>
    <n v="1.5"/>
  </r>
  <r>
    <d v="2020-02-13T00:00:00"/>
    <x v="46"/>
    <s v="-"/>
    <x v="0"/>
    <x v="6"/>
    <x v="4"/>
    <s v="Thau Blanc"/>
    <n v="334"/>
    <m/>
    <s v="oui"/>
    <s v="Cuve rafraichi"/>
    <n v="1"/>
    <n v="0.75"/>
    <n v="0.75"/>
  </r>
  <r>
    <d v="2020-02-13T00:00:00"/>
    <x v="1"/>
    <s v="San Nicolas"/>
    <x v="0"/>
    <x v="0"/>
    <x v="5"/>
    <s v="variétal"/>
    <n v="26"/>
    <m/>
    <s v="oui"/>
    <m/>
    <n v="6"/>
    <n v="0.75"/>
    <n v="4.5"/>
  </r>
  <r>
    <d v="2020-02-13T00:00:00"/>
    <x v="1"/>
    <s v="San Nicolas"/>
    <x v="2"/>
    <x v="45"/>
    <x v="2"/>
    <s v="-"/>
    <n v="305"/>
    <m/>
    <s v="oui"/>
    <m/>
    <n v="6"/>
    <n v="0.75"/>
    <n v="4.5"/>
  </r>
  <r>
    <d v="2020-02-13T00:00:00"/>
    <x v="5"/>
    <s v="-"/>
    <x v="1"/>
    <x v="56"/>
    <x v="5"/>
    <n v="2"/>
    <s v="-"/>
    <m/>
    <s v="oui"/>
    <s v="72% Merlot Rosé + 28% Cap Rosé"/>
    <n v="4"/>
    <n v="0.75"/>
    <n v="3"/>
  </r>
  <r>
    <d v="2020-02-14T00:00:00"/>
    <x v="15"/>
    <s v="René Jeanjean"/>
    <x v="0"/>
    <x v="2"/>
    <x v="5"/>
    <s v="vrac"/>
    <n v="414"/>
    <m/>
    <s v="oui"/>
    <m/>
    <n v="3"/>
    <n v="0.75"/>
    <n v="2.25"/>
  </r>
  <r>
    <d v="2020-02-14T00:00:00"/>
    <x v="15"/>
    <s v="René Jeanjean"/>
    <x v="0"/>
    <x v="2"/>
    <x v="5"/>
    <s v="vrac"/>
    <n v="414"/>
    <m/>
    <s v="oui"/>
    <m/>
    <n v="2"/>
    <n v="0.75"/>
    <n v="1.5"/>
  </r>
  <r>
    <d v="2020-02-17T00:00:00"/>
    <x v="31"/>
    <s v="Jacques Woloviek"/>
    <x v="0"/>
    <x v="0"/>
    <x v="5"/>
    <s v="Petit degré"/>
    <n v="19"/>
    <m/>
    <s v="oui"/>
    <m/>
    <n v="1"/>
    <n v="0.75"/>
    <n v="0.75"/>
  </r>
  <r>
    <d v="2020-02-17T00:00:00"/>
    <x v="31"/>
    <s v="Jacques Woloviek"/>
    <x v="0"/>
    <x v="0"/>
    <x v="5"/>
    <s v="ADVINI"/>
    <n v="412"/>
    <m/>
    <s v="oui"/>
    <m/>
    <n v="1"/>
    <n v="0.75"/>
    <n v="0.75"/>
  </r>
  <r>
    <d v="2020-02-19T00:00:00"/>
    <x v="84"/>
    <s v="-"/>
    <x v="0"/>
    <x v="18"/>
    <x v="5"/>
    <s v="Bouteille"/>
    <s v="FK03"/>
    <m/>
    <s v="oui"/>
    <m/>
    <n v="2"/>
    <n v="0.75"/>
    <n v="1.5"/>
  </r>
  <r>
    <d v="2020-02-19T00:00:00"/>
    <x v="84"/>
    <s v="-"/>
    <x v="1"/>
    <x v="51"/>
    <x v="5"/>
    <s v="Bouteille"/>
    <n v="83"/>
    <m/>
    <s v="oui"/>
    <m/>
    <n v="2"/>
    <n v="0.75"/>
    <n v="1.5"/>
  </r>
  <r>
    <d v="2020-02-20T00:00:00"/>
    <x v="1"/>
    <s v="TWS"/>
    <x v="0"/>
    <x v="9"/>
    <x v="5"/>
    <s v="-"/>
    <s v="NP70"/>
    <m/>
    <s v="oui"/>
    <m/>
    <n v="3"/>
    <n v="0.75"/>
    <n v="2.25"/>
  </r>
  <r>
    <d v="2020-02-20T00:00:00"/>
    <x v="1"/>
    <s v="TWS"/>
    <x v="0"/>
    <x v="11"/>
    <x v="5"/>
    <s v="-"/>
    <s v="NP72"/>
    <m/>
    <s v="oui"/>
    <m/>
    <n v="3"/>
    <n v="0.75"/>
    <n v="2.25"/>
  </r>
  <r>
    <d v="2020-02-20T00:00:00"/>
    <x v="87"/>
    <s v="-"/>
    <x v="0"/>
    <x v="61"/>
    <x v="5"/>
    <s v="-"/>
    <s v="-"/>
    <m/>
    <s v="oui"/>
    <s v="65% TM Sec (78) + 35% Sauvignon (17) + 20 cl/hl Senso Ü"/>
    <n v="2"/>
    <n v="0.75"/>
    <n v="1.5"/>
  </r>
  <r>
    <d v="2020-02-20T00:00:00"/>
    <x v="87"/>
    <s v="-"/>
    <x v="2"/>
    <x v="62"/>
    <x v="5"/>
    <s v="Bouteille"/>
    <s v="CF04"/>
    <m/>
    <s v="oui"/>
    <s v="5 g/hl MCR + 20 cl/hl Stabivin SP"/>
    <n v="5"/>
    <n v="0.75"/>
    <n v="3.75"/>
  </r>
  <r>
    <d v="2020-02-24T00:00:00"/>
    <x v="79"/>
    <s v="Olivier Castillo"/>
    <x v="0"/>
    <x v="1"/>
    <x v="5"/>
    <s v="classique"/>
    <n v="54"/>
    <m/>
    <s v="oui"/>
    <m/>
    <n v="2"/>
    <n v="0.75"/>
    <n v="1.5"/>
  </r>
  <r>
    <d v="2020-02-25T00:00:00"/>
    <x v="84"/>
    <s v="-"/>
    <x v="1"/>
    <x v="51"/>
    <x v="5"/>
    <s v="Bouteille"/>
    <n v="83"/>
    <m/>
    <s v="oui"/>
    <m/>
    <n v="6"/>
    <n v="0.75"/>
    <n v="4.5"/>
  </r>
  <r>
    <d v="2020-02-25T00:00:00"/>
    <x v="5"/>
    <s v="-"/>
    <x v="0"/>
    <x v="17"/>
    <x v="5"/>
    <s v="GCF"/>
    <n v="200"/>
    <m/>
    <s v="oui"/>
    <m/>
    <n v="3"/>
    <n v="0.75"/>
    <n v="2.25"/>
  </r>
  <r>
    <d v="2020-02-25T00:00:00"/>
    <x v="88"/>
    <s v="TWS"/>
    <x v="0"/>
    <x v="64"/>
    <x v="5"/>
    <s v="-"/>
    <s v="-"/>
    <m/>
    <s v="oui"/>
    <s v="70% Viognier vrac + 30 % Muscat vrac"/>
    <n v="4"/>
    <n v="0.75"/>
    <n v="3"/>
  </r>
  <r>
    <d v="2020-02-27T00:00:00"/>
    <x v="89"/>
    <s v="Vailhere Pascal"/>
    <x v="0"/>
    <x v="3"/>
    <x v="5"/>
    <s v="vrac"/>
    <n v="93"/>
    <m/>
    <s v="oui"/>
    <m/>
    <n v="3"/>
    <n v="0.75"/>
    <n v="2.25"/>
  </r>
  <r>
    <d v="2020-03-04T00:00:00"/>
    <x v="90"/>
    <s v="-"/>
    <x v="0"/>
    <x v="68"/>
    <x v="5"/>
    <s v="Buvette"/>
    <s v="FK14"/>
    <m/>
    <s v="oui"/>
    <m/>
    <n v="2"/>
    <n v="0.75"/>
    <n v="1.5"/>
  </r>
  <r>
    <d v="2020-03-04T00:00:00"/>
    <x v="90"/>
    <s v="-"/>
    <x v="1"/>
    <x v="14"/>
    <x v="5"/>
    <s v="Lot A"/>
    <s v="-"/>
    <m/>
    <s v="oui"/>
    <s v="60% Grenache Cap + 40% Syrah Rosé + 2%"/>
    <n v="2"/>
    <n v="0.75"/>
    <n v="1.5"/>
  </r>
  <r>
    <d v="2020-03-04T00:00:00"/>
    <x v="90"/>
    <s v="-"/>
    <x v="1"/>
    <x v="65"/>
    <x v="5"/>
    <s v="Lot B"/>
    <s v="-"/>
    <m/>
    <s v="oui"/>
    <s v="60 % Marselan + 40% Syrah Rosé BIB + 2%"/>
    <n v="2"/>
    <n v="0.75"/>
    <n v="1.5"/>
  </r>
  <r>
    <d v="2020-03-04T00:00:00"/>
    <x v="90"/>
    <s v="-"/>
    <x v="1"/>
    <x v="69"/>
    <x v="5"/>
    <s v="Lot C"/>
    <s v="-"/>
    <m/>
    <s v="oui"/>
    <s v="60% Marselan + 30% Grenache Rosé + 10% Syrah bouteille"/>
    <n v="2"/>
    <n v="0.75"/>
    <n v="1.5"/>
  </r>
  <r>
    <d v="2020-03-04T00:00:00"/>
    <x v="90"/>
    <s v="-"/>
    <x v="2"/>
    <x v="7"/>
    <x v="5"/>
    <s v="Buvette"/>
    <n v="131"/>
    <m/>
    <s v="oui"/>
    <m/>
    <n v="2"/>
    <n v="0.75"/>
    <n v="1.5"/>
  </r>
  <r>
    <d v="2020-03-16T00:00:00"/>
    <x v="33"/>
    <s v="Olivier Castillo"/>
    <x v="1"/>
    <x v="5"/>
    <x v="5"/>
    <s v="vrac"/>
    <n v="322"/>
    <m/>
    <s v="oui"/>
    <m/>
    <n v="2"/>
    <n v="0.75"/>
    <n v="1.5"/>
  </r>
  <r>
    <d v="2020-03-17T00:00:00"/>
    <x v="90"/>
    <s v="-"/>
    <x v="1"/>
    <x v="14"/>
    <x v="5"/>
    <s v="Lot A"/>
    <s v="-"/>
    <m/>
    <s v="oui"/>
    <s v="60% Grenache Cap + 40% Syrah Rosé + 2%"/>
    <n v="2"/>
    <n v="0.75"/>
    <n v="1.5"/>
  </r>
  <r>
    <d v="2020-03-17T00:00:00"/>
    <x v="90"/>
    <s v="-"/>
    <x v="1"/>
    <x v="65"/>
    <x v="5"/>
    <s v="Lot B"/>
    <s v="-"/>
    <m/>
    <s v="oui"/>
    <s v="60 % Marselan + 40% Syrah Rosé BIB + 2%"/>
    <n v="2"/>
    <n v="0.75"/>
    <n v="1.5"/>
  </r>
  <r>
    <d v="2020-03-17T00:00:00"/>
    <x v="90"/>
    <s v="-"/>
    <x v="1"/>
    <x v="69"/>
    <x v="5"/>
    <s v="Lot C"/>
    <s v="-"/>
    <m/>
    <s v="oui"/>
    <s v="60% Marselan + 30% Grenache Rosé + 10% Syrah bouteille"/>
    <n v="2"/>
    <n v="0.75"/>
    <n v="1.5"/>
  </r>
  <r>
    <d v="2020-03-17T00:00:00"/>
    <x v="90"/>
    <s v="-"/>
    <x v="0"/>
    <x v="68"/>
    <x v="5"/>
    <s v="Buvette"/>
    <s v="FK14"/>
    <m/>
    <s v="oui"/>
    <m/>
    <n v="2"/>
    <n v="0.75"/>
    <n v="1.5"/>
  </r>
  <r>
    <d v="2020-03-17T00:00:00"/>
    <x v="90"/>
    <s v="-"/>
    <x v="2"/>
    <x v="7"/>
    <x v="5"/>
    <s v="Buvette"/>
    <n v="131"/>
    <m/>
    <s v="oui"/>
    <m/>
    <n v="2"/>
    <n v="0.75"/>
    <n v="1.5"/>
  </r>
  <r>
    <d v="2020-03-18T00:00:00"/>
    <x v="91"/>
    <s v="-"/>
    <x v="0"/>
    <x v="17"/>
    <x v="5"/>
    <s v="Thau Blanc"/>
    <n v="199"/>
    <m/>
    <s v="oui"/>
    <m/>
    <n v="2"/>
    <n v="0.75"/>
    <n v="1.5"/>
  </r>
  <r>
    <d v="2020-03-19T00:00:00"/>
    <x v="92"/>
    <s v="-"/>
    <x v="0"/>
    <x v="70"/>
    <x v="5"/>
    <s v="Lot A"/>
    <s v="-"/>
    <m/>
    <s v="oui"/>
    <s v="70% Viognier vrac+ 30 % Roussanne"/>
    <n v="2"/>
    <n v="0.75"/>
    <n v="1.5"/>
  </r>
  <r>
    <d v="2020-03-19T00:00:00"/>
    <x v="92"/>
    <s v="-"/>
    <x v="0"/>
    <x v="70"/>
    <x v="5"/>
    <s v="Lot B"/>
    <s v="-"/>
    <m/>
    <s v="oui"/>
    <s v="60% Viognier vrac + 20 % Roussanne + 10 % Vermentino + 5% Muscat"/>
    <n v="2"/>
    <n v="0.75"/>
    <n v="1.5"/>
  </r>
  <r>
    <d v="2020-03-19T00:00:00"/>
    <x v="92"/>
    <s v="-"/>
    <x v="0"/>
    <x v="70"/>
    <x v="5"/>
    <s v="Lot C"/>
    <s v="-"/>
    <m/>
    <s v="oui"/>
    <s v="60% Viognier vrac + 20% Roussanne + 10% Vermentino + 10% Muscat"/>
    <n v="2"/>
    <n v="0.75"/>
    <n v="1.5"/>
  </r>
  <r>
    <d v="2020-03-19T00:00:00"/>
    <x v="92"/>
    <s v="-"/>
    <x v="1"/>
    <x v="14"/>
    <x v="5"/>
    <s v="Lot A"/>
    <s v="-"/>
    <m/>
    <s v="oui"/>
    <s v="60% Grenache Cap + 40% Syrah Rosé + 2%"/>
    <n v="2"/>
    <n v="0.75"/>
    <n v="1.5"/>
  </r>
  <r>
    <d v="2020-03-19T00:00:00"/>
    <x v="92"/>
    <s v="-"/>
    <x v="1"/>
    <x v="65"/>
    <x v="5"/>
    <s v="Lot B"/>
    <s v="-"/>
    <m/>
    <s v="oui"/>
    <s v="60 % Marselan + 40% Syrah Rosé BIB + 2%"/>
    <n v="2"/>
    <n v="0.75"/>
    <n v="1.5"/>
  </r>
  <r>
    <d v="2020-03-19T00:00:00"/>
    <x v="92"/>
    <s v="-"/>
    <x v="1"/>
    <x v="69"/>
    <x v="5"/>
    <s v="Lot C"/>
    <s v="-"/>
    <m/>
    <s v="oui"/>
    <s v="60% Marselan + 30% Grenache Rosé + 10% Syrah bouteille"/>
    <n v="2"/>
    <n v="0.75"/>
    <n v="1.5"/>
  </r>
  <r>
    <d v="2020-03-19T00:00:00"/>
    <x v="92"/>
    <s v="-"/>
    <x v="0"/>
    <x v="2"/>
    <x v="5"/>
    <s v="Bouteille"/>
    <n v="12"/>
    <m/>
    <s v="oui"/>
    <m/>
    <n v="2"/>
    <n v="0.75"/>
    <n v="1.5"/>
  </r>
  <r>
    <d v="2020-03-19T00:00:00"/>
    <x v="92"/>
    <s v="-"/>
    <x v="0"/>
    <x v="0"/>
    <x v="5"/>
    <s v="Bouteille"/>
    <n v="122"/>
    <m/>
    <s v="oui"/>
    <m/>
    <n v="2"/>
    <n v="0.75"/>
    <n v="1.5"/>
  </r>
  <r>
    <d v="2020-03-19T00:00:00"/>
    <x v="92"/>
    <s v="-"/>
    <x v="1"/>
    <x v="19"/>
    <x v="5"/>
    <s v="Bouteille"/>
    <n v="21"/>
    <m/>
    <s v="oui"/>
    <m/>
    <n v="2"/>
    <n v="0.75"/>
    <n v="1.5"/>
  </r>
  <r>
    <d v="2020-03-19T00:00:00"/>
    <x v="92"/>
    <s v="-"/>
    <x v="1"/>
    <x v="7"/>
    <x v="5"/>
    <s v="GCF"/>
    <n v="15"/>
    <m/>
    <s v="oui"/>
    <m/>
    <n v="2"/>
    <n v="0.75"/>
    <n v="1.5"/>
  </r>
  <r>
    <d v="2020-03-19T00:00:00"/>
    <x v="92"/>
    <s v="-"/>
    <x v="2"/>
    <x v="7"/>
    <x v="5"/>
    <s v="Bouteille"/>
    <n v="129"/>
    <m/>
    <s v="oui"/>
    <s v=" + 20% Merlot 2018"/>
    <n v="2"/>
    <n v="0.75"/>
    <n v="1.5"/>
  </r>
  <r>
    <d v="2020-03-19T00:00:00"/>
    <x v="92"/>
    <s v="-"/>
    <x v="2"/>
    <x v="13"/>
    <x v="5"/>
    <s v="Bouteille"/>
    <n v="136"/>
    <m/>
    <s v="oui"/>
    <s v=" + 20% Cabernet"/>
    <n v="2"/>
    <n v="0.75"/>
    <n v="1.5"/>
  </r>
  <r>
    <d v="2020-03-23T00:00:00"/>
    <x v="88"/>
    <s v="TWS"/>
    <x v="0"/>
    <x v="64"/>
    <x v="5"/>
    <s v="-"/>
    <s v="-"/>
    <m/>
    <s v="oui"/>
    <s v="70% Viognier vrac + 30 % Muscat vrac"/>
    <n v="6"/>
    <n v="0.75"/>
    <n v="4.5"/>
  </r>
  <r>
    <d v="2020-04-02T00:00:00"/>
    <x v="92"/>
    <s v="-"/>
    <x v="1"/>
    <x v="14"/>
    <x v="5"/>
    <s v="Lot A"/>
    <s v="-"/>
    <m/>
    <s v="oui"/>
    <s v="60% Grenache Cap + 40% Syrah Rosé + 15 g/hl acide citrique"/>
    <n v="2"/>
    <n v="0.75"/>
    <n v="1.5"/>
  </r>
  <r>
    <d v="2020-04-02T00:00:00"/>
    <x v="92"/>
    <s v="-"/>
    <x v="1"/>
    <x v="65"/>
    <x v="5"/>
    <s v="Lot B"/>
    <s v="-"/>
    <m/>
    <s v="oui"/>
    <s v="60 % Marselan + 40% Syrah Rosé BIB + 15 g/hl acide citrique"/>
    <n v="2"/>
    <n v="0.75"/>
    <n v="1.5"/>
  </r>
  <r>
    <d v="2020-04-02T00:00:00"/>
    <x v="92"/>
    <s v="-"/>
    <x v="1"/>
    <x v="69"/>
    <x v="5"/>
    <s v="Lot C"/>
    <s v="-"/>
    <m/>
    <s v="oui"/>
    <s v="60% Marselan + 30% Grenache Rosé + 10% Syrah bouteille + 15 g/hl acide citrique"/>
    <n v="2"/>
    <n v="0.75"/>
    <n v="1.5"/>
  </r>
  <r>
    <d v="2020-04-09T00:00:00"/>
    <x v="15"/>
    <s v="René Jeanjean"/>
    <x v="2"/>
    <x v="7"/>
    <x v="5"/>
    <s v="Bouteille"/>
    <n v="129"/>
    <m/>
    <s v="oui"/>
    <m/>
    <n v="2"/>
    <n v="0.75"/>
    <n v="1.5"/>
  </r>
  <r>
    <d v="2020-04-09T00:00:00"/>
    <x v="15"/>
    <s v="René Jeanjean"/>
    <x v="2"/>
    <x v="13"/>
    <x v="5"/>
    <s v="Bouteille"/>
    <n v="136"/>
    <m/>
    <s v="oui"/>
    <m/>
    <n v="2"/>
    <n v="0.75"/>
    <n v="1.5"/>
  </r>
  <r>
    <d v="2020-04-15T00:00:00"/>
    <x v="2"/>
    <s v="-"/>
    <x v="0"/>
    <x v="2"/>
    <x v="5"/>
    <s v="vrac"/>
    <n v="47"/>
    <m/>
    <s v="oui"/>
    <m/>
    <n v="2"/>
    <n v="0.75"/>
    <n v="1.5"/>
  </r>
  <r>
    <d v="2020-04-16T00:00:00"/>
    <x v="33"/>
    <s v="Olivier Castillo"/>
    <x v="1"/>
    <x v="5"/>
    <x v="5"/>
    <s v="-"/>
    <n v="332"/>
    <m/>
    <s v="oui"/>
    <m/>
    <n v="2"/>
    <n v="0.75"/>
    <n v="1.5"/>
  </r>
  <r>
    <d v="2020-04-20T00:00:00"/>
    <x v="2"/>
    <s v="-"/>
    <x v="0"/>
    <x v="3"/>
    <x v="5"/>
    <s v="Bouteille"/>
    <n v="44"/>
    <m/>
    <s v="oui"/>
    <m/>
    <n v="2"/>
    <n v="0.75"/>
    <n v="1.5"/>
  </r>
  <r>
    <d v="2020-04-20T00:00:00"/>
    <x v="2"/>
    <s v="-"/>
    <x v="0"/>
    <x v="6"/>
    <x v="5"/>
    <s v="Thau Blanc"/>
    <n v="23"/>
    <m/>
    <s v="oui"/>
    <m/>
    <n v="2"/>
    <n v="0.75"/>
    <n v="1.5"/>
  </r>
  <r>
    <d v="2020-04-20T00:00:00"/>
    <x v="2"/>
    <s v="-"/>
    <x v="0"/>
    <x v="1"/>
    <x v="5"/>
    <s v="Celliers du Vent"/>
    <n v="29"/>
    <m/>
    <s v="oui"/>
    <m/>
    <n v="2"/>
    <n v="0.75"/>
    <n v="1.5"/>
  </r>
  <r>
    <d v="2020-04-27T00:00:00"/>
    <x v="72"/>
    <s v="-"/>
    <x v="0"/>
    <x v="2"/>
    <x v="5"/>
    <s v="Bouteille"/>
    <n v="12"/>
    <m/>
    <s v="oui"/>
    <m/>
    <n v="4"/>
    <n v="0.75"/>
    <n v="3"/>
  </r>
  <r>
    <d v="2020-04-27T00:00:00"/>
    <x v="72"/>
    <s v="-"/>
    <x v="1"/>
    <x v="10"/>
    <x v="5"/>
    <s v="Lot Oc Rosé"/>
    <n v="10"/>
    <m/>
    <s v="oui"/>
    <m/>
    <n v="4"/>
    <n v="0.75"/>
    <n v="3"/>
  </r>
  <r>
    <d v="2020-04-28T00:00:00"/>
    <x v="85"/>
    <s v="SIC Agentur"/>
    <x v="2"/>
    <x v="67"/>
    <x v="5"/>
    <s v="Lot 1"/>
    <s v="-"/>
    <m/>
    <s v="oui"/>
    <s v="(60% Merlot18 + 40% Cab 18) +à 80 % + (60% Merlot 19 + 40% Cab 19) à 20 % + 2 g/l MCR + 10 % Marselan Rouge"/>
    <n v="2"/>
    <n v="0.75"/>
    <n v="1.5"/>
  </r>
  <r>
    <d v="2020-04-28T00:00:00"/>
    <x v="85"/>
    <s v="SIC Agentur"/>
    <x v="2"/>
    <x v="25"/>
    <x v="5"/>
    <s v="Lot retravaillé"/>
    <s v="-"/>
    <m/>
    <s v="oui"/>
    <s v="60 % Maraval Rouge + 40 % Cap d'Agde Rouge + 2 g/l MCR + 20 cl/hl Stabivin SP"/>
    <n v="2"/>
    <n v="0.75"/>
    <n v="1.5"/>
  </r>
  <r>
    <d v="2020-04-28T00:00:00"/>
    <x v="92"/>
    <s v="-"/>
    <x v="1"/>
    <x v="14"/>
    <x v="5"/>
    <s v=" + Marselan"/>
    <s v="-"/>
    <m/>
    <s v="oui"/>
    <s v="60% Grenache Cap + 40% Syrah Rosé + 15 g/hl acide citrique + 10% Marselan Rosé"/>
    <n v="2"/>
    <n v="0.75"/>
    <n v="1.5"/>
  </r>
  <r>
    <d v="2020-04-28T00:00:00"/>
    <x v="92"/>
    <s v="-"/>
    <x v="0"/>
    <x v="70"/>
    <x v="5"/>
    <s v=" + Vermentino"/>
    <s v="-"/>
    <m/>
    <s v="oui"/>
    <s v="70% Viognier vrac+ 30 % Roussanne + 10% Vermentino"/>
    <n v="2"/>
    <n v="0.75"/>
    <n v="1.5"/>
  </r>
  <r>
    <d v="2020-04-28T00:00:00"/>
    <x v="88"/>
    <s v="TWS"/>
    <x v="0"/>
    <x v="64"/>
    <x v="5"/>
    <s v="-"/>
    <s v="-"/>
    <m/>
    <s v="oui"/>
    <s v="70% Viognier vrac + 30 % Muscat vrac"/>
    <n v="18"/>
    <n v="0.75"/>
    <n v="13.5"/>
  </r>
  <r>
    <d v="2020-04-29T00:00:00"/>
    <x v="86"/>
    <s v="-"/>
    <x v="0"/>
    <x v="3"/>
    <x v="5"/>
    <s v="Bouteille"/>
    <n v="44"/>
    <m/>
    <s v="oui"/>
    <m/>
    <n v="2"/>
    <n v="0.75"/>
    <n v="1.5"/>
  </r>
  <r>
    <d v="2020-05-06T00:00:00"/>
    <x v="1"/>
    <s v="Vailhere Pascal"/>
    <x v="0"/>
    <x v="9"/>
    <x v="5"/>
    <s v="-"/>
    <s v="NP70"/>
    <m/>
    <s v="oui"/>
    <m/>
    <n v="2"/>
    <n v="0.75"/>
    <n v="1.5"/>
  </r>
  <r>
    <d v="2020-05-06T00:00:00"/>
    <x v="1"/>
    <s v="Vailhere Pascal"/>
    <x v="0"/>
    <x v="11"/>
    <x v="5"/>
    <s v="-"/>
    <s v="NP72"/>
    <m/>
    <s v="oui"/>
    <m/>
    <n v="2"/>
    <n v="0.75"/>
    <n v="1.5"/>
  </r>
  <r>
    <d v="2020-05-12T00:00:00"/>
    <x v="1"/>
    <s v="TWS"/>
    <x v="0"/>
    <x v="3"/>
    <x v="5"/>
    <s v="Castel"/>
    <n v="93"/>
    <m/>
    <s v="oui"/>
    <m/>
    <n v="4"/>
    <n v="0.75"/>
    <n v="3"/>
  </r>
  <r>
    <d v="2020-05-12T00:00:00"/>
    <x v="86"/>
    <s v="-"/>
    <x v="0"/>
    <x v="3"/>
    <x v="5"/>
    <s v="Lot 1 "/>
    <s v="-"/>
    <m/>
    <s v="oui"/>
    <s v="46% Muscat bouteille + 54% Muscat vrac"/>
    <n v="1"/>
    <n v="0.75"/>
    <n v="0.75"/>
  </r>
  <r>
    <d v="2020-05-12T00:00:00"/>
    <x v="86"/>
    <s v="-"/>
    <x v="0"/>
    <x v="3"/>
    <x v="5"/>
    <s v="Lot 2"/>
    <s v="-"/>
    <m/>
    <s v="oui"/>
    <s v="46% Muscat bouteille + 54 % Marsanne"/>
    <n v="1"/>
    <n v="0.75"/>
    <n v="0.75"/>
  </r>
  <r>
    <d v="2020-05-12T00:00:00"/>
    <x v="86"/>
    <s v="-"/>
    <x v="0"/>
    <x v="16"/>
    <x v="5"/>
    <s v="Lot RM"/>
    <s v="-"/>
    <m/>
    <s v="oui"/>
    <s v="64 % Roussanne + 36% Marsanne"/>
    <n v="1"/>
    <n v="0.75"/>
    <n v="0.75"/>
  </r>
  <r>
    <d v="2020-05-12T00:00:00"/>
    <x v="86"/>
    <s v="-"/>
    <x v="2"/>
    <x v="7"/>
    <x v="5"/>
    <s v="Buvette"/>
    <n v="130"/>
    <m/>
    <s v="oui"/>
    <m/>
    <n v="1"/>
    <n v="0.75"/>
    <n v="0.75"/>
  </r>
  <r>
    <d v="2020-05-13T00:00:00"/>
    <x v="92"/>
    <s v="-"/>
    <x v="0"/>
    <x v="70"/>
    <x v="5"/>
    <s v="Lot A"/>
    <s v="-"/>
    <m/>
    <s v="oui"/>
    <s v="80 % Viognier vrac + 20 % Roussanne"/>
    <n v="2"/>
    <n v="0.75"/>
    <n v="1.5"/>
  </r>
  <r>
    <d v="2020-05-13T00:00:00"/>
    <x v="92"/>
    <s v="-"/>
    <x v="0"/>
    <x v="70"/>
    <x v="5"/>
    <s v="Lot B"/>
    <s v="-"/>
    <m/>
    <s v="oui"/>
    <s v="80 % Viognier bouteille + 10 % Roussanne + 10 % Vermentino"/>
    <n v="2"/>
    <n v="0.75"/>
    <n v="1.5"/>
  </r>
  <r>
    <d v="2020-05-13T00:00:00"/>
    <x v="92"/>
    <s v="-"/>
    <x v="0"/>
    <x v="70"/>
    <x v="5"/>
    <s v="Lot C"/>
    <s v="-"/>
    <m/>
    <s v="oui"/>
    <s v="80 % Viognier bouteille + 20 % Roussanne"/>
    <n v="2"/>
    <n v="0.75"/>
    <n v="1.5"/>
  </r>
  <r>
    <d v="2020-05-14T00:00:00"/>
    <x v="1"/>
    <s v="Vailhere Pascal"/>
    <x v="0"/>
    <x v="9"/>
    <x v="5"/>
    <s v="-"/>
    <s v="NP70"/>
    <m/>
    <s v="oui"/>
    <s v=" + 15 g/hl acide citrique"/>
    <n v="4"/>
    <n v="0.75"/>
    <n v="3"/>
  </r>
  <r>
    <d v="2020-05-14T00:00:00"/>
    <x v="1"/>
    <s v="Vailhere Pascal"/>
    <x v="0"/>
    <x v="11"/>
    <x v="5"/>
    <s v="-"/>
    <s v="NP72"/>
    <m/>
    <s v="oui"/>
    <s v=" + 15 g/hl acide citrique"/>
    <n v="4"/>
    <n v="0.75"/>
    <n v="3"/>
  </r>
  <r>
    <d v="2020-05-25T00:00:00"/>
    <x v="2"/>
    <s v="-"/>
    <x v="0"/>
    <x v="1"/>
    <x v="5"/>
    <s v="Lot Celliers du Vent"/>
    <n v="13"/>
    <m/>
    <s v="oui"/>
    <m/>
    <n v="4"/>
    <n v="0.75"/>
    <n v="3"/>
  </r>
  <r>
    <d v="2020-05-25T00:00:00"/>
    <x v="2"/>
    <s v="-"/>
    <x v="0"/>
    <x v="0"/>
    <x v="5"/>
    <s v="Lot Celliers du Vent"/>
    <n v="16"/>
    <m/>
    <s v="oui"/>
    <m/>
    <n v="2"/>
    <n v="0.75"/>
    <n v="1.5"/>
  </r>
  <r>
    <d v="2020-05-25T00:00:00"/>
    <x v="2"/>
    <s v="-"/>
    <x v="0"/>
    <x v="6"/>
    <x v="5"/>
    <s v="Thau Blanc"/>
    <n v="11"/>
    <m/>
    <s v="oui"/>
    <m/>
    <n v="2"/>
    <n v="0.75"/>
    <n v="1.5"/>
  </r>
  <r>
    <d v="2020-05-25T00:00:00"/>
    <x v="2"/>
    <s v="-"/>
    <x v="0"/>
    <x v="3"/>
    <x v="5"/>
    <s v="Bouteille"/>
    <n v="44"/>
    <m/>
    <s v="oui"/>
    <m/>
    <n v="4"/>
    <n v="0.75"/>
    <n v="3"/>
  </r>
  <r>
    <d v="2020-06-05T00:00:00"/>
    <x v="20"/>
    <s v="-"/>
    <x v="0"/>
    <x v="0"/>
    <x v="5"/>
    <s v="variétal"/>
    <n v="23"/>
    <m/>
    <s v="oui"/>
    <m/>
    <n v="2"/>
    <n v="0.75"/>
    <n v="1.5"/>
  </r>
  <r>
    <d v="2020-06-08T00:00:00"/>
    <x v="43"/>
    <s v="Cathala"/>
    <x v="1"/>
    <x v="71"/>
    <x v="5"/>
    <s v="-"/>
    <n v="30"/>
    <m/>
    <s v="oui"/>
    <s v="Cap d'Agde Rosé GCF"/>
    <n v="2"/>
    <n v="0.75"/>
    <n v="1.5"/>
  </r>
  <r>
    <d v="2020-06-10T00:00:00"/>
    <x v="44"/>
    <s v="San Nicolas"/>
    <x v="0"/>
    <x v="0"/>
    <x v="5"/>
    <s v="variétal"/>
    <n v="23"/>
    <m/>
    <s v="oui"/>
    <m/>
    <n v="6"/>
    <n v="0.75"/>
    <n v="4.5"/>
  </r>
  <r>
    <d v="2020-06-10T00:00:00"/>
    <x v="72"/>
    <s v="-"/>
    <x v="1"/>
    <x v="10"/>
    <x v="5"/>
    <s v="Oc Rosé"/>
    <n v="10"/>
    <m/>
    <s v="oui"/>
    <m/>
    <n v="2"/>
    <n v="0.75"/>
    <n v="1.5"/>
  </r>
  <r>
    <d v="2020-06-12T00:00:00"/>
    <x v="46"/>
    <s v="-"/>
    <x v="0"/>
    <x v="16"/>
    <x v="5"/>
    <s v="Oc Blanc"/>
    <n v="34"/>
    <m/>
    <s v="oui"/>
    <m/>
    <n v="2"/>
    <n v="0.75"/>
    <n v="1.5"/>
  </r>
  <r>
    <d v="2020-06-15T00:00:00"/>
    <x v="5"/>
    <s v="-"/>
    <x v="0"/>
    <x v="17"/>
    <x v="5"/>
    <s v="Colombard"/>
    <s v="NP75"/>
    <m/>
    <s v="oui"/>
    <m/>
    <n v="1"/>
    <n v="0.75"/>
    <n v="0.75"/>
  </r>
  <r>
    <d v="2020-06-15T00:00:00"/>
    <x v="5"/>
    <s v="-"/>
    <x v="0"/>
    <x v="17"/>
    <x v="5"/>
    <s v="Thau Blanc"/>
    <n v="197"/>
    <m/>
    <s v="oui"/>
    <m/>
    <n v="1"/>
    <n v="0.75"/>
    <n v="0.75"/>
  </r>
  <r>
    <d v="2020-06-15T00:00:00"/>
    <x v="18"/>
    <s v="-"/>
    <x v="1"/>
    <x v="62"/>
    <x v="5"/>
    <s v="Lot 2"/>
    <n v="8"/>
    <m/>
    <s v="oui"/>
    <m/>
    <n v="1"/>
    <n v="0.75"/>
    <n v="0.75"/>
  </r>
  <r>
    <d v="2020-06-15T00:00:00"/>
    <x v="5"/>
    <s v="-"/>
    <x v="1"/>
    <x v="62"/>
    <x v="5"/>
    <s v="Lot 3"/>
    <n v="12"/>
    <m/>
    <s v="oui"/>
    <m/>
    <n v="1"/>
    <n v="0.75"/>
    <n v="0.75"/>
  </r>
  <r>
    <d v="2020-06-15T00:00:00"/>
    <x v="5"/>
    <s v="-"/>
    <x v="0"/>
    <x v="1"/>
    <x v="5"/>
    <s v="Lot GCF"/>
    <n v="310"/>
    <m/>
    <s v="oui"/>
    <m/>
    <n v="1"/>
    <n v="0.75"/>
    <n v="0.75"/>
  </r>
  <r>
    <d v="2020-06-15T00:00:00"/>
    <x v="5"/>
    <s v="-"/>
    <x v="0"/>
    <x v="0"/>
    <x v="5"/>
    <s v="Lot GCF"/>
    <n v="311"/>
    <m/>
    <s v="oui"/>
    <m/>
    <n v="1"/>
    <n v="0.75"/>
    <n v="0.75"/>
  </r>
  <r>
    <d v="2020-06-15T00:00:00"/>
    <x v="5"/>
    <s v="-"/>
    <x v="1"/>
    <x v="7"/>
    <x v="5"/>
    <s v="Lot GCF"/>
    <n v="15"/>
    <m/>
    <s v="oui"/>
    <m/>
    <n v="1"/>
    <n v="0.75"/>
    <n v="0.75"/>
  </r>
  <r>
    <d v="2020-06-15T00:00:00"/>
    <x v="5"/>
    <s v="-"/>
    <x v="0"/>
    <x v="49"/>
    <x v="5"/>
    <s v="-"/>
    <s v="-"/>
    <m/>
    <s v="oui"/>
    <m/>
    <n v="1"/>
    <n v="0.75"/>
    <n v="0.75"/>
  </r>
  <r>
    <d v="2020-06-26T00:00:00"/>
    <x v="31"/>
    <s v="-"/>
    <x v="0"/>
    <x v="0"/>
    <x v="5"/>
    <s v="Petit degré"/>
    <s v="-"/>
    <m/>
    <s v="oui"/>
    <s v="70% Chardo var + 25% Terret"/>
    <n v="2"/>
    <n v="0.75"/>
    <n v="1.5"/>
  </r>
  <r>
    <d v="2020-07-01T00:00:00"/>
    <x v="93"/>
    <s v="-"/>
    <x v="2"/>
    <x v="7"/>
    <x v="5"/>
    <s v="Buvette"/>
    <n v="131"/>
    <m/>
    <s v="oui"/>
    <s v="Médaille Or Paris"/>
    <n v="2"/>
    <n v="0.75"/>
    <n v="1.5"/>
  </r>
  <r>
    <d v="2020-07-01T00:00:00"/>
    <x v="5"/>
    <s v="-"/>
    <x v="0"/>
    <x v="1"/>
    <x v="5"/>
    <s v="Lot GCF"/>
    <n v="310"/>
    <m/>
    <s v="oui"/>
    <m/>
    <n v="2"/>
    <n v="0.75"/>
    <n v="1.5"/>
  </r>
  <r>
    <d v="2020-07-06T00:00:00"/>
    <x v="3"/>
    <s v="-"/>
    <x v="0"/>
    <x v="1"/>
    <x v="5"/>
    <s v="Lot GCF"/>
    <n v="324"/>
    <m/>
    <s v="oui"/>
    <m/>
    <n v="12"/>
    <n v="0.75"/>
    <n v="9"/>
  </r>
  <r>
    <d v="2020-07-06T00:00:00"/>
    <x v="53"/>
    <s v="SP Wines"/>
    <x v="0"/>
    <x v="21"/>
    <x v="5"/>
    <s v="-"/>
    <s v="NP74"/>
    <m/>
    <s v="oui"/>
    <m/>
    <n v="1"/>
    <n v="0.75"/>
    <n v="0.75"/>
  </r>
  <r>
    <d v="2020-07-06T00:00:00"/>
    <x v="86"/>
    <s v="-"/>
    <x v="0"/>
    <x v="3"/>
    <x v="5"/>
    <s v="Bouteille"/>
    <s v="FK05"/>
    <m/>
    <s v="oui"/>
    <m/>
    <n v="2"/>
    <n v="0.75"/>
    <n v="1.5"/>
  </r>
  <r>
    <d v="2020-07-06T00:00:00"/>
    <x v="86"/>
    <s v="-"/>
    <x v="1"/>
    <x v="22"/>
    <x v="5"/>
    <s v="BIB"/>
    <n v="76"/>
    <m/>
    <s v="oui"/>
    <m/>
    <n v="2"/>
    <n v="0.75"/>
    <n v="1.5"/>
  </r>
  <r>
    <d v="2020-08-10T00:00:00"/>
    <x v="2"/>
    <s v="-"/>
    <x v="0"/>
    <x v="1"/>
    <x v="5"/>
    <s v="Lot Celliers du Vent"/>
    <s v="B1-0"/>
    <m/>
    <s v="oui"/>
    <m/>
    <n v="3"/>
    <n v="0.75"/>
    <n v="2.25"/>
  </r>
  <r>
    <d v="2020-10-19T00:00:00"/>
    <x v="2"/>
    <s v="-"/>
    <x v="0"/>
    <x v="0"/>
    <x v="6"/>
    <s v="variétal"/>
    <s v="-"/>
    <m/>
    <s v="oui"/>
    <m/>
    <n v="6"/>
    <n v="0.75"/>
    <n v="4.5"/>
  </r>
  <r>
    <d v="2020-10-19T00:00:00"/>
    <x v="2"/>
    <s v="-"/>
    <x v="0"/>
    <x v="0"/>
    <x v="6"/>
    <s v="supérieur"/>
    <s v="-"/>
    <m/>
    <s v="oui"/>
    <m/>
    <n v="6"/>
    <n v="0.75"/>
    <n v="4.5"/>
  </r>
  <r>
    <d v="2020-10-19T00:00:00"/>
    <x v="2"/>
    <s v="-"/>
    <x v="0"/>
    <x v="2"/>
    <x v="6"/>
    <s v="variétal"/>
    <s v="-"/>
    <m/>
    <s v="oui"/>
    <m/>
    <n v="6"/>
    <n v="0.75"/>
    <n v="4.5"/>
  </r>
  <r>
    <d v="2020-10-19T00:00:00"/>
    <x v="2"/>
    <s v="-"/>
    <x v="0"/>
    <x v="2"/>
    <x v="6"/>
    <s v="supérieur"/>
    <s v="-"/>
    <m/>
    <s v="oui"/>
    <m/>
    <n v="6"/>
    <n v="0.752"/>
    <n v="4.5120000000000005"/>
  </r>
  <r>
    <d v="2020-10-19T00:00:00"/>
    <x v="5"/>
    <s v="-"/>
    <x v="0"/>
    <x v="72"/>
    <x v="6"/>
    <s v="-"/>
    <s v="E1-0"/>
    <m/>
    <s v="oui"/>
    <m/>
    <n v="3"/>
    <n v="0.75"/>
    <n v="2.25"/>
  </r>
  <r>
    <d v="2020-10-19T00:00:00"/>
    <x v="5"/>
    <s v="-"/>
    <x v="0"/>
    <x v="72"/>
    <x v="6"/>
    <s v="-"/>
    <s v="F2-3"/>
    <m/>
    <s v="oui"/>
    <m/>
    <n v="3"/>
    <n v="0.75"/>
    <n v="2.25"/>
  </r>
  <r>
    <d v="2020-10-19T00:00:00"/>
    <x v="5"/>
    <s v="-"/>
    <x v="1"/>
    <x v="10"/>
    <x v="6"/>
    <s v="-"/>
    <s v="B1-1"/>
    <m/>
    <s v="oui"/>
    <m/>
    <n v="2"/>
    <n v="0.75"/>
    <n v="1.5"/>
  </r>
  <r>
    <d v="2020-10-19T00:00:00"/>
    <x v="5"/>
    <s v="-"/>
    <x v="1"/>
    <x v="73"/>
    <x v="6"/>
    <s v="-"/>
    <s v="H1-10"/>
    <m/>
    <s v="oui"/>
    <m/>
    <n v="2"/>
    <n v="0.75"/>
    <n v="1.5"/>
  </r>
  <r>
    <d v="2020-10-19T00:00:00"/>
    <x v="5"/>
    <s v="-"/>
    <x v="1"/>
    <x v="10"/>
    <x v="6"/>
    <s v="-"/>
    <s v="C1-10"/>
    <m/>
    <s v="oui"/>
    <m/>
    <n v="6"/>
    <n v="0.75"/>
    <n v="4.5"/>
  </r>
  <r>
    <d v="2020-10-19T00:00:00"/>
    <x v="5"/>
    <s v="-"/>
    <x v="1"/>
    <x v="74"/>
    <x v="6"/>
    <s v="-"/>
    <s v="C2-2"/>
    <m/>
    <s v="oui"/>
    <m/>
    <n v="2"/>
    <n v="0.75"/>
    <n v="1.5"/>
  </r>
  <r>
    <d v="2020-10-19T00:00:00"/>
    <x v="5"/>
    <s v="-"/>
    <x v="0"/>
    <x v="20"/>
    <x v="6"/>
    <s v="-"/>
    <s v="E2-5"/>
    <m/>
    <s v="oui"/>
    <m/>
    <n v="2"/>
    <n v="0.75"/>
    <n v="1.5"/>
  </r>
  <r>
    <d v="2020-10-19T00:00:00"/>
    <x v="5"/>
    <s v="-"/>
    <x v="1"/>
    <x v="7"/>
    <x v="6"/>
    <s v="-"/>
    <s v="G1-6"/>
    <m/>
    <s v="oui"/>
    <m/>
    <n v="6"/>
    <n v="0.75"/>
    <n v="4.5"/>
  </r>
  <r>
    <d v="2020-10-19T00:00:00"/>
    <x v="5"/>
    <s v="-"/>
    <x v="1"/>
    <x v="10"/>
    <x v="6"/>
    <s v="-"/>
    <s v="A1-9"/>
    <m/>
    <s v="oui"/>
    <m/>
    <n v="4"/>
    <n v="0.75"/>
    <n v="3"/>
  </r>
  <r>
    <d v="2020-10-19T00:00:00"/>
    <x v="5"/>
    <s v="-"/>
    <x v="1"/>
    <x v="73"/>
    <x v="6"/>
    <s v="-"/>
    <s v="A1-2"/>
    <m/>
    <s v="oui"/>
    <m/>
    <n v="2"/>
    <n v="0.75"/>
    <n v="1.5"/>
  </r>
  <r>
    <d v="2020-10-19T00:00:00"/>
    <x v="5"/>
    <s v="-"/>
    <x v="1"/>
    <x v="75"/>
    <x v="6"/>
    <s v="-"/>
    <s v="B1-4"/>
    <m/>
    <s v="oui"/>
    <m/>
    <n v="2"/>
    <n v="0.75"/>
    <n v="1.5"/>
  </r>
  <r>
    <d v="2020-10-19T00:00:00"/>
    <x v="55"/>
    <s v="René Jeanjean"/>
    <x v="0"/>
    <x v="2"/>
    <x v="6"/>
    <s v="variétal"/>
    <s v="-"/>
    <m/>
    <s v="oui"/>
    <m/>
    <n v="2"/>
    <n v="0.75"/>
    <n v="1.5"/>
  </r>
  <r>
    <d v="2020-10-19T00:00:00"/>
    <x v="55"/>
    <s v="René Jeanjean"/>
    <x v="0"/>
    <x v="2"/>
    <x v="6"/>
    <s v="supérieur"/>
    <s v="-"/>
    <m/>
    <s v="oui"/>
    <m/>
    <n v="2"/>
    <n v="0.75"/>
    <n v="1.5"/>
  </r>
  <r>
    <d v="2020-10-19T00:00:00"/>
    <x v="94"/>
    <s v="-"/>
    <x v="0"/>
    <x v="6"/>
    <x v="6"/>
    <s v="-"/>
    <s v="E1-0"/>
    <m/>
    <s v="oui"/>
    <m/>
    <n v="2"/>
    <n v="0.75"/>
    <n v="1.5"/>
  </r>
  <r>
    <d v="2020-10-20T00:00:00"/>
    <x v="52"/>
    <s v="JC Simon"/>
    <x v="0"/>
    <x v="2"/>
    <x v="6"/>
    <s v="variétal"/>
    <s v="-"/>
    <m/>
    <s v="oui"/>
    <m/>
    <n v="2"/>
    <n v="0.75"/>
    <n v="1.5"/>
  </r>
  <r>
    <d v="2020-10-20T00:00:00"/>
    <x v="52"/>
    <s v="JC Simon"/>
    <x v="0"/>
    <x v="2"/>
    <x v="6"/>
    <s v="supérieur"/>
    <s v="-"/>
    <m/>
    <s v="oui"/>
    <m/>
    <n v="2"/>
    <n v="0.75"/>
    <n v="1.5"/>
  </r>
  <r>
    <d v="2020-10-20T00:00:00"/>
    <x v="52"/>
    <s v="JC Simon"/>
    <x v="0"/>
    <x v="0"/>
    <x v="6"/>
    <s v="variétal"/>
    <s v="-"/>
    <m/>
    <s v="oui"/>
    <m/>
    <n v="2"/>
    <n v="0.75"/>
    <n v="1.5"/>
  </r>
  <r>
    <d v="2020-10-20T00:00:00"/>
    <x v="52"/>
    <s v="JC Simon"/>
    <x v="0"/>
    <x v="0"/>
    <x v="6"/>
    <s v="supérieur"/>
    <s v="-"/>
    <m/>
    <s v="oui"/>
    <m/>
    <n v="2"/>
    <n v="0.75"/>
    <n v="1.5"/>
  </r>
  <r>
    <d v="2020-10-20T00:00:00"/>
    <x v="1"/>
    <s v="Gilles Louvet"/>
    <x v="0"/>
    <x v="3"/>
    <x v="6"/>
    <s v="variétal"/>
    <s v="-"/>
    <m/>
    <s v="oui"/>
    <m/>
    <n v="3"/>
    <n v="0.75"/>
    <n v="2.25"/>
  </r>
  <r>
    <d v="2020-10-20T00:00:00"/>
    <x v="1"/>
    <s v="Gilles Louvet"/>
    <x v="0"/>
    <x v="3"/>
    <x v="6"/>
    <s v="mûrs"/>
    <s v="-"/>
    <m/>
    <s v="oui"/>
    <m/>
    <n v="3"/>
    <n v="0.75"/>
    <n v="2.25"/>
  </r>
  <r>
    <d v="2020-10-20T00:00:00"/>
    <x v="1"/>
    <s v="Gilles Louvet"/>
    <x v="0"/>
    <x v="3"/>
    <x v="6"/>
    <s v="croquant"/>
    <s v="-"/>
    <m/>
    <s v="oui"/>
    <m/>
    <n v="3"/>
    <n v="0.75"/>
    <n v="2.25"/>
  </r>
  <r>
    <d v="2020-10-20T00:00:00"/>
    <x v="43"/>
    <s v="Vailhere Pascal"/>
    <x v="0"/>
    <x v="3"/>
    <x v="6"/>
    <s v="variétal"/>
    <s v="-"/>
    <m/>
    <s v="oui"/>
    <m/>
    <n v="2"/>
    <n v="0.75"/>
    <n v="1.5"/>
  </r>
  <r>
    <d v="2020-10-20T00:00:00"/>
    <x v="43"/>
    <s v="Vailhere Pascal"/>
    <x v="0"/>
    <x v="3"/>
    <x v="6"/>
    <s v="mûrs"/>
    <s v="-"/>
    <m/>
    <s v="oui"/>
    <m/>
    <n v="2"/>
    <n v="0.75"/>
    <n v="1.5"/>
  </r>
  <r>
    <d v="2020-10-20T00:00:00"/>
    <x v="43"/>
    <s v="Vailhere Pascal"/>
    <x v="0"/>
    <x v="3"/>
    <x v="6"/>
    <s v="croquant"/>
    <s v="-"/>
    <m/>
    <s v="oui"/>
    <m/>
    <n v="2"/>
    <n v="0.75"/>
    <n v="1.5"/>
  </r>
  <r>
    <d v="2020-10-20T00:00:00"/>
    <x v="43"/>
    <s v="Vailhere Pascal"/>
    <x v="1"/>
    <x v="7"/>
    <x v="6"/>
    <s v="vrac"/>
    <s v="-"/>
    <m/>
    <s v="oui"/>
    <m/>
    <n v="2"/>
    <n v="0.75"/>
    <n v="1.5"/>
  </r>
  <r>
    <d v="2020-10-21T00:00:00"/>
    <x v="2"/>
    <s v="-"/>
    <x v="0"/>
    <x v="0"/>
    <x v="6"/>
    <s v="variétal"/>
    <s v="-"/>
    <m/>
    <s v="oui"/>
    <m/>
    <n v="2"/>
    <n v="0.75"/>
    <n v="1.5"/>
  </r>
  <r>
    <d v="2020-10-21T00:00:00"/>
    <x v="2"/>
    <s v="-"/>
    <x v="0"/>
    <x v="0"/>
    <x v="6"/>
    <s v="supérieur"/>
    <s v="-"/>
    <m/>
    <s v="oui"/>
    <m/>
    <n v="2"/>
    <n v="0.75"/>
    <n v="1.5"/>
  </r>
  <r>
    <d v="2020-10-21T00:00:00"/>
    <x v="2"/>
    <s v="-"/>
    <x v="0"/>
    <x v="2"/>
    <x v="6"/>
    <s v="variétal"/>
    <s v="-"/>
    <m/>
    <s v="oui"/>
    <m/>
    <n v="2"/>
    <n v="0.75"/>
    <n v="1.5"/>
  </r>
  <r>
    <d v="2020-10-21T00:00:00"/>
    <x v="2"/>
    <s v="-"/>
    <x v="0"/>
    <x v="2"/>
    <x v="6"/>
    <s v="supérieur"/>
    <s v="-"/>
    <m/>
    <s v="oui"/>
    <m/>
    <n v="2"/>
    <n v="0.75"/>
    <n v="1.5"/>
  </r>
  <r>
    <d v="2020-10-26T00:00:00"/>
    <x v="2"/>
    <s v="-"/>
    <x v="0"/>
    <x v="0"/>
    <x v="6"/>
    <s v="variétal"/>
    <s v="-"/>
    <m/>
    <s v="oui"/>
    <m/>
    <n v="6"/>
    <n v="0.75"/>
    <n v="4.5"/>
  </r>
  <r>
    <d v="2020-10-26T00:00:00"/>
    <x v="2"/>
    <s v="-"/>
    <x v="0"/>
    <x v="0"/>
    <x v="6"/>
    <s v="supérieur"/>
    <s v="-"/>
    <m/>
    <s v="oui"/>
    <m/>
    <n v="6"/>
    <n v="0.75"/>
    <n v="4.5"/>
  </r>
  <r>
    <d v="2020-10-26T00:00:00"/>
    <x v="2"/>
    <s v="-"/>
    <x v="0"/>
    <x v="1"/>
    <x v="6"/>
    <s v="classique"/>
    <s v="-"/>
    <m/>
    <s v="oui"/>
    <m/>
    <n v="6"/>
    <n v="0.75"/>
    <n v="4.5"/>
  </r>
  <r>
    <d v="2020-10-26T00:00:00"/>
    <x v="2"/>
    <s v="-"/>
    <x v="0"/>
    <x v="1"/>
    <x v="6"/>
    <s v="variétal"/>
    <s v="-"/>
    <m/>
    <s v="oui"/>
    <m/>
    <n v="6"/>
    <n v="0.75"/>
    <n v="4.5"/>
  </r>
  <r>
    <d v="2020-10-26T00:00:00"/>
    <x v="2"/>
    <s v="-"/>
    <x v="0"/>
    <x v="1"/>
    <x v="6"/>
    <s v="supérieur"/>
    <s v="-"/>
    <m/>
    <s v="oui"/>
    <m/>
    <n v="6"/>
    <n v="0.75"/>
    <n v="4.5"/>
  </r>
  <r>
    <d v="2020-10-26T00:00:00"/>
    <x v="2"/>
    <s v="-"/>
    <x v="0"/>
    <x v="3"/>
    <x v="6"/>
    <s v="variétal"/>
    <s v="-"/>
    <m/>
    <s v="oui"/>
    <m/>
    <n v="6"/>
    <n v="0.75"/>
    <n v="4.5"/>
  </r>
  <r>
    <d v="2020-10-26T00:00:00"/>
    <x v="2"/>
    <s v="-"/>
    <x v="0"/>
    <x v="3"/>
    <x v="6"/>
    <s v="supérieur"/>
    <s v="-"/>
    <m/>
    <s v="oui"/>
    <m/>
    <n v="6"/>
    <n v="0.75"/>
    <n v="4.5"/>
  </r>
  <r>
    <d v="2020-10-26T00:00:00"/>
    <x v="72"/>
    <s v="-"/>
    <x v="0"/>
    <x v="1"/>
    <x v="6"/>
    <s v="variétal"/>
    <s v="-"/>
    <m/>
    <s v="oui"/>
    <m/>
    <n v="2"/>
    <n v="0.75"/>
    <n v="1.5"/>
  </r>
  <r>
    <d v="2020-10-26T00:00:00"/>
    <x v="72"/>
    <s v="-"/>
    <x v="0"/>
    <x v="1"/>
    <x v="6"/>
    <s v="supérieur"/>
    <s v="-"/>
    <m/>
    <s v="oui"/>
    <m/>
    <n v="2"/>
    <n v="0.75"/>
    <n v="1.5"/>
  </r>
  <r>
    <d v="2020-10-26T00:00:00"/>
    <x v="72"/>
    <s v="-"/>
    <x v="0"/>
    <x v="0"/>
    <x v="6"/>
    <s v="variétal"/>
    <s v="-"/>
    <m/>
    <s v="oui"/>
    <m/>
    <n v="2"/>
    <n v="0.75"/>
    <n v="1.5"/>
  </r>
  <r>
    <d v="2020-10-26T00:00:00"/>
    <x v="72"/>
    <s v="-"/>
    <x v="0"/>
    <x v="0"/>
    <x v="6"/>
    <s v="supérieur"/>
    <s v="-"/>
    <m/>
    <s v="oui"/>
    <m/>
    <n v="2"/>
    <n v="0.75"/>
    <n v="1.5"/>
  </r>
  <r>
    <d v="2020-10-26T00:00:00"/>
    <x v="1"/>
    <s v="San Nicolas"/>
    <x v="0"/>
    <x v="1"/>
    <x v="6"/>
    <s v="variétal"/>
    <s v="-"/>
    <m/>
    <s v="oui"/>
    <m/>
    <n v="3"/>
    <n v="0.75"/>
    <n v="2.25"/>
  </r>
  <r>
    <d v="2020-10-26T00:00:00"/>
    <x v="1"/>
    <s v="San Nicolas"/>
    <x v="0"/>
    <x v="1"/>
    <x v="6"/>
    <s v="supérieur"/>
    <s v="-"/>
    <m/>
    <s v="oui"/>
    <m/>
    <n v="3"/>
    <n v="0.75"/>
    <n v="2.25"/>
  </r>
  <r>
    <d v="2020-10-26T00:00:00"/>
    <x v="1"/>
    <s v="San Nicolas"/>
    <x v="0"/>
    <x v="0"/>
    <x v="6"/>
    <s v="variétal"/>
    <s v="-"/>
    <m/>
    <s v="oui"/>
    <m/>
    <n v="3"/>
    <n v="0.75"/>
    <n v="2.25"/>
  </r>
  <r>
    <d v="2020-10-26T00:00:00"/>
    <x v="1"/>
    <s v="San Nicolas"/>
    <x v="0"/>
    <x v="0"/>
    <x v="6"/>
    <s v="supérieur"/>
    <s v="-"/>
    <m/>
    <s v="oui"/>
    <m/>
    <n v="3"/>
    <n v="0.75"/>
    <n v="2.25"/>
  </r>
  <r>
    <d v="2020-10-27T00:00:00"/>
    <x v="3"/>
    <s v="-"/>
    <x v="0"/>
    <x v="1"/>
    <x v="6"/>
    <s v="supérieur"/>
    <s v="-"/>
    <m/>
    <s v="oui"/>
    <m/>
    <n v="3"/>
    <n v="10"/>
    <n v="30"/>
  </r>
  <r>
    <d v="2020-10-27T00:00:00"/>
    <x v="3"/>
    <s v="-"/>
    <x v="0"/>
    <x v="0"/>
    <x v="6"/>
    <s v="variétal"/>
    <s v="-"/>
    <m/>
    <s v="oui"/>
    <m/>
    <n v="2"/>
    <n v="0.75"/>
    <n v="1.5"/>
  </r>
  <r>
    <d v="2020-10-27T00:00:00"/>
    <x v="3"/>
    <s v="-"/>
    <x v="0"/>
    <x v="0"/>
    <x v="6"/>
    <s v="supérieur"/>
    <s v="-"/>
    <m/>
    <s v="oui"/>
    <m/>
    <n v="2"/>
    <n v="0.75"/>
    <n v="1.5"/>
  </r>
  <r>
    <d v="2020-10-27T00:00:00"/>
    <x v="53"/>
    <s v="SP Wines"/>
    <x v="0"/>
    <x v="21"/>
    <x v="5"/>
    <s v="-"/>
    <s v="B1-2"/>
    <m/>
    <s v="oui"/>
    <m/>
    <n v="2"/>
    <n v="0.75"/>
    <n v="1.5"/>
  </r>
  <r>
    <d v="2020-10-27T00:00:00"/>
    <x v="1"/>
    <s v="SP Wines"/>
    <x v="0"/>
    <x v="1"/>
    <x v="6"/>
    <s v="classique"/>
    <s v="-"/>
    <m/>
    <s v="oui"/>
    <m/>
    <n v="3"/>
    <n v="0.75"/>
    <n v="2.25"/>
  </r>
  <r>
    <d v="2020-10-27T00:00:00"/>
    <x v="1"/>
    <s v="SP Wines"/>
    <x v="0"/>
    <x v="1"/>
    <x v="6"/>
    <s v="variétal"/>
    <s v="-"/>
    <m/>
    <s v="oui"/>
    <m/>
    <n v="3"/>
    <n v="0.75"/>
    <n v="2.25"/>
  </r>
  <r>
    <d v="2020-10-27T00:00:00"/>
    <x v="1"/>
    <s v="SP Wines"/>
    <x v="0"/>
    <x v="1"/>
    <x v="6"/>
    <s v="supérieur"/>
    <s v="-"/>
    <m/>
    <s v="oui"/>
    <m/>
    <n v="3"/>
    <n v="0.75"/>
    <n v="2.25"/>
  </r>
  <r>
    <d v="2020-10-27T00:00:00"/>
    <x v="1"/>
    <s v="SP Wines"/>
    <x v="0"/>
    <x v="0"/>
    <x v="6"/>
    <s v="variétal"/>
    <s v="-"/>
    <m/>
    <s v="oui"/>
    <m/>
    <n v="3"/>
    <n v="0.75"/>
    <n v="2.25"/>
  </r>
  <r>
    <d v="2020-10-27T00:00:00"/>
    <x v="1"/>
    <s v="SP Wines"/>
    <x v="0"/>
    <x v="0"/>
    <x v="6"/>
    <s v="supérieur"/>
    <s v="-"/>
    <m/>
    <s v="oui"/>
    <m/>
    <n v="3"/>
    <n v="0.75"/>
    <n v="2.25"/>
  </r>
  <r>
    <d v="2020-10-27T00:00:00"/>
    <x v="1"/>
    <s v="SP Wines"/>
    <x v="0"/>
    <x v="21"/>
    <x v="6"/>
    <s v="-"/>
    <s v="E1-8"/>
    <m/>
    <s v="oui"/>
    <m/>
    <n v="2"/>
    <n v="0.75"/>
    <n v="1.5"/>
  </r>
  <r>
    <d v="2020-10-27T00:00:00"/>
    <x v="1"/>
    <s v="SP Wines"/>
    <x v="0"/>
    <x v="9"/>
    <x v="6"/>
    <s v="-"/>
    <s v="C2-1"/>
    <m/>
    <s v="oui"/>
    <m/>
    <n v="2"/>
    <n v="0.75"/>
    <n v="1.5"/>
  </r>
  <r>
    <d v="2020-10-27T00:00:00"/>
    <x v="1"/>
    <s v="SP Wines"/>
    <x v="0"/>
    <x v="19"/>
    <x v="6"/>
    <s v="-"/>
    <s v="E1-3"/>
    <m/>
    <s v="oui"/>
    <m/>
    <n v="2"/>
    <n v="0.75"/>
    <n v="1.5"/>
  </r>
  <r>
    <d v="2020-10-27T00:00:00"/>
    <x v="1"/>
    <s v="SP Wines"/>
    <x v="0"/>
    <x v="2"/>
    <x v="6"/>
    <s v="variétal"/>
    <s v="-"/>
    <m/>
    <s v="oui"/>
    <m/>
    <n v="3"/>
    <n v="0.75"/>
    <n v="2.25"/>
  </r>
  <r>
    <d v="2020-10-27T00:00:00"/>
    <x v="1"/>
    <s v="SP Wines"/>
    <x v="0"/>
    <x v="2"/>
    <x v="6"/>
    <s v="supérieur"/>
    <s v="-"/>
    <m/>
    <s v="oui"/>
    <m/>
    <n v="3"/>
    <n v="0.75"/>
    <n v="2.25"/>
  </r>
  <r>
    <d v="2020-10-28T00:00:00"/>
    <x v="1"/>
    <s v="Lambert Gilles"/>
    <x v="0"/>
    <x v="0"/>
    <x v="6"/>
    <s v="supérieur"/>
    <s v="-"/>
    <m/>
    <s v="oui"/>
    <m/>
    <n v="2"/>
    <n v="0.75"/>
    <n v="1.5"/>
  </r>
  <r>
    <d v="2020-11-02T00:00:00"/>
    <x v="2"/>
    <s v="-"/>
    <x v="0"/>
    <x v="1"/>
    <x v="6"/>
    <s v="classique"/>
    <s v="A1-10"/>
    <m/>
    <s v="oui"/>
    <m/>
    <n v="6"/>
    <n v="0.75"/>
    <n v="4.5"/>
  </r>
  <r>
    <d v="2020-11-02T00:00:00"/>
    <x v="2"/>
    <s v="-"/>
    <x v="0"/>
    <x v="1"/>
    <x v="6"/>
    <s v="variétal"/>
    <s v="D1-9"/>
    <m/>
    <s v="oui"/>
    <m/>
    <n v="6"/>
    <n v="0.75"/>
    <n v="4.5"/>
  </r>
  <r>
    <d v="2020-11-02T00:00:00"/>
    <x v="2"/>
    <s v="-"/>
    <x v="0"/>
    <x v="1"/>
    <x v="6"/>
    <s v="supérieur"/>
    <s v="-"/>
    <m/>
    <s v="oui"/>
    <m/>
    <n v="6"/>
    <n v="0.75"/>
    <n v="4.5"/>
  </r>
  <r>
    <d v="2020-11-02T00:00:00"/>
    <x v="2"/>
    <s v="-"/>
    <x v="0"/>
    <x v="0"/>
    <x v="6"/>
    <s v="variétal"/>
    <s v="-"/>
    <m/>
    <s v="oui"/>
    <m/>
    <n v="6"/>
    <n v="0.75"/>
    <n v="4.5"/>
  </r>
  <r>
    <d v="2020-11-02T00:00:00"/>
    <x v="2"/>
    <s v="-"/>
    <x v="0"/>
    <x v="0"/>
    <x v="6"/>
    <s v="supérieur"/>
    <s v="-"/>
    <m/>
    <s v="oui"/>
    <m/>
    <n v="6"/>
    <n v="0.75"/>
    <n v="4.5"/>
  </r>
  <r>
    <d v="2020-11-02T00:00:00"/>
    <x v="2"/>
    <s v="-"/>
    <x v="0"/>
    <x v="2"/>
    <x v="6"/>
    <s v="variétal"/>
    <s v="H1-3"/>
    <m/>
    <s v="oui"/>
    <m/>
    <n v="6"/>
    <n v="0.75"/>
    <n v="4.5"/>
  </r>
  <r>
    <d v="2020-11-02T00:00:00"/>
    <x v="2"/>
    <s v="-"/>
    <x v="0"/>
    <x v="2"/>
    <x v="6"/>
    <s v="supérieur"/>
    <s v="-"/>
    <m/>
    <s v="oui"/>
    <m/>
    <n v="6"/>
    <n v="0.75"/>
    <n v="4.5"/>
  </r>
  <r>
    <d v="2020-11-02T00:00:00"/>
    <x v="2"/>
    <s v="-"/>
    <x v="0"/>
    <x v="3"/>
    <x v="6"/>
    <s v="variétal"/>
    <s v="-"/>
    <m/>
    <s v="oui"/>
    <m/>
    <n v="2"/>
    <n v="0.75"/>
    <n v="1.5"/>
  </r>
  <r>
    <d v="2020-11-02T00:00:00"/>
    <x v="2"/>
    <s v="-"/>
    <x v="0"/>
    <x v="3"/>
    <x v="6"/>
    <s v="mûrs"/>
    <s v="-"/>
    <m/>
    <s v="oui"/>
    <m/>
    <n v="2"/>
    <n v="0.75"/>
    <n v="1.5"/>
  </r>
  <r>
    <d v="2020-11-02T00:00:00"/>
    <x v="2"/>
    <s v="-"/>
    <x v="0"/>
    <x v="3"/>
    <x v="6"/>
    <s v="croquant"/>
    <s v="-"/>
    <m/>
    <s v="oui"/>
    <m/>
    <n v="2"/>
    <n v="0.75"/>
    <n v="1.5"/>
  </r>
  <r>
    <d v="2020-11-02T00:00:00"/>
    <x v="7"/>
    <s v="-"/>
    <x v="0"/>
    <x v="1"/>
    <x v="6"/>
    <s v="classique"/>
    <s v="A1-10"/>
    <m/>
    <s v="oui"/>
    <m/>
    <n v="2"/>
    <n v="0.75"/>
    <n v="1.5"/>
  </r>
  <r>
    <d v="2020-11-02T00:00:00"/>
    <x v="7"/>
    <s v="-"/>
    <x v="0"/>
    <x v="1"/>
    <x v="6"/>
    <s v="variétal"/>
    <s v="D1-9"/>
    <m/>
    <s v="oui"/>
    <m/>
    <n v="2"/>
    <n v="0.75"/>
    <n v="1.5"/>
  </r>
  <r>
    <d v="2020-11-02T00:00:00"/>
    <x v="7"/>
    <s v="-"/>
    <x v="0"/>
    <x v="1"/>
    <x v="6"/>
    <s v="supérieur"/>
    <s v="-"/>
    <m/>
    <s v="oui"/>
    <m/>
    <n v="2"/>
    <n v="0.75"/>
    <n v="1.5"/>
  </r>
  <r>
    <d v="2020-11-02T00:00:00"/>
    <x v="7"/>
    <s v="-"/>
    <x v="0"/>
    <x v="6"/>
    <x v="6"/>
    <s v="-"/>
    <s v="B1-9"/>
    <m/>
    <s v="oui"/>
    <m/>
    <n v="2"/>
    <n v="0.75"/>
    <n v="1.5"/>
  </r>
  <r>
    <d v="2020-11-02T00:00:00"/>
    <x v="7"/>
    <s v="-"/>
    <x v="0"/>
    <x v="6"/>
    <x v="6"/>
    <s v="-"/>
    <s v="C1-0"/>
    <m/>
    <s v="oui"/>
    <m/>
    <n v="2"/>
    <n v="0.75"/>
    <n v="1.5"/>
  </r>
  <r>
    <d v="2020-11-02T00:00:00"/>
    <x v="55"/>
    <s v="René Jeanjean"/>
    <x v="0"/>
    <x v="2"/>
    <x v="6"/>
    <s v="supérieur"/>
    <s v="-"/>
    <m/>
    <s v="oui"/>
    <m/>
    <n v="2"/>
    <n v="0.75"/>
    <n v="1.5"/>
  </r>
  <r>
    <d v="2020-11-09T00:00:00"/>
    <x v="1"/>
    <s v="Gilles Louvet"/>
    <x v="0"/>
    <x v="3"/>
    <x v="6"/>
    <s v="variétal"/>
    <s v="-"/>
    <m/>
    <s v="oui"/>
    <m/>
    <n v="2"/>
    <n v="0.75"/>
    <n v="1.5"/>
  </r>
  <r>
    <d v="2020-11-09T00:00:00"/>
    <x v="1"/>
    <s v="Gilles Louvet"/>
    <x v="0"/>
    <x v="3"/>
    <x v="6"/>
    <s v="mûrs"/>
    <s v="-"/>
    <m/>
    <s v="oui"/>
    <m/>
    <n v="2"/>
    <n v="0.75"/>
    <n v="1.5"/>
  </r>
  <r>
    <d v="2020-11-09T00:00:00"/>
    <x v="1"/>
    <s v="Gilles Louvet"/>
    <x v="0"/>
    <x v="3"/>
    <x v="6"/>
    <s v="croquant"/>
    <s v="-"/>
    <m/>
    <s v="oui"/>
    <m/>
    <n v="2"/>
    <n v="0.75"/>
    <n v="1.5"/>
  </r>
  <r>
    <d v="2020-11-09T00:00:00"/>
    <x v="1"/>
    <s v="Gilles Louvet"/>
    <x v="0"/>
    <x v="76"/>
    <x v="6"/>
    <s v="-"/>
    <s v="B1-9"/>
    <m/>
    <s v="oui"/>
    <m/>
    <n v="2"/>
    <n v="0.75"/>
    <n v="1.5"/>
  </r>
  <r>
    <d v="2020-11-09T00:00:00"/>
    <x v="1"/>
    <s v="Gilles Louvet"/>
    <x v="0"/>
    <x v="76"/>
    <x v="6"/>
    <s v="-"/>
    <s v="C1-0"/>
    <m/>
    <s v="oui"/>
    <m/>
    <n v="2"/>
    <n v="0.75"/>
    <n v="1.5"/>
  </r>
  <r>
    <d v="2020-11-09T00:00:00"/>
    <x v="1"/>
    <s v="SP Wines"/>
    <x v="0"/>
    <x v="2"/>
    <x v="6"/>
    <s v="supérieur"/>
    <s v="-"/>
    <m/>
    <s v="oui"/>
    <m/>
    <n v="2"/>
    <n v="0.75"/>
    <n v="1.5"/>
  </r>
  <r>
    <d v="2020-11-09T00:00:00"/>
    <x v="1"/>
    <s v="SP Wines"/>
    <x v="0"/>
    <x v="2"/>
    <x v="6"/>
    <s v="50 - 50"/>
    <s v="-"/>
    <m/>
    <s v="oui"/>
    <s v="50 % Viognier supérieur + 50 % Viognier variétal"/>
    <n v="2"/>
    <n v="0.75"/>
    <n v="1.5"/>
  </r>
  <r>
    <d v="2020-11-09T00:00:00"/>
    <x v="61"/>
    <s v="-"/>
    <x v="0"/>
    <x v="0"/>
    <x v="6"/>
    <s v="variétal"/>
    <s v="-"/>
    <m/>
    <s v="oui"/>
    <m/>
    <n v="2"/>
    <n v="0.75"/>
    <n v="1.5"/>
  </r>
  <r>
    <d v="2020-11-09T00:00:00"/>
    <x v="61"/>
    <s v="-"/>
    <x v="0"/>
    <x v="0"/>
    <x v="6"/>
    <s v="supérieur"/>
    <s v="-"/>
    <m/>
    <s v="oui"/>
    <m/>
    <n v="2"/>
    <n v="0.75"/>
    <n v="1.5"/>
  </r>
  <r>
    <d v="2020-11-09T00:00:00"/>
    <x v="61"/>
    <s v="-"/>
    <x v="0"/>
    <x v="0"/>
    <x v="6"/>
    <s v="Boisé"/>
    <s v="F2-7"/>
    <m/>
    <s v="oui"/>
    <m/>
    <n v="2"/>
    <n v="0.75"/>
    <n v="1.5"/>
  </r>
  <r>
    <d v="2020-11-09T00:00:00"/>
    <x v="61"/>
    <s v="-"/>
    <x v="0"/>
    <x v="16"/>
    <x v="6"/>
    <s v="Oc Blanc"/>
    <s v="-"/>
    <m/>
    <s v="oui"/>
    <m/>
    <n v="2"/>
    <n v="0.75"/>
    <n v="1.5"/>
  </r>
  <r>
    <d v="2020-11-09T00:00:00"/>
    <x v="61"/>
    <s v="-"/>
    <x v="0"/>
    <x v="16"/>
    <x v="6"/>
    <s v="-"/>
    <s v="B1-9"/>
    <m/>
    <s v="oui"/>
    <m/>
    <n v="2"/>
    <n v="0.75"/>
    <n v="1.5"/>
  </r>
  <r>
    <d v="2020-11-09T00:00:00"/>
    <x v="61"/>
    <s v="-"/>
    <x v="1"/>
    <x v="38"/>
    <x v="6"/>
    <s v="Oc Rosé"/>
    <s v="-"/>
    <m/>
    <s v="oui"/>
    <m/>
    <n v="2"/>
    <n v="0.75"/>
    <n v="1.5"/>
  </r>
  <r>
    <d v="2020-11-09T00:00:00"/>
    <x v="95"/>
    <s v="Richemer"/>
    <x v="2"/>
    <x v="77"/>
    <x v="5"/>
    <s v="-"/>
    <s v="-"/>
    <m/>
    <s v="oui"/>
    <s v="70% C2-4 + 30% K1-9 + 5g/l MCR"/>
    <n v="2"/>
    <n v="0.75"/>
    <n v="1.5"/>
  </r>
  <r>
    <d v="2020-11-09T00:00:00"/>
    <x v="95"/>
    <s v="Richemer"/>
    <x v="1"/>
    <x v="47"/>
    <x v="6"/>
    <s v="VDF Rosé BIB Suède"/>
    <s v="-"/>
    <m/>
    <s v="oui"/>
    <m/>
    <n v="2"/>
    <n v="0.75"/>
    <n v="1.5"/>
  </r>
  <r>
    <d v="2020-11-09T00:00:00"/>
    <x v="2"/>
    <s v="-"/>
    <x v="0"/>
    <x v="1"/>
    <x v="6"/>
    <s v="classique"/>
    <s v="A1-10"/>
    <m/>
    <s v="oui"/>
    <m/>
    <n v="3"/>
    <n v="0.75"/>
    <n v="2.25"/>
  </r>
  <r>
    <d v="2020-11-09T00:00:00"/>
    <x v="2"/>
    <s v="-"/>
    <x v="0"/>
    <x v="1"/>
    <x v="6"/>
    <s v="variétal"/>
    <s v="D1-9"/>
    <m/>
    <s v="oui"/>
    <m/>
    <n v="3"/>
    <n v="0.75"/>
    <n v="2.25"/>
  </r>
  <r>
    <d v="2020-11-09T00:00:00"/>
    <x v="2"/>
    <s v="-"/>
    <x v="0"/>
    <x v="1"/>
    <x v="6"/>
    <s v="supérieur"/>
    <s v="C1-7"/>
    <m/>
    <s v="oui"/>
    <m/>
    <n v="3"/>
    <n v="0.75"/>
    <n v="2.25"/>
  </r>
  <r>
    <d v="2020-11-09T00:00:00"/>
    <x v="2"/>
    <s v="-"/>
    <x v="0"/>
    <x v="0"/>
    <x v="6"/>
    <s v="variétal"/>
    <s v="-"/>
    <m/>
    <s v="oui"/>
    <m/>
    <n v="6"/>
    <n v="0.75"/>
    <n v="4.5"/>
  </r>
  <r>
    <d v="2020-11-09T00:00:00"/>
    <x v="2"/>
    <s v="-"/>
    <x v="0"/>
    <x v="0"/>
    <x v="6"/>
    <s v="supérieur"/>
    <s v="-"/>
    <m/>
    <s v="oui"/>
    <m/>
    <n v="6"/>
    <n v="0.75"/>
    <n v="4.5"/>
  </r>
  <r>
    <d v="2020-11-09T00:00:00"/>
    <x v="2"/>
    <s v="-"/>
    <x v="0"/>
    <x v="2"/>
    <x v="6"/>
    <s v="variétal"/>
    <s v="H1-3"/>
    <m/>
    <s v="oui"/>
    <m/>
    <n v="6"/>
    <n v="0.75"/>
    <n v="4.5"/>
  </r>
  <r>
    <d v="2020-11-09T00:00:00"/>
    <x v="2"/>
    <s v="-"/>
    <x v="0"/>
    <x v="2"/>
    <x v="6"/>
    <s v="supérieur"/>
    <s v="-"/>
    <m/>
    <s v="oui"/>
    <m/>
    <n v="6"/>
    <n v="0.75"/>
    <n v="4.5"/>
  </r>
  <r>
    <d v="2020-11-09T00:00:00"/>
    <x v="2"/>
    <s v="-"/>
    <x v="0"/>
    <x v="3"/>
    <x v="6"/>
    <s v="variétal"/>
    <s v="-"/>
    <m/>
    <s v="oui"/>
    <m/>
    <n v="1"/>
    <n v="0.75"/>
    <n v="0.75"/>
  </r>
  <r>
    <d v="2020-11-09T00:00:00"/>
    <x v="2"/>
    <s v="-"/>
    <x v="0"/>
    <x v="3"/>
    <x v="6"/>
    <s v="mûrs"/>
    <s v="-"/>
    <m/>
    <s v="oui"/>
    <m/>
    <n v="1"/>
    <n v="0.75"/>
    <n v="0.75"/>
  </r>
  <r>
    <d v="2020-11-09T00:00:00"/>
    <x v="2"/>
    <s v="-"/>
    <x v="0"/>
    <x v="3"/>
    <x v="6"/>
    <s v="croquant"/>
    <s v="-"/>
    <m/>
    <s v="oui"/>
    <m/>
    <n v="1"/>
    <n v="0.75"/>
    <n v="0.75"/>
  </r>
  <r>
    <d v="2020-11-10T00:00:00"/>
    <x v="72"/>
    <s v="-"/>
    <x v="0"/>
    <x v="2"/>
    <x v="6"/>
    <s v="supérieur"/>
    <s v="-"/>
    <m/>
    <s v="oui"/>
    <m/>
    <n v="3"/>
    <n v="0.75"/>
    <n v="2.25"/>
  </r>
  <r>
    <d v="2020-11-10T00:00:00"/>
    <x v="92"/>
    <s v="Richemer"/>
    <x v="0"/>
    <x v="78"/>
    <x v="6"/>
    <s v="-"/>
    <s v="-"/>
    <m/>
    <s v="oui"/>
    <s v="75% Viognier sup + 12,5% Vermentino + 12,5% Roussanne"/>
    <n v="1"/>
    <n v="0.75"/>
    <n v="0.75"/>
  </r>
  <r>
    <d v="2020-11-10T00:00:00"/>
    <x v="92"/>
    <s v="Richemer"/>
    <x v="1"/>
    <x v="78"/>
    <x v="6"/>
    <s v="VDF Rosé BIB Suède"/>
    <s v="G1-1"/>
    <m/>
    <s v="oui"/>
    <m/>
    <n v="1"/>
    <n v="0.75"/>
    <n v="0.75"/>
  </r>
  <r>
    <d v="2020-11-10T00:00:00"/>
    <x v="92"/>
    <s v="Richemer"/>
    <x v="0"/>
    <x v="79"/>
    <x v="6"/>
    <s v="Lot A"/>
    <s v="-"/>
    <m/>
    <s v="oui"/>
    <s v="Dominante Viognier"/>
    <n v="2"/>
    <n v="0.75"/>
    <n v="1.5"/>
  </r>
  <r>
    <d v="2020-11-10T00:00:00"/>
    <x v="92"/>
    <s v="Richemer"/>
    <x v="0"/>
    <x v="79"/>
    <x v="6"/>
    <s v="Lot B"/>
    <s v="-"/>
    <m/>
    <s v="oui"/>
    <s v="Dominante Muscat"/>
    <n v="2"/>
    <n v="0.75"/>
    <n v="1.5"/>
  </r>
  <r>
    <d v="2020-11-10T00:00:00"/>
    <x v="96"/>
    <s v="Richemer"/>
    <x v="1"/>
    <x v="51"/>
    <x v="6"/>
    <s v="Bouteille"/>
    <s v="B1-1"/>
    <m/>
    <s v="oui"/>
    <m/>
    <n v="6"/>
    <n v="0.75"/>
    <n v="4.5"/>
  </r>
  <r>
    <d v="2020-11-10T00:00:00"/>
    <x v="92"/>
    <s v="Richemer"/>
    <x v="1"/>
    <x v="51"/>
    <x v="6"/>
    <s v="Bouteille"/>
    <s v="B1-1"/>
    <m/>
    <s v="oui"/>
    <m/>
    <n v="6"/>
    <n v="0.75"/>
    <n v="4.5"/>
  </r>
  <r>
    <d v="2020-11-10T00:00:00"/>
    <x v="31"/>
    <s v="Jacques Woloviek"/>
    <x v="0"/>
    <x v="16"/>
    <x v="6"/>
    <s v="Oc Blanc"/>
    <s v="-"/>
    <m/>
    <s v="oui"/>
    <m/>
    <n v="3"/>
    <n v="0.75"/>
    <n v="2.25"/>
  </r>
  <r>
    <d v="2020-11-10T00:00:00"/>
    <x v="31"/>
    <s v="Jacques Woloviek"/>
    <x v="0"/>
    <x v="0"/>
    <x v="6"/>
    <s v="Petit degré"/>
    <s v="-"/>
    <m/>
    <s v="oui"/>
    <m/>
    <n v="3"/>
    <n v="0.75"/>
    <n v="2.25"/>
  </r>
  <r>
    <d v="2020-11-10T00:00:00"/>
    <x v="31"/>
    <s v="Jacques Woloviek"/>
    <x v="0"/>
    <x v="0"/>
    <x v="6"/>
    <s v="variétal"/>
    <s v="G1-6"/>
    <m/>
    <s v="oui"/>
    <m/>
    <n v="3"/>
    <n v="0.75"/>
    <n v="2.25"/>
  </r>
  <r>
    <d v="2020-11-10T00:00:00"/>
    <x v="31"/>
    <s v="Jacques Woloviek"/>
    <x v="0"/>
    <x v="0"/>
    <x v="6"/>
    <s v="supérieur"/>
    <s v="-"/>
    <m/>
    <s v="oui"/>
    <m/>
    <n v="3"/>
    <n v="0.75"/>
    <n v="2.25"/>
  </r>
  <r>
    <d v="2020-11-12T00:00:00"/>
    <x v="15"/>
    <s v="René Jeanjean"/>
    <x v="0"/>
    <x v="0"/>
    <x v="6"/>
    <s v="variétal"/>
    <s v="G1-6"/>
    <m/>
    <s v="oui"/>
    <m/>
    <n v="6"/>
    <n v="0.75"/>
    <n v="4.5"/>
  </r>
  <r>
    <d v="2020-11-12T00:00:00"/>
    <x v="15"/>
    <s v="René Jeanjean"/>
    <x v="0"/>
    <x v="0"/>
    <x v="6"/>
    <s v="supérieur"/>
    <s v="-"/>
    <m/>
    <s v="oui"/>
    <m/>
    <n v="6"/>
    <n v="0.75"/>
    <n v="4.5"/>
  </r>
  <r>
    <d v="2020-11-12T00:00:00"/>
    <x v="15"/>
    <s v="René Jeanjean"/>
    <x v="0"/>
    <x v="1"/>
    <x v="6"/>
    <s v="variétal"/>
    <s v="D1-9"/>
    <m/>
    <s v="oui"/>
    <m/>
    <n v="6"/>
    <n v="0.75"/>
    <n v="4.5"/>
  </r>
  <r>
    <d v="2020-11-12T00:00:00"/>
    <x v="15"/>
    <s v="René Jeanjean"/>
    <x v="0"/>
    <x v="1"/>
    <x v="6"/>
    <s v="supérieur"/>
    <s v="D1-7"/>
    <m/>
    <s v="oui"/>
    <m/>
    <n v="6"/>
    <n v="0.75"/>
    <n v="4.5"/>
  </r>
  <r>
    <d v="2020-11-12T00:00:00"/>
    <x v="15"/>
    <s v="René Jeanjean"/>
    <x v="0"/>
    <x v="2"/>
    <x v="6"/>
    <s v="variétal"/>
    <s v="H1-3"/>
    <m/>
    <s v="oui"/>
    <m/>
    <n v="3"/>
    <n v="0.75"/>
    <n v="2.25"/>
  </r>
  <r>
    <d v="2020-11-12T00:00:00"/>
    <x v="15"/>
    <s v="René Jeanjean"/>
    <x v="0"/>
    <x v="2"/>
    <x v="6"/>
    <s v="supérieur"/>
    <s v="-"/>
    <m/>
    <s v="oui"/>
    <m/>
    <n v="3"/>
    <n v="0.75"/>
    <n v="2.25"/>
  </r>
  <r>
    <d v="2020-11-12T00:00:00"/>
    <x v="15"/>
    <s v="René Jeanjean"/>
    <x v="0"/>
    <x v="3"/>
    <x v="6"/>
    <s v="variétal"/>
    <s v="-"/>
    <m/>
    <s v="oui"/>
    <m/>
    <n v="3"/>
    <n v="0.75"/>
    <n v="2.25"/>
  </r>
  <r>
    <d v="2020-11-12T00:00:00"/>
    <x v="15"/>
    <s v="René Jeanjean"/>
    <x v="0"/>
    <x v="3"/>
    <x v="6"/>
    <s v="croquant"/>
    <s v="-"/>
    <m/>
    <s v="oui"/>
    <m/>
    <n v="3"/>
    <n v="0.75"/>
    <n v="2.25"/>
  </r>
  <r>
    <d v="2020-11-13T00:00:00"/>
    <x v="1"/>
    <s v="WSC"/>
    <x v="0"/>
    <x v="2"/>
    <x v="6"/>
    <s v="variétal"/>
    <s v="H1-3"/>
    <m/>
    <s v="oui"/>
    <m/>
    <n v="4"/>
    <n v="0.75"/>
    <n v="3"/>
  </r>
  <r>
    <d v="2020-11-13T00:00:00"/>
    <x v="1"/>
    <s v="WSC"/>
    <x v="0"/>
    <x v="2"/>
    <x v="6"/>
    <s v="supérieur"/>
    <s v="-"/>
    <m/>
    <s v="oui"/>
    <m/>
    <n v="4"/>
    <n v="0.75"/>
    <n v="3"/>
  </r>
  <r>
    <d v="2020-11-13T00:00:00"/>
    <x v="1"/>
    <s v="WSC"/>
    <x v="0"/>
    <x v="0"/>
    <x v="6"/>
    <s v="variétal"/>
    <s v="G1-6"/>
    <m/>
    <s v="oui"/>
    <m/>
    <n v="4"/>
    <n v="0.75"/>
    <n v="3"/>
  </r>
  <r>
    <d v="2020-11-13T00:00:00"/>
    <x v="1"/>
    <s v="WSC"/>
    <x v="0"/>
    <x v="0"/>
    <x v="6"/>
    <s v="supérieur"/>
    <s v="-"/>
    <m/>
    <s v="oui"/>
    <m/>
    <n v="4"/>
    <n v="0.75"/>
    <n v="3"/>
  </r>
  <r>
    <d v="2020-11-20T00:00:00"/>
    <x v="1"/>
    <s v="WSC"/>
    <x v="0"/>
    <x v="0"/>
    <x v="6"/>
    <s v="variétal"/>
    <s v="B1-7"/>
    <m/>
    <s v="oui"/>
    <m/>
    <n v="4"/>
    <n v="0.75"/>
    <n v="3"/>
  </r>
  <r>
    <d v="2020-11-20T00:00:00"/>
    <x v="1"/>
    <s v="WSC"/>
    <x v="0"/>
    <x v="0"/>
    <x v="6"/>
    <s v="supérieur"/>
    <s v="B1-5"/>
    <m/>
    <s v="oui"/>
    <m/>
    <n v="4"/>
    <n v="0.75"/>
    <n v="3"/>
  </r>
  <r>
    <d v="2020-11-23T00:00:00"/>
    <x v="11"/>
    <s v="-"/>
    <x v="0"/>
    <x v="0"/>
    <x v="6"/>
    <s v="supérieur"/>
    <s v="B1-5"/>
    <m/>
    <s v="oui"/>
    <m/>
    <n v="1"/>
    <n v="0.75"/>
    <n v="0.75"/>
  </r>
  <r>
    <d v="2020-11-23T00:00:00"/>
    <x v="11"/>
    <s v="-"/>
    <x v="0"/>
    <x v="0"/>
    <x v="6"/>
    <s v="variétal"/>
    <s v="B1-4"/>
    <m/>
    <s v="oui"/>
    <m/>
    <n v="1"/>
    <n v="0.75"/>
    <n v="0.75"/>
  </r>
  <r>
    <d v="2020-11-23T00:00:00"/>
    <x v="11"/>
    <s v="-"/>
    <x v="0"/>
    <x v="1"/>
    <x v="6"/>
    <s v="variétal"/>
    <s v="D2-5"/>
    <m/>
    <s v="oui"/>
    <m/>
    <n v="1"/>
    <n v="0.75"/>
    <n v="0.75"/>
  </r>
  <r>
    <d v="2020-11-23T00:00:00"/>
    <x v="11"/>
    <s v="-"/>
    <x v="0"/>
    <x v="1"/>
    <x v="6"/>
    <s v="supérieur"/>
    <s v="B2-4"/>
    <m/>
    <s v="oui"/>
    <m/>
    <n v="1"/>
    <n v="0.75"/>
    <n v="0.75"/>
  </r>
  <r>
    <d v="2020-11-23T00:00:00"/>
    <x v="11"/>
    <s v="-"/>
    <x v="1"/>
    <x v="73"/>
    <x v="6"/>
    <s v="Oc Rosé"/>
    <s v="-"/>
    <m/>
    <s v="oui"/>
    <m/>
    <n v="1"/>
    <n v="0.75"/>
    <n v="0.75"/>
  </r>
  <r>
    <d v="2020-11-23T00:00:00"/>
    <x v="11"/>
    <s v="-"/>
    <x v="0"/>
    <x v="6"/>
    <x v="6"/>
    <s v="Oc Blanc"/>
    <s v="-"/>
    <m/>
    <s v="oui"/>
    <m/>
    <n v="1"/>
    <n v="0.75"/>
    <n v="0.75"/>
  </r>
  <r>
    <d v="2020-11-23T00:00:00"/>
    <x v="11"/>
    <s v="-"/>
    <x v="2"/>
    <x v="5"/>
    <x v="6"/>
    <s v="-"/>
    <s v="J1-10"/>
    <m/>
    <s v="oui"/>
    <m/>
    <n v="1"/>
    <n v="0.75"/>
    <n v="0.75"/>
  </r>
  <r>
    <d v="2020-11-23T00:00:00"/>
    <x v="2"/>
    <s v="-"/>
    <x v="0"/>
    <x v="1"/>
    <x v="6"/>
    <s v="classique"/>
    <s v="A2-3"/>
    <m/>
    <s v="oui"/>
    <m/>
    <n v="6"/>
    <n v="0.75"/>
    <n v="4.5"/>
  </r>
  <r>
    <d v="2020-11-23T00:00:00"/>
    <x v="2"/>
    <s v="-"/>
    <x v="0"/>
    <x v="1"/>
    <x v="6"/>
    <s v="variétal"/>
    <s v="D2-5"/>
    <m/>
    <s v="oui"/>
    <m/>
    <n v="6"/>
    <n v="0.75"/>
    <n v="4.5"/>
  </r>
  <r>
    <d v="2020-11-23T00:00:00"/>
    <x v="2"/>
    <s v="-"/>
    <x v="0"/>
    <x v="1"/>
    <x v="6"/>
    <s v="supérieur"/>
    <s v="B2-4"/>
    <m/>
    <s v="oui"/>
    <m/>
    <n v="6"/>
    <n v="0.75"/>
    <n v="4.5"/>
  </r>
  <r>
    <d v="2020-11-23T00:00:00"/>
    <x v="2"/>
    <s v="-"/>
    <x v="0"/>
    <x v="0"/>
    <x v="6"/>
    <s v="variétal"/>
    <s v="B1-4"/>
    <m/>
    <s v="oui"/>
    <m/>
    <n v="6"/>
    <n v="0.75"/>
    <n v="4.5"/>
  </r>
  <r>
    <d v="2020-11-23T00:00:00"/>
    <x v="2"/>
    <s v="-"/>
    <x v="0"/>
    <x v="0"/>
    <x v="6"/>
    <s v="supérieur"/>
    <s v="B1-5"/>
    <m/>
    <s v="oui"/>
    <m/>
    <n v="6"/>
    <n v="0.75"/>
    <n v="4.5"/>
  </r>
  <r>
    <d v="2020-11-23T00:00:00"/>
    <x v="2"/>
    <s v="-"/>
    <x v="0"/>
    <x v="2"/>
    <x v="6"/>
    <s v="variétal"/>
    <s v="H1-3"/>
    <m/>
    <s v="oui"/>
    <m/>
    <n v="6"/>
    <n v="0.75"/>
    <n v="4.5"/>
  </r>
  <r>
    <d v="2020-11-23T00:00:00"/>
    <x v="2"/>
    <s v="-"/>
    <x v="0"/>
    <x v="2"/>
    <x v="6"/>
    <s v="supérieur"/>
    <s v="-"/>
    <m/>
    <s v="oui"/>
    <m/>
    <n v="6"/>
    <n v="0.75"/>
    <n v="4.5"/>
  </r>
  <r>
    <d v="2020-11-23T00:00:00"/>
    <x v="2"/>
    <s v="-"/>
    <x v="0"/>
    <x v="3"/>
    <x v="6"/>
    <s v="variétal"/>
    <s v="-"/>
    <m/>
    <s v="oui"/>
    <m/>
    <n v="3"/>
    <n v="0.75"/>
    <n v="2.25"/>
  </r>
  <r>
    <d v="2020-11-23T00:00:00"/>
    <x v="2"/>
    <s v="-"/>
    <x v="0"/>
    <x v="3"/>
    <x v="6"/>
    <s v="mûrs"/>
    <s v="-"/>
    <m/>
    <s v="oui"/>
    <m/>
    <n v="3"/>
    <n v="0.75"/>
    <n v="2.25"/>
  </r>
  <r>
    <d v="2020-11-23T00:00:00"/>
    <x v="2"/>
    <s v="-"/>
    <x v="0"/>
    <x v="3"/>
    <x v="6"/>
    <s v="croquant"/>
    <s v="-"/>
    <m/>
    <s v="oui"/>
    <m/>
    <n v="3"/>
    <n v="0.75"/>
    <n v="2.25"/>
  </r>
  <r>
    <d v="2020-11-24T00:00:00"/>
    <x v="97"/>
    <s v="-"/>
    <x v="1"/>
    <x v="10"/>
    <x v="6"/>
    <s v="Oc Rosé"/>
    <s v="-"/>
    <m/>
    <s v="oui"/>
    <m/>
    <n v="4"/>
    <n v="0.75"/>
    <n v="3"/>
  </r>
  <r>
    <d v="2020-11-24T00:00:00"/>
    <x v="72"/>
    <s v="-"/>
    <x v="0"/>
    <x v="1"/>
    <x v="6"/>
    <s v="supérieur"/>
    <s v="B2-4"/>
    <m/>
    <s v="oui"/>
    <m/>
    <n v="2"/>
    <n v="0.75"/>
    <n v="1.5"/>
  </r>
  <r>
    <d v="2020-11-24T00:00:00"/>
    <x v="72"/>
    <s v="-"/>
    <x v="0"/>
    <x v="1"/>
    <x v="6"/>
    <s v="variétal"/>
    <s v="D2-5"/>
    <m/>
    <s v="oui"/>
    <m/>
    <n v="2"/>
    <n v="0.75"/>
    <n v="1.5"/>
  </r>
  <r>
    <d v="2020-11-24T00:00:00"/>
    <x v="72"/>
    <s v="-"/>
    <x v="0"/>
    <x v="2"/>
    <x v="6"/>
    <s v="variétal"/>
    <s v="H1-3"/>
    <m/>
    <s v="oui"/>
    <m/>
    <n v="2"/>
    <n v="0.75"/>
    <n v="1.5"/>
  </r>
  <r>
    <d v="2020-11-24T00:00:00"/>
    <x v="72"/>
    <s v="-"/>
    <x v="0"/>
    <x v="2"/>
    <x v="6"/>
    <s v="supérieur"/>
    <s v="E2-2"/>
    <m/>
    <s v="oui"/>
    <m/>
    <n v="2"/>
    <n v="0.75"/>
    <n v="1.5"/>
  </r>
  <r>
    <d v="2020-11-24T00:00:00"/>
    <x v="72"/>
    <s v="-"/>
    <x v="1"/>
    <x v="10"/>
    <x v="6"/>
    <s v="Oc Rosé"/>
    <s v="-"/>
    <m/>
    <s v="oui"/>
    <m/>
    <n v="2"/>
    <n v="0.75"/>
    <n v="1.5"/>
  </r>
  <r>
    <d v="2020-11-25T00:00:00"/>
    <x v="2"/>
    <s v="-"/>
    <x v="2"/>
    <x v="5"/>
    <x v="6"/>
    <s v="VDF Pinot Lot A"/>
    <s v="-"/>
    <m/>
    <s v="oui"/>
    <s v="50% H1-1 + 50% D1-1 "/>
    <n v="2"/>
    <n v="0.75"/>
    <n v="1.5"/>
  </r>
  <r>
    <d v="2020-11-25T00:00:00"/>
    <x v="2"/>
    <s v="-"/>
    <x v="2"/>
    <x v="5"/>
    <x v="6"/>
    <s v="VDF Pinot Lot B"/>
    <s v="-"/>
    <m/>
    <s v="oui"/>
    <s v="40% H1-1 + 40% D1-1 + 20% D2-7"/>
    <n v="2"/>
    <n v="0.75"/>
    <n v="1.5"/>
  </r>
  <r>
    <d v="2020-11-25T00:00:00"/>
    <x v="2"/>
    <s v="-"/>
    <x v="0"/>
    <x v="16"/>
    <x v="6"/>
    <s v="Oc Blanc"/>
    <s v="-"/>
    <m/>
    <s v="oui"/>
    <m/>
    <n v="3"/>
    <n v="0.75"/>
    <n v="2.25"/>
  </r>
  <r>
    <d v="2020-11-27T00:00:00"/>
    <x v="15"/>
    <s v="René Jeanjean"/>
    <x v="0"/>
    <x v="1"/>
    <x v="6"/>
    <s v="variétal"/>
    <s v="D2-5"/>
    <m/>
    <s v="oui"/>
    <m/>
    <n v="2"/>
    <n v="0.75"/>
    <n v="1.5"/>
  </r>
  <r>
    <d v="2020-11-27T00:00:00"/>
    <x v="15"/>
    <s v="René Jeanjean"/>
    <x v="0"/>
    <x v="1"/>
    <x v="6"/>
    <s v="supérieur"/>
    <s v="B2-4"/>
    <m/>
    <s v="oui"/>
    <m/>
    <n v="2"/>
    <n v="0.75"/>
    <n v="1.5"/>
  </r>
  <r>
    <d v="2020-11-27T00:00:00"/>
    <x v="15"/>
    <s v="René Jeanjean"/>
    <x v="0"/>
    <x v="0"/>
    <x v="6"/>
    <s v="supérieur"/>
    <s v="B1-5"/>
    <m/>
    <s v="oui"/>
    <m/>
    <n v="2"/>
    <n v="0.75"/>
    <n v="1.5"/>
  </r>
  <r>
    <d v="2020-11-27T00:00:00"/>
    <x v="15"/>
    <s v="René Jeanjean"/>
    <x v="0"/>
    <x v="0"/>
    <x v="6"/>
    <s v="variétal"/>
    <s v="B1-7"/>
    <m/>
    <s v="oui"/>
    <m/>
    <n v="2"/>
    <n v="0.75"/>
    <n v="1.5"/>
  </r>
  <r>
    <d v="2020-11-27T00:00:00"/>
    <x v="15"/>
    <s v="René Jeanjean"/>
    <x v="0"/>
    <x v="2"/>
    <x v="6"/>
    <s v="variétal"/>
    <s v="H1-3"/>
    <m/>
    <s v="oui"/>
    <m/>
    <n v="2"/>
    <n v="0.75"/>
    <n v="1.5"/>
  </r>
  <r>
    <d v="2020-11-27T00:00:00"/>
    <x v="15"/>
    <s v="René Jeanjean"/>
    <x v="0"/>
    <x v="2"/>
    <x v="6"/>
    <s v="supérieur"/>
    <s v="E2-2"/>
    <m/>
    <s v="oui"/>
    <m/>
    <n v="2"/>
    <n v="0.75"/>
    <n v="1.5"/>
  </r>
  <r>
    <d v="2020-11-27T00:00:00"/>
    <x v="15"/>
    <s v="René Jeanjean"/>
    <x v="0"/>
    <x v="3"/>
    <x v="6"/>
    <s v="variétal"/>
    <s v="-"/>
    <m/>
    <s v="oui"/>
    <m/>
    <n v="2"/>
    <n v="0.75"/>
    <n v="1.5"/>
  </r>
  <r>
    <d v="2020-11-27T00:00:00"/>
    <x v="15"/>
    <s v="René Jeanjean"/>
    <x v="0"/>
    <x v="3"/>
    <x v="6"/>
    <s v="mûrs"/>
    <s v="-"/>
    <m/>
    <s v="oui"/>
    <m/>
    <n v="2"/>
    <n v="0.75"/>
    <n v="1.5"/>
  </r>
  <r>
    <d v="2020-11-27T00:00:00"/>
    <x v="15"/>
    <s v="René Jeanjean"/>
    <x v="0"/>
    <x v="3"/>
    <x v="6"/>
    <s v="croquant"/>
    <s v="-"/>
    <m/>
    <s v="oui"/>
    <m/>
    <n v="2"/>
    <n v="0.75"/>
    <n v="1.5"/>
  </r>
  <r>
    <d v="2020-12-02T00:00:00"/>
    <x v="55"/>
    <s v="René Jeanjean"/>
    <x v="0"/>
    <x v="2"/>
    <x v="6"/>
    <s v="supérieur"/>
    <s v="E2-2"/>
    <m/>
    <s v="oui"/>
    <m/>
    <n v="1"/>
    <n v="0.75"/>
    <n v="0.75"/>
  </r>
  <r>
    <d v="2020-12-02T00:00:00"/>
    <x v="10"/>
    <s v="René Jeanjean"/>
    <x v="0"/>
    <x v="3"/>
    <x v="6"/>
    <s v="mûrs"/>
    <s v="-"/>
    <m/>
    <s v="oui"/>
    <m/>
    <n v="2"/>
    <n v="0.75"/>
    <n v="1.5"/>
  </r>
  <r>
    <d v="2020-12-02T00:00:00"/>
    <x v="10"/>
    <s v="René Jeanjean"/>
    <x v="0"/>
    <x v="3"/>
    <x v="6"/>
    <s v="croquant"/>
    <s v="-"/>
    <m/>
    <s v="oui"/>
    <m/>
    <n v="2"/>
    <n v="0.75"/>
    <n v="1.5"/>
  </r>
  <r>
    <d v="2020-12-03T00:00:00"/>
    <x v="2"/>
    <s v="-"/>
    <x v="0"/>
    <x v="2"/>
    <x v="6"/>
    <s v="variétal"/>
    <s v="H1-3"/>
    <m/>
    <s v="oui"/>
    <m/>
    <n v="2"/>
    <n v="0.75"/>
    <n v="1.5"/>
  </r>
  <r>
    <d v="2020-12-03T00:00:00"/>
    <x v="2"/>
    <s v="-"/>
    <x v="0"/>
    <x v="2"/>
    <x v="6"/>
    <s v="supérieur"/>
    <s v="E2-2"/>
    <m/>
    <s v="oui"/>
    <m/>
    <n v="2"/>
    <n v="0.75"/>
    <n v="1.5"/>
  </r>
  <r>
    <d v="2020-12-03T00:00:00"/>
    <x v="5"/>
    <s v="-"/>
    <x v="1"/>
    <x v="7"/>
    <x v="6"/>
    <s v="-"/>
    <s v="G1-4"/>
    <m/>
    <s v="oui"/>
    <s v="80% G1-4 + 20% G1-1"/>
    <n v="6"/>
    <n v="0.75"/>
    <n v="4.5"/>
  </r>
  <r>
    <d v="2020-12-03T00:00:00"/>
    <x v="31"/>
    <s v="Jacques Woloviek"/>
    <x v="0"/>
    <x v="0"/>
    <x v="6"/>
    <s v="supérieur"/>
    <s v="B1-7"/>
    <m/>
    <s v="oui"/>
    <m/>
    <n v="2"/>
    <n v="0.75"/>
    <n v="1.5"/>
  </r>
  <r>
    <d v="2020-12-03T00:00:00"/>
    <x v="31"/>
    <s v="Jacques Woloviek"/>
    <x v="0"/>
    <x v="0"/>
    <x v="6"/>
    <s v="Petit degré"/>
    <s v="E1-6"/>
    <m/>
    <s v="oui"/>
    <s v="Reste Petit degré boisé"/>
    <n v="2"/>
    <n v="0.75"/>
    <n v="1.5"/>
  </r>
  <r>
    <d v="2020-12-03T00:00:00"/>
    <x v="31"/>
    <s v="Jacques Woloviek"/>
    <x v="0"/>
    <x v="0"/>
    <x v="6"/>
    <s v="-"/>
    <s v="-"/>
    <m/>
    <s v="oui"/>
    <s v="80% E1-6 + 20% Oc Blanc"/>
    <n v="2"/>
    <n v="0.75"/>
    <n v="1.5"/>
  </r>
  <r>
    <d v="2020-12-03T00:00:00"/>
    <x v="31"/>
    <s v="Jacques Woloviek"/>
    <x v="0"/>
    <x v="0"/>
    <x v="6"/>
    <s v="-"/>
    <s v="-"/>
    <m/>
    <s v="oui"/>
    <s v="80% E1-6 + 20% Chardo sup"/>
    <n v="2"/>
    <n v="0.75"/>
    <n v="1.5"/>
  </r>
  <r>
    <d v="2020-12-03T00:00:00"/>
    <x v="31"/>
    <s v="Jacques Woloviek"/>
    <x v="0"/>
    <x v="6"/>
    <x v="6"/>
    <s v="Oc Blanc"/>
    <s v="-"/>
    <m/>
    <s v="oui"/>
    <m/>
    <n v="2"/>
    <n v="0.75"/>
    <n v="1.5"/>
  </r>
  <r>
    <d v="2020-12-03T00:00:00"/>
    <x v="31"/>
    <s v="Jacques Woloviek"/>
    <x v="1"/>
    <x v="8"/>
    <x v="6"/>
    <s v="Oc Rosé"/>
    <s v="-"/>
    <m/>
    <s v="oui"/>
    <m/>
    <n v="2"/>
    <n v="0.75"/>
    <n v="1.5"/>
  </r>
  <r>
    <d v="2020-12-04T00:00:00"/>
    <x v="65"/>
    <s v="San Nicolas"/>
    <x v="0"/>
    <x v="0"/>
    <x v="5"/>
    <s v="-"/>
    <s v="B1-5"/>
    <m/>
    <s v="oui"/>
    <m/>
    <n v="2"/>
    <n v="0.75"/>
    <n v="1.5"/>
  </r>
  <r>
    <d v="2020-12-04T00:00:00"/>
    <x v="5"/>
    <s v="-"/>
    <x v="0"/>
    <x v="17"/>
    <x v="6"/>
    <s v="Thau Blanc"/>
    <s v="-"/>
    <m/>
    <s v="oui"/>
    <m/>
    <n v="6"/>
    <n v="0.75"/>
    <n v="4.5"/>
  </r>
  <r>
    <d v="2020-12-07T00:00:00"/>
    <x v="96"/>
    <s v="Richemer"/>
    <x v="1"/>
    <x v="29"/>
    <x v="6"/>
    <s v="Bouteille"/>
    <s v="C2-4"/>
    <m/>
    <s v="oui"/>
    <m/>
    <n v="2"/>
    <n v="0.75"/>
    <n v="1.5"/>
  </r>
  <r>
    <d v="2020-12-07T00:00:00"/>
    <x v="96"/>
    <s v="Richemer"/>
    <x v="1"/>
    <x v="38"/>
    <x v="6"/>
    <s v="Oc Rosé"/>
    <s v="-"/>
    <m/>
    <s v="oui"/>
    <m/>
    <n v="2"/>
    <n v="0.75"/>
    <n v="1.5"/>
  </r>
  <r>
    <d v="2020-12-07T00:00:00"/>
    <x v="2"/>
    <s v="-"/>
    <x v="2"/>
    <x v="5"/>
    <x v="6"/>
    <s v="Lot A"/>
    <s v="-"/>
    <m/>
    <s v="oui"/>
    <m/>
    <n v="2"/>
    <n v="0.75"/>
    <n v="1.5"/>
  </r>
  <r>
    <d v="2020-12-07T00:00:00"/>
    <x v="2"/>
    <s v="-"/>
    <x v="2"/>
    <x v="5"/>
    <x v="6"/>
    <s v="Lot B"/>
    <s v="-"/>
    <m/>
    <s v="oui"/>
    <m/>
    <n v="2"/>
    <n v="0.75"/>
    <n v="1.5"/>
  </r>
  <r>
    <d v="2020-12-07T00:00:00"/>
    <x v="2"/>
    <s v="-"/>
    <x v="0"/>
    <x v="0"/>
    <x v="6"/>
    <s v="variétal"/>
    <s v="F1-8"/>
    <m/>
    <s v="oui"/>
    <m/>
    <n v="2"/>
    <n v="0.75"/>
    <n v="1.5"/>
  </r>
  <r>
    <d v="2020-12-07T00:00:00"/>
    <x v="2"/>
    <s v="-"/>
    <x v="0"/>
    <x v="1"/>
    <x v="6"/>
    <s v="classique"/>
    <s v="A1-10"/>
    <m/>
    <s v="oui"/>
    <m/>
    <n v="2"/>
    <n v="0.75"/>
    <n v="1.5"/>
  </r>
  <r>
    <d v="2020-12-07T00:00:00"/>
    <x v="2"/>
    <s v="-"/>
    <x v="0"/>
    <x v="1"/>
    <x v="6"/>
    <s v="variétal"/>
    <s v="D2-5"/>
    <m/>
    <s v="oui"/>
    <m/>
    <n v="2"/>
    <n v="0.75"/>
    <n v="1.5"/>
  </r>
  <r>
    <d v="2020-12-07T00:00:00"/>
    <x v="2"/>
    <s v="-"/>
    <x v="0"/>
    <x v="2"/>
    <x v="6"/>
    <s v="supérieur"/>
    <s v="F2-4"/>
    <m/>
    <s v="oui"/>
    <m/>
    <n v="2"/>
    <n v="0.75"/>
    <n v="1.5"/>
  </r>
  <r>
    <d v="2020-12-10T00:00:00"/>
    <x v="2"/>
    <s v="-"/>
    <x v="2"/>
    <x v="80"/>
    <x v="6"/>
    <s v="-"/>
    <s v="-"/>
    <m/>
    <s v="oui"/>
    <s v="35% D1-4 + 65% B2-3"/>
    <n v="2"/>
    <n v="0.75"/>
    <n v="1.5"/>
  </r>
  <r>
    <d v="2020-12-10T00:00:00"/>
    <x v="2"/>
    <s v="-"/>
    <x v="0"/>
    <x v="6"/>
    <x v="6"/>
    <s v="Oc Blanc"/>
    <s v="-"/>
    <m/>
    <s v="oui"/>
    <m/>
    <n v="2"/>
    <n v="0.75"/>
    <n v="1.5"/>
  </r>
  <r>
    <d v="2020-12-14T00:00:00"/>
    <x v="5"/>
    <s v="-"/>
    <x v="0"/>
    <x v="49"/>
    <x v="6"/>
    <s v="-"/>
    <s v="H1-6"/>
    <m/>
    <s v="oui"/>
    <m/>
    <n v="1"/>
    <n v="0.75"/>
    <n v="0.75"/>
  </r>
  <r>
    <d v="2020-12-14T00:00:00"/>
    <x v="5"/>
    <s v="-"/>
    <x v="0"/>
    <x v="72"/>
    <x v="6"/>
    <s v="-"/>
    <s v="F1-7"/>
    <m/>
    <s v="oui"/>
    <m/>
    <n v="1"/>
    <n v="0.75"/>
    <n v="0.75"/>
  </r>
  <r>
    <d v="2020-12-14T00:00:00"/>
    <x v="5"/>
    <s v="-"/>
    <x v="0"/>
    <x v="72"/>
    <x v="6"/>
    <s v="Thau Blanc"/>
    <s v="H1-6"/>
    <m/>
    <s v="oui"/>
    <m/>
    <n v="1"/>
    <n v="0.75"/>
    <n v="0.75"/>
  </r>
  <r>
    <d v="2020-12-14T00:00:00"/>
    <x v="21"/>
    <s v="-"/>
    <x v="2"/>
    <x v="7"/>
    <x v="6"/>
    <s v="vrac"/>
    <s v="-"/>
    <m/>
    <s v="oui"/>
    <m/>
    <n v="2"/>
    <n v="0.75"/>
    <n v="1.5"/>
  </r>
  <r>
    <d v="2020-12-15T00:00:00"/>
    <x v="5"/>
    <s v="-"/>
    <x v="0"/>
    <x v="72"/>
    <x v="6"/>
    <s v="-"/>
    <s v="F1-7"/>
    <m/>
    <s v="oui"/>
    <m/>
    <n v="7"/>
    <n v="0.75"/>
    <n v="5.25"/>
  </r>
  <r>
    <d v="2020-12-16T00:00:00"/>
    <x v="25"/>
    <s v="-"/>
    <x v="2"/>
    <x v="80"/>
    <x v="6"/>
    <s v="Pinot Rouge"/>
    <s v="J1-10"/>
    <m/>
    <s v="oui"/>
    <m/>
    <n v="2"/>
    <n v="0.75"/>
    <n v="1.5"/>
  </r>
  <r>
    <d v="2020-12-17T00:00:00"/>
    <x v="2"/>
    <s v="-"/>
    <x v="0"/>
    <x v="2"/>
    <x v="6"/>
    <s v="supérieur"/>
    <s v="C2-6"/>
    <m/>
    <s v="oui"/>
    <m/>
    <n v="1"/>
    <n v="0.75"/>
    <n v="0.75"/>
  </r>
  <r>
    <d v="2020-12-21T00:00:00"/>
    <x v="15"/>
    <s v="René Jeanjean"/>
    <x v="0"/>
    <x v="2"/>
    <x v="6"/>
    <s v="Variétal"/>
    <s v="B2-4"/>
    <m/>
    <s v="oui"/>
    <m/>
    <n v="2"/>
    <n v="0.75"/>
    <n v="1.5"/>
  </r>
  <r>
    <d v="2020-12-21T00:00:00"/>
    <x v="15"/>
    <s v="René Jeanjean"/>
    <x v="0"/>
    <x v="2"/>
    <x v="6"/>
    <s v="Supérieur"/>
    <s v="C2-6"/>
    <m/>
    <s v="oui"/>
    <m/>
    <n v="2"/>
    <n v="0.75"/>
    <n v="1.5"/>
  </r>
  <r>
    <d v="2020-12-21T00:00:00"/>
    <x v="15"/>
    <s v="René Jeanjean"/>
    <x v="0"/>
    <x v="6"/>
    <x v="6"/>
    <s v="Thau Blanc"/>
    <s v="D2-3"/>
    <m/>
    <s v="oui"/>
    <m/>
    <n v="2"/>
    <n v="0.75"/>
    <n v="1.5"/>
  </r>
  <r>
    <d v="2020-12-21T00:00:00"/>
    <x v="15"/>
    <s v="René Jeanjean"/>
    <x v="0"/>
    <x v="3"/>
    <x v="6"/>
    <s v="mûr"/>
    <s v="A1-3"/>
    <m/>
    <s v="oui"/>
    <m/>
    <n v="2"/>
    <n v="0.75"/>
    <n v="1.5"/>
  </r>
  <r>
    <d v="2020-12-21T00:00:00"/>
    <x v="15"/>
    <s v="René Jeanjean"/>
    <x v="0"/>
    <x v="3"/>
    <x v="6"/>
    <s v="croquant"/>
    <s v="D1-8"/>
    <m/>
    <s v="oui"/>
    <m/>
    <n v="2"/>
    <n v="0.75"/>
    <n v="1.5"/>
  </r>
  <r>
    <d v="2020-12-23T00:00:00"/>
    <x v="84"/>
    <s v="-"/>
    <x v="0"/>
    <x v="18"/>
    <x v="6"/>
    <s v="bouteille"/>
    <s v="F1-2"/>
    <m/>
    <s v="oui"/>
    <m/>
    <n v="2"/>
    <n v="0.75"/>
    <n v="1.5"/>
  </r>
  <r>
    <d v="2020-12-23T00:00:00"/>
    <x v="84"/>
    <s v="-"/>
    <x v="1"/>
    <x v="38"/>
    <x v="6"/>
    <s v="Oc Rosé"/>
    <s v="F1-6"/>
    <m/>
    <s v="oui"/>
    <m/>
    <n v="2"/>
    <n v="0.75"/>
    <n v="1.5"/>
  </r>
  <r>
    <d v="2020-12-23T00:00:00"/>
    <x v="84"/>
    <s v="-"/>
    <x v="0"/>
    <x v="38"/>
    <x v="6"/>
    <s v="Oc Rosé"/>
    <s v="A2-4"/>
    <m/>
    <s v="oui"/>
    <m/>
    <n v="2"/>
    <n v="0.75"/>
    <n v="1.5"/>
  </r>
  <r>
    <d v="2021-01-04T00:00:00"/>
    <x v="92"/>
    <s v="Richemer"/>
    <x v="0"/>
    <x v="81"/>
    <x v="6"/>
    <s v="Lot A"/>
    <s v="-"/>
    <m/>
    <s v="oui"/>
    <m/>
    <n v="8"/>
    <n v="0.75"/>
    <n v="6"/>
  </r>
  <r>
    <d v="2021-01-04T00:00:00"/>
    <x v="2"/>
    <s v="-"/>
    <x v="0"/>
    <x v="17"/>
    <x v="6"/>
    <s v="Oc Blanc"/>
    <s v="A1-10"/>
    <m/>
    <s v="oui"/>
    <m/>
    <n v="2"/>
    <n v="0.75"/>
    <n v="1.5"/>
  </r>
  <r>
    <d v="2021-01-04T00:00:00"/>
    <x v="2"/>
    <s v="-"/>
    <x v="1"/>
    <x v="10"/>
    <x v="6"/>
    <s v="Rosé générique"/>
    <s v="A1-9"/>
    <m/>
    <s v="oui"/>
    <m/>
    <n v="2"/>
    <n v="0.75"/>
    <n v="1.5"/>
  </r>
  <r>
    <d v="2021-01-04T00:00:00"/>
    <x v="2"/>
    <s v="-"/>
    <x v="0"/>
    <x v="3"/>
    <x v="6"/>
    <s v="croquant"/>
    <s v="-"/>
    <m/>
    <s v="oui"/>
    <m/>
    <n v="2"/>
    <n v="0.75"/>
    <n v="1.5"/>
  </r>
  <r>
    <d v="2021-01-04T00:00:00"/>
    <x v="2"/>
    <s v="-"/>
    <x v="0"/>
    <x v="1"/>
    <x v="6"/>
    <s v="classique"/>
    <s v="A2-3"/>
    <m/>
    <s v="oui"/>
    <m/>
    <n v="2"/>
    <n v="0.75"/>
    <n v="1.5"/>
  </r>
  <r>
    <d v="2021-01-04T00:00:00"/>
    <x v="18"/>
    <s v="-"/>
    <x v="1"/>
    <x v="62"/>
    <x v="6"/>
    <s v="Cap d'Agde GCF"/>
    <s v="C1-10"/>
    <m/>
    <s v="oui"/>
    <m/>
    <n v="1"/>
    <n v="0.75"/>
    <n v="0.75"/>
  </r>
  <r>
    <d v="2021-01-04T00:00:00"/>
    <x v="5"/>
    <s v="-"/>
    <x v="0"/>
    <x v="17"/>
    <x v="6"/>
    <s v="Thau Blanc"/>
    <s v="C1-9"/>
    <m/>
    <s v="oui"/>
    <m/>
    <n v="15"/>
    <n v="0.75"/>
    <n v="11.25"/>
  </r>
  <r>
    <d v="2021-01-06T00:00:00"/>
    <x v="5"/>
    <s v="-"/>
    <x v="0"/>
    <x v="17"/>
    <x v="6"/>
    <s v="-"/>
    <s v="C1-9"/>
    <m/>
    <s v="oui"/>
    <m/>
    <n v="1"/>
    <n v="0.75"/>
    <n v="0.75"/>
  </r>
  <r>
    <d v="2021-01-06T00:00:00"/>
    <x v="5"/>
    <s v="-"/>
    <x v="0"/>
    <x v="17"/>
    <x v="6"/>
    <s v="-"/>
    <s v="F1-7"/>
    <m/>
    <s v="oui"/>
    <s v="1250 hl F1-7 + 550 hl C1-9"/>
    <n v="1"/>
    <n v="0.75"/>
    <n v="0.75"/>
  </r>
  <r>
    <d v="2021-01-07T00:00:00"/>
    <x v="5"/>
    <s v="-"/>
    <x v="0"/>
    <x v="0"/>
    <x v="6"/>
    <s v="variétal"/>
    <s v="B1-7"/>
    <m/>
    <s v="oui"/>
    <m/>
    <n v="2"/>
    <n v="0.75"/>
    <n v="1.5"/>
  </r>
  <r>
    <d v="2021-01-07T00:00:00"/>
    <x v="5"/>
    <s v="-"/>
    <x v="1"/>
    <x v="7"/>
    <x v="6"/>
    <s v="-"/>
    <s v="-"/>
    <m/>
    <s v="oui"/>
    <s v="80% G1-4 + 20% G1-1"/>
    <n v="2"/>
    <n v="0.75"/>
    <n v="1.5"/>
  </r>
  <r>
    <d v="2021-01-07T00:00:00"/>
    <x v="72"/>
    <s v="-"/>
    <x v="0"/>
    <x v="2"/>
    <x v="6"/>
    <s v="supérieur"/>
    <s v="G1-3"/>
    <m/>
    <s v="oui"/>
    <m/>
    <n v="2"/>
    <n v="0.75"/>
    <n v="1.5"/>
  </r>
  <r>
    <d v="2021-01-11T00:00:00"/>
    <x v="96"/>
    <s v="Claude Serra"/>
    <x v="0"/>
    <x v="0"/>
    <x v="6"/>
    <s v="variétal"/>
    <s v="B1-7"/>
    <m/>
    <s v="oui"/>
    <m/>
    <n v="6"/>
    <n v="0.75"/>
    <n v="4.5"/>
  </r>
  <r>
    <d v="2021-01-11T00:00:00"/>
    <x v="53"/>
    <s v="SP Wines"/>
    <x v="0"/>
    <x v="21"/>
    <x v="5"/>
    <s v="-"/>
    <s v="B1-2"/>
    <m/>
    <s v="oui"/>
    <m/>
    <n v="1"/>
    <n v="0.75"/>
    <n v="0.75"/>
  </r>
  <r>
    <d v="2021-01-11T00:00:00"/>
    <x v="79"/>
    <s v="WSC"/>
    <x v="0"/>
    <x v="0"/>
    <x v="6"/>
    <s v="variétal"/>
    <s v="B1-7"/>
    <m/>
    <s v="oui"/>
    <m/>
    <n v="6"/>
    <n v="0.75"/>
    <n v="4.5"/>
  </r>
  <r>
    <d v="2021-01-11T00:00:00"/>
    <x v="9"/>
    <s v="Jacques Woloviek"/>
    <x v="0"/>
    <x v="0"/>
    <x v="6"/>
    <s v="Petit degré"/>
    <s v="E1-6"/>
    <m/>
    <s v="oui"/>
    <m/>
    <n v="3"/>
    <n v="0.75"/>
    <n v="2.25"/>
  </r>
  <r>
    <d v="2021-01-11T00:00:00"/>
    <x v="9"/>
    <s v="Jacques Woloviek"/>
    <x v="0"/>
    <x v="0"/>
    <x v="6"/>
    <s v="variétal"/>
    <s v="B1-7"/>
    <m/>
    <s v="oui"/>
    <m/>
    <n v="3"/>
    <n v="0.75"/>
    <n v="2.25"/>
  </r>
  <r>
    <d v="2021-01-11T00:00:00"/>
    <x v="9"/>
    <s v="Jacques Woloviek"/>
    <x v="1"/>
    <x v="10"/>
    <x v="6"/>
    <s v="Rosé générique"/>
    <s v="A1-9"/>
    <m/>
    <s v="oui"/>
    <m/>
    <n v="3"/>
    <n v="0.75"/>
    <n v="2.25"/>
  </r>
  <r>
    <d v="2021-01-13T00:00:00"/>
    <x v="2"/>
    <s v="-"/>
    <x v="2"/>
    <x v="80"/>
    <x v="6"/>
    <s v="Lot C"/>
    <s v="-"/>
    <m/>
    <s v="oui"/>
    <s v="35% B1-3 + 65 % B2-3"/>
    <n v="2"/>
    <n v="0.75"/>
    <n v="1.5"/>
  </r>
  <r>
    <d v="2021-01-13T00:00:00"/>
    <x v="2"/>
    <s v="-"/>
    <x v="0"/>
    <x v="0"/>
    <x v="6"/>
    <s v="variétal"/>
    <s v="B1-7"/>
    <m/>
    <s v="oui"/>
    <m/>
    <n v="4"/>
    <n v="0.75"/>
    <n v="3"/>
  </r>
  <r>
    <d v="2021-01-15T00:00:00"/>
    <x v="2"/>
    <s v="-"/>
    <x v="0"/>
    <x v="2"/>
    <x v="6"/>
    <s v="supérieur"/>
    <s v="G1-3"/>
    <m/>
    <s v="oui"/>
    <m/>
    <n v="3"/>
    <n v="0.75"/>
    <n v="2.25"/>
  </r>
  <r>
    <d v="2021-01-18T00:00:00"/>
    <x v="20"/>
    <s v="-"/>
    <x v="0"/>
    <x v="6"/>
    <x v="6"/>
    <s v="Terre et Mer Sec"/>
    <s v="K1-16"/>
    <m/>
    <s v="oui"/>
    <m/>
    <n v="4"/>
    <n v="0.75"/>
    <n v="3"/>
  </r>
  <r>
    <d v="2021-01-18T00:00:00"/>
    <x v="20"/>
    <s v="-"/>
    <x v="0"/>
    <x v="1"/>
    <x v="6"/>
    <s v="Bouteille"/>
    <s v="K1-15"/>
    <m/>
    <s v="oui"/>
    <m/>
    <n v="4"/>
    <n v="0.75"/>
    <n v="3"/>
  </r>
  <r>
    <d v="2021-01-18T00:00:00"/>
    <x v="20"/>
    <s v="-"/>
    <x v="0"/>
    <x v="0"/>
    <x v="6"/>
    <s v="Bouteille"/>
    <s v="J1-7"/>
    <m/>
    <s v="oui"/>
    <m/>
    <n v="4"/>
    <n v="0.75"/>
    <n v="3"/>
  </r>
  <r>
    <d v="2021-01-18T00:00:00"/>
    <x v="20"/>
    <s v="-"/>
    <x v="1"/>
    <x v="51"/>
    <x v="6"/>
    <s v="Bouteille"/>
    <s v="K1-7"/>
    <m/>
    <s v="oui"/>
    <m/>
    <n v="4"/>
    <n v="0.75"/>
    <n v="3"/>
  </r>
  <r>
    <d v="2021-01-18T00:00:00"/>
    <x v="20"/>
    <s v="-"/>
    <x v="2"/>
    <x v="7"/>
    <x v="6"/>
    <s v="Bouteille"/>
    <s v="A1-1"/>
    <m/>
    <s v="oui"/>
    <m/>
    <n v="2"/>
    <n v="0.75"/>
    <n v="1.5"/>
  </r>
  <r>
    <d v="2021-01-18T00:00:00"/>
    <x v="20"/>
    <s v="-"/>
    <x v="2"/>
    <x v="13"/>
    <x v="6"/>
    <s v="Bouteille"/>
    <s v="E2-3"/>
    <m/>
    <s v="oui"/>
    <m/>
    <n v="2"/>
    <n v="0.75"/>
    <n v="1.5"/>
  </r>
  <r>
    <d v="2021-01-18T00:00:00"/>
    <x v="20"/>
    <s v="-"/>
    <x v="2"/>
    <x v="13"/>
    <x v="6"/>
    <s v="-"/>
    <s v="J1-9"/>
    <m/>
    <s v="oui"/>
    <m/>
    <n v="3"/>
    <n v="0.75"/>
    <n v="2.25"/>
  </r>
  <r>
    <d v="2021-01-18T00:00:00"/>
    <x v="11"/>
    <s v="-"/>
    <x v="0"/>
    <x v="1"/>
    <x v="6"/>
    <s v="variétal"/>
    <s v="G1-2"/>
    <m/>
    <s v="oui"/>
    <m/>
    <n v="8"/>
    <n v="0.75"/>
    <n v="6"/>
  </r>
  <r>
    <d v="2021-01-18T00:00:00"/>
    <x v="96"/>
    <s v="Claude Serra"/>
    <x v="0"/>
    <x v="0"/>
    <x v="6"/>
    <s v="variétal"/>
    <s v="-"/>
    <m/>
    <s v="oui"/>
    <s v="50% Chardonnay variétal + 50% Chardonnay bouteille"/>
    <n v="4"/>
    <n v="0.75"/>
    <n v="3"/>
  </r>
  <r>
    <d v="2021-01-18T00:00:00"/>
    <x v="65"/>
    <s v="San Nicolas"/>
    <x v="0"/>
    <x v="0"/>
    <x v="6"/>
    <s v="variétal"/>
    <s v="B1-7"/>
    <m/>
    <s v="oui"/>
    <m/>
    <n v="4"/>
    <n v="0.75"/>
    <n v="3"/>
  </r>
  <r>
    <d v="2021-01-19T00:00:00"/>
    <x v="20"/>
    <s v="-"/>
    <x v="0"/>
    <x v="6"/>
    <x v="6"/>
    <s v="Terre et Mer Sec"/>
    <s v="K1-16"/>
    <m/>
    <s v="oui"/>
    <m/>
    <n v="2"/>
    <n v="0.75"/>
    <n v="1.5"/>
  </r>
  <r>
    <d v="2021-01-20T00:00:00"/>
    <x v="61"/>
    <s v="-"/>
    <x v="0"/>
    <x v="6"/>
    <x v="6"/>
    <s v="Oc Blanc"/>
    <s v="A1-8"/>
    <m/>
    <s v="oui"/>
    <m/>
    <n v="1"/>
    <n v="0.75"/>
    <n v="0.75"/>
  </r>
  <r>
    <d v="2021-01-20T00:00:00"/>
    <x v="61"/>
    <s v="-"/>
    <x v="0"/>
    <x v="6"/>
    <x v="6"/>
    <s v="Oc Blanc"/>
    <s v="A1-8"/>
    <m/>
    <s v="oui"/>
    <s v="A1-8 + 5%"/>
    <n v="2"/>
    <n v="0.75"/>
    <n v="1.5"/>
  </r>
  <r>
    <d v="2021-01-21T00:00:00"/>
    <x v="54"/>
    <s v="Murphy winecompany"/>
    <x v="0"/>
    <x v="0"/>
    <x v="6"/>
    <s v="Petit degré"/>
    <s v="B1-6"/>
    <m/>
    <s v="oui"/>
    <m/>
    <n v="4"/>
    <n v="0.75"/>
    <n v="3"/>
  </r>
  <r>
    <d v="2021-01-21T00:00:00"/>
    <x v="54"/>
    <s v="Murphy winecompany"/>
    <x v="1"/>
    <x v="38"/>
    <x v="6"/>
    <s v="-"/>
    <s v="-"/>
    <m/>
    <s v="oui"/>
    <s v="50% A1-9 + 50% B1-10"/>
    <n v="2"/>
    <n v="0.75"/>
    <n v="1.5"/>
  </r>
  <r>
    <d v="2021-01-26T00:00:00"/>
    <x v="11"/>
    <s v="-"/>
    <x v="0"/>
    <x v="1"/>
    <x v="6"/>
    <s v="variétal"/>
    <s v="I1-4"/>
    <m/>
    <s v="oui"/>
    <m/>
    <n v="10"/>
    <n v="0.75"/>
    <n v="7.5"/>
  </r>
  <r>
    <d v="2021-01-26T00:00:00"/>
    <x v="2"/>
    <s v="-"/>
    <x v="0"/>
    <x v="2"/>
    <x v="6"/>
    <s v="supérieur"/>
    <s v="F2-2"/>
    <m/>
    <s v="oui"/>
    <m/>
    <n v="2"/>
    <n v="0.75"/>
    <n v="1.5"/>
  </r>
  <r>
    <d v="2021-01-26T00:00:00"/>
    <x v="5"/>
    <s v="-"/>
    <x v="0"/>
    <x v="49"/>
    <x v="6"/>
    <s v="-"/>
    <s v="H1-6"/>
    <m/>
    <s v="oui"/>
    <m/>
    <n v="5"/>
    <n v="0.75"/>
    <n v="3.75"/>
  </r>
  <r>
    <d v="2021-01-26T00:00:00"/>
    <x v="5"/>
    <s v="-"/>
    <x v="0"/>
    <x v="17"/>
    <x v="6"/>
    <s v="Thau Blanc"/>
    <s v="C1-9"/>
    <m/>
    <s v="oui"/>
    <m/>
    <n v="6"/>
    <n v="0.75"/>
    <n v="4.5"/>
  </r>
  <r>
    <d v="2021-01-27T00:00:00"/>
    <x v="31"/>
    <s v="Jacques Woloviek"/>
    <x v="0"/>
    <x v="6"/>
    <x v="6"/>
    <s v="Oc Blanc"/>
    <s v="A1-3"/>
    <m/>
    <s v="oui"/>
    <m/>
    <n v="1"/>
    <n v="0.75"/>
    <n v="0.75"/>
  </r>
  <r>
    <d v="2021-01-27T00:00:00"/>
    <x v="31"/>
    <s v="Jacques Woloviek"/>
    <x v="0"/>
    <x v="0"/>
    <x v="6"/>
    <s v="Petit degré"/>
    <s v="E1-6"/>
    <m/>
    <s v="oui"/>
    <m/>
    <n v="1"/>
    <n v="0.75"/>
    <n v="0.75"/>
  </r>
  <r>
    <d v="2021-01-27T00:00:00"/>
    <x v="31"/>
    <s v="Jacques Woloviek"/>
    <x v="0"/>
    <x v="0"/>
    <x v="6"/>
    <s v="Cuvée du Patron"/>
    <s v="I1-5"/>
    <m/>
    <s v="oui"/>
    <m/>
    <n v="1"/>
    <n v="0.75"/>
    <n v="0.75"/>
  </r>
  <r>
    <d v="2021-01-27T00:00:00"/>
    <x v="31"/>
    <s v="Jacques Woloviek"/>
    <x v="0"/>
    <x v="10"/>
    <x v="6"/>
    <s v="Rosé générique"/>
    <s v="A1-9"/>
    <m/>
    <s v="oui"/>
    <m/>
    <n v="1"/>
    <n v="0.75"/>
    <n v="0.75"/>
  </r>
  <r>
    <d v="2021-01-27T00:00:00"/>
    <x v="31"/>
    <s v="Jacques Woloviek"/>
    <x v="0"/>
    <x v="0"/>
    <x v="6"/>
    <s v="variétal"/>
    <s v="C1-0"/>
    <m/>
    <s v="oui"/>
    <m/>
    <n v="1"/>
    <n v="0.75"/>
    <n v="0.75"/>
  </r>
  <r>
    <d v="2021-01-28T00:00:00"/>
    <x v="2"/>
    <s v="-"/>
    <x v="0"/>
    <x v="0"/>
    <x v="6"/>
    <s v="variétal"/>
    <s v="C1-0"/>
    <m/>
    <s v="oui"/>
    <m/>
    <n v="2"/>
    <n v="0.75"/>
    <n v="1.5"/>
  </r>
  <r>
    <d v="2021-02-02T00:00:00"/>
    <x v="31"/>
    <s v="Jacques Woloviek"/>
    <x v="0"/>
    <x v="0"/>
    <x v="6"/>
    <s v="Petit degré"/>
    <s v="E1-6"/>
    <m/>
    <s v="oui"/>
    <m/>
    <n v="3"/>
    <n v="0.75"/>
    <n v="2.25"/>
  </r>
  <r>
    <d v="2021-02-02T00:00:00"/>
    <x v="31"/>
    <s v="Jacques Woloviek"/>
    <x v="0"/>
    <x v="6"/>
    <x v="6"/>
    <s v="Oc Blanc"/>
    <s v="A1-3"/>
    <m/>
    <s v="oui"/>
    <m/>
    <n v="1"/>
    <n v="0.75"/>
    <n v="0.75"/>
  </r>
  <r>
    <d v="2021-02-03T00:00:00"/>
    <x v="11"/>
    <s v="-"/>
    <x v="0"/>
    <x v="0"/>
    <x v="6"/>
    <s v="variétal"/>
    <s v="C1-0"/>
    <m/>
    <s v="oui"/>
    <m/>
    <n v="3"/>
    <n v="0.75"/>
    <n v="2.25"/>
  </r>
  <r>
    <d v="2021-02-04T00:00:00"/>
    <x v="92"/>
    <s v="Richemer"/>
    <x v="1"/>
    <x v="51"/>
    <x v="6"/>
    <s v="Lot A"/>
    <s v="-"/>
    <m/>
    <s v="oui"/>
    <s v="(43% Marselan + 10% Arc en ciel + 15% MagneMarselan + 25% Cabernet + 8% Merlot) + 1g SO2 + 10cl/hl Senso Ü"/>
    <n v="2"/>
    <n v="0.75"/>
    <n v="1.5"/>
  </r>
  <r>
    <d v="2021-02-04T00:00:00"/>
    <x v="92"/>
    <s v="Richemer"/>
    <x v="1"/>
    <x v="51"/>
    <x v="6"/>
    <s v="Lot B"/>
    <s v="-"/>
    <m/>
    <s v="oui"/>
    <s v="(30% MarselanAlcon + 40% MagneSyr + 5% Syrbt + 25% Marselan Celliers du Vent) + 1 g SO2 + 10 ch/hl SensoU"/>
    <n v="2"/>
    <n v="0.75"/>
    <n v="1.5"/>
  </r>
  <r>
    <d v="2021-02-04T00:00:00"/>
    <x v="92"/>
    <s v="Richemer"/>
    <x v="1"/>
    <x v="51"/>
    <x v="6"/>
    <s v="Lot C"/>
    <s v="-"/>
    <m/>
    <s v="oui"/>
    <s v="Lot A + Lot B"/>
    <n v="2"/>
    <n v="0.75"/>
    <n v="1.5"/>
  </r>
  <r>
    <d v="2021-02-04T00:00:00"/>
    <x v="1"/>
    <s v="Gilles Louvet"/>
    <x v="0"/>
    <x v="2"/>
    <x v="6"/>
    <s v="Arc en ciel"/>
    <s v="F1-6"/>
    <m/>
    <s v="oui"/>
    <m/>
    <n v="3"/>
    <n v="0.75"/>
    <n v="2.25"/>
  </r>
  <r>
    <d v="2021-02-04T00:00:00"/>
    <x v="1"/>
    <s v="WSC"/>
    <x v="1"/>
    <x v="10"/>
    <x v="6"/>
    <s v="Rosé générique"/>
    <s v="A1-7"/>
    <m/>
    <s v="oui"/>
    <m/>
    <n v="6"/>
    <n v="0.75"/>
    <n v="4.5"/>
  </r>
  <r>
    <d v="2021-02-04T00:00:00"/>
    <x v="53"/>
    <s v="SP Wines"/>
    <x v="0"/>
    <x v="21"/>
    <x v="6"/>
    <s v="-"/>
    <s v="E2-5"/>
    <m/>
    <s v="oui"/>
    <m/>
    <n v="1"/>
    <n v="0.75"/>
    <n v="0.75"/>
  </r>
  <r>
    <d v="2021-02-04T00:00:00"/>
    <x v="20"/>
    <s v="-"/>
    <x v="0"/>
    <x v="1"/>
    <x v="6"/>
    <s v="Bouteille"/>
    <s v="A2-7"/>
    <m/>
    <s v="oui"/>
    <m/>
    <n v="1"/>
    <n v="0.75"/>
    <n v="0.75"/>
  </r>
  <r>
    <d v="2021-02-04T00:00:00"/>
    <x v="20"/>
    <s v="-"/>
    <x v="0"/>
    <x v="6"/>
    <x v="6"/>
    <s v="Oc Blanc"/>
    <s v="A1-8"/>
    <m/>
    <s v="oui"/>
    <m/>
    <n v="1"/>
    <n v="0.75"/>
    <n v="0.75"/>
  </r>
  <r>
    <d v="2021-02-04T00:00:00"/>
    <x v="20"/>
    <s v="-"/>
    <x v="0"/>
    <x v="18"/>
    <x v="6"/>
    <s v="Bouteille"/>
    <s v="F1-2"/>
    <m/>
    <s v="oui"/>
    <m/>
    <n v="1"/>
    <n v="0.75"/>
    <n v="0.75"/>
  </r>
  <r>
    <d v="2021-02-04T00:00:00"/>
    <x v="96"/>
    <s v="Claude Serra"/>
    <x v="1"/>
    <x v="10"/>
    <x v="6"/>
    <s v="Lot A"/>
    <s v="-"/>
    <m/>
    <s v="oui"/>
    <s v="30% A2-6 + 40% D1-6 + 30% A1-7"/>
    <n v="2"/>
    <n v="0.75"/>
    <n v="1.5"/>
  </r>
  <r>
    <d v="2021-02-04T00:00:00"/>
    <x v="96"/>
    <s v="Claude Serra"/>
    <x v="1"/>
    <x v="10"/>
    <x v="6"/>
    <s v="Lot B"/>
    <s v="-"/>
    <m/>
    <s v="oui"/>
    <s v="50% B1-10 + 50% D1-6"/>
    <n v="2"/>
    <n v="0.75"/>
    <n v="1.5"/>
  </r>
  <r>
    <d v="2021-02-08T00:00:00"/>
    <x v="15"/>
    <s v="René Jeanjean"/>
    <x v="1"/>
    <x v="10"/>
    <x v="6"/>
    <s v="Rosé générique"/>
    <s v="A1-7"/>
    <m/>
    <s v="oui"/>
    <m/>
    <n v="2"/>
    <n v="0.75"/>
    <n v="1.5"/>
  </r>
  <r>
    <d v="2021-02-08T00:00:00"/>
    <x v="61"/>
    <s v="-"/>
    <x v="0"/>
    <x v="16"/>
    <x v="6"/>
    <s v="Oc Blanc"/>
    <s v="A1-8"/>
    <m/>
    <s v="oui"/>
    <m/>
    <n v="3"/>
    <n v="0.75"/>
    <n v="2.25"/>
  </r>
  <r>
    <d v="2021-02-08T00:00:00"/>
    <x v="61"/>
    <s v="-"/>
    <x v="0"/>
    <x v="16"/>
    <x v="6"/>
    <s v="Petit degré"/>
    <s v="-"/>
    <m/>
    <s v="oui"/>
    <s v="95-5"/>
    <n v="3"/>
    <n v="0.75"/>
    <n v="2.25"/>
  </r>
  <r>
    <d v="2021-02-09T00:00:00"/>
    <x v="3"/>
    <s v="-"/>
    <x v="0"/>
    <x v="0"/>
    <x v="6"/>
    <s v="supérieur"/>
    <s v="C2-5"/>
    <m/>
    <s v="oui"/>
    <m/>
    <n v="3"/>
    <n v="0.75"/>
    <n v="2.25"/>
  </r>
  <r>
    <d v="2021-02-09T00:00:00"/>
    <x v="3"/>
    <s v="-"/>
    <x v="0"/>
    <x v="22"/>
    <x v="6"/>
    <s v="-"/>
    <s v="B1-4"/>
    <m/>
    <s v="oui"/>
    <m/>
    <n v="3"/>
    <n v="0.75"/>
    <n v="2.25"/>
  </r>
  <r>
    <d v="2021-02-16T00:00:00"/>
    <x v="1"/>
    <s v="Claude Serra"/>
    <x v="0"/>
    <x v="82"/>
    <x v="6"/>
    <s v="Lot A"/>
    <s v="-"/>
    <m/>
    <s v="oui"/>
    <s v="55% B1-1(Terre et Mer Sec) + 25% L1-10 (Piquepoul) + 20% A2-8 (Sauvignon)"/>
    <n v="2"/>
    <n v="0.75"/>
    <n v="1.5"/>
  </r>
  <r>
    <d v="2021-02-18T00:00:00"/>
    <x v="43"/>
    <s v="Cathala"/>
    <x v="1"/>
    <x v="10"/>
    <x v="6"/>
    <s v="Rosé générique"/>
    <s v="B1-0"/>
    <m/>
    <s v="oui"/>
    <m/>
    <n v="2"/>
    <n v="0.75"/>
    <n v="1.5"/>
  </r>
  <r>
    <d v="2021-02-18T00:00:00"/>
    <x v="43"/>
    <s v="Cathala"/>
    <x v="1"/>
    <x v="10"/>
    <x v="6"/>
    <s v="GCA"/>
    <s v="C1-10"/>
    <m/>
    <s v="oui"/>
    <s v="Lot GCF Cap d'Agde"/>
    <n v="2"/>
    <n v="0.75"/>
    <n v="1.5"/>
  </r>
  <r>
    <d v="2021-02-18T00:00:00"/>
    <x v="2"/>
    <s v="-"/>
    <x v="0"/>
    <x v="2"/>
    <x v="6"/>
    <s v="supérieur"/>
    <s v="C1-3"/>
    <m/>
    <s v="oui"/>
    <m/>
    <n v="2"/>
    <n v="0.75"/>
    <n v="1.5"/>
  </r>
  <r>
    <d v="2021-02-18T00:00:00"/>
    <x v="2"/>
    <s v="-"/>
    <x v="0"/>
    <x v="2"/>
    <x v="6"/>
    <s v="Arc en ciel"/>
    <s v="F1-6"/>
    <m/>
    <s v="oui"/>
    <m/>
    <n v="2"/>
    <n v="0.75"/>
    <n v="1.5"/>
  </r>
  <r>
    <d v="2021-02-23T00:00:00"/>
    <x v="2"/>
    <s v="-"/>
    <x v="0"/>
    <x v="3"/>
    <x v="6"/>
    <s v="variétal"/>
    <s v="A1-5"/>
    <m/>
    <s v="oui"/>
    <m/>
    <n v="3"/>
    <n v="0.75"/>
    <n v="2.25"/>
  </r>
  <r>
    <d v="2021-02-23T00:00:00"/>
    <x v="2"/>
    <s v="-"/>
    <x v="0"/>
    <x v="3"/>
    <x v="6"/>
    <s v="Croquant"/>
    <s v="B1-2"/>
    <m/>
    <s v="oui"/>
    <m/>
    <n v="3"/>
    <n v="0.75"/>
    <n v="2.25"/>
  </r>
  <r>
    <d v="2021-02-23T00:00:00"/>
    <x v="2"/>
    <s v="-"/>
    <x v="0"/>
    <x v="0"/>
    <x v="6"/>
    <s v="variétal"/>
    <s v="C1-0"/>
    <m/>
    <s v="oui"/>
    <m/>
    <n v="3"/>
    <n v="0.75"/>
    <n v="2.25"/>
  </r>
  <r>
    <d v="2021-02-23T00:00:00"/>
    <x v="43"/>
    <s v="Vailhere Pascal"/>
    <x v="2"/>
    <x v="13"/>
    <x v="6"/>
    <s v="Vrac"/>
    <s v="F1-0"/>
    <m/>
    <s v="oui"/>
    <m/>
    <n v="3"/>
    <n v="0.75"/>
    <n v="2.25"/>
  </r>
  <r>
    <d v="2021-03-02T00:00:00"/>
    <x v="2"/>
    <s v="-"/>
    <x v="0"/>
    <x v="0"/>
    <x v="6"/>
    <s v="variétal"/>
    <s v="C1-0"/>
    <m/>
    <s v="oui"/>
    <m/>
    <n v="4"/>
    <n v="0.75"/>
    <n v="3"/>
  </r>
  <r>
    <d v="2021-03-02T00:00:00"/>
    <x v="9"/>
    <s v="Jacques Woloviek"/>
    <x v="0"/>
    <x v="1"/>
    <x v="6"/>
    <s v="variétal"/>
    <s v="F1-0"/>
    <m/>
    <s v="oui"/>
    <m/>
    <n v="3"/>
    <n v="0.75"/>
    <n v="2.25"/>
  </r>
  <r>
    <d v="2021-03-02T00:00:00"/>
    <x v="9"/>
    <s v="Jacques Woloviek"/>
    <x v="0"/>
    <x v="1"/>
    <x v="6"/>
    <s v="classique"/>
    <s v="H1-4"/>
    <m/>
    <s v="oui"/>
    <m/>
    <n v="3"/>
    <n v="0.75"/>
    <n v="2.25"/>
  </r>
  <r>
    <d v="2021-03-02T00:00:00"/>
    <x v="98"/>
    <s v="SP Wines"/>
    <x v="0"/>
    <x v="37"/>
    <x v="6"/>
    <s v="Arc en ciel"/>
    <s v="F1-6"/>
    <m/>
    <s v="oui"/>
    <s v="F1-6 + 5%"/>
    <n v="1"/>
    <n v="0.75"/>
    <n v="0.75"/>
  </r>
  <r>
    <d v="2021-03-03T00:00:00"/>
    <x v="1"/>
    <s v="TWS"/>
    <x v="0"/>
    <x v="3"/>
    <x v="6"/>
    <s v="variétal"/>
    <s v="A1-5"/>
    <m/>
    <s v="oui"/>
    <m/>
    <n v="3"/>
    <n v="0.75"/>
    <n v="2.25"/>
  </r>
  <r>
    <d v="2021-03-03T00:00:00"/>
    <x v="1"/>
    <s v="TWS"/>
    <x v="0"/>
    <x v="1"/>
    <x v="6"/>
    <s v="classique"/>
    <s v="H1-4"/>
    <m/>
    <s v="oui"/>
    <m/>
    <n v="3"/>
    <n v="0.75"/>
    <n v="2.25"/>
  </r>
  <r>
    <d v="2021-03-11T00:00:00"/>
    <x v="5"/>
    <s v="-"/>
    <x v="0"/>
    <x v="17"/>
    <x v="6"/>
    <s v="Thau Blanc lot 2"/>
    <s v="F1-7"/>
    <m/>
    <s v="oui"/>
    <m/>
    <n v="3"/>
    <n v="0.75"/>
    <n v="2.25"/>
  </r>
  <r>
    <d v="2021-03-12T00:00:00"/>
    <x v="99"/>
    <s v="-"/>
    <x v="0"/>
    <x v="1"/>
    <x v="6"/>
    <s v="classique"/>
    <s v="H1-4"/>
    <m/>
    <s v="oui"/>
    <m/>
    <n v="2"/>
    <n v="0.75"/>
    <n v="1.5"/>
  </r>
  <r>
    <d v="2021-03-15T00:00:00"/>
    <x v="2"/>
    <s v="-"/>
    <x v="1"/>
    <x v="10"/>
    <x v="6"/>
    <s v="Rosé générique"/>
    <s v="B1-0"/>
    <m/>
    <s v="oui"/>
    <m/>
    <n v="2"/>
    <n v="0.75"/>
    <n v="1.5"/>
  </r>
  <r>
    <d v="2021-03-15T00:00:00"/>
    <x v="2"/>
    <s v="-"/>
    <x v="0"/>
    <x v="31"/>
    <x v="6"/>
    <s v="Oc Blanc"/>
    <s v="A1-3"/>
    <m/>
    <s v="oui"/>
    <m/>
    <n v="2"/>
    <n v="0.75"/>
    <n v="1.5"/>
  </r>
  <r>
    <d v="2021-03-16T00:00:00"/>
    <x v="99"/>
    <s v="-"/>
    <x v="1"/>
    <x v="10"/>
    <x v="6"/>
    <s v="Rosé générique"/>
    <s v="B1-0"/>
    <m/>
    <s v="oui"/>
    <m/>
    <n v="2"/>
    <n v="0.75"/>
    <n v="1.5"/>
  </r>
  <r>
    <d v="2021-03-17T00:00:00"/>
    <x v="11"/>
    <s v="-"/>
    <x v="0"/>
    <x v="1"/>
    <x v="6"/>
    <s v="Variétal"/>
    <s v="A1-6"/>
    <m/>
    <s v="oui"/>
    <m/>
    <n v="3"/>
    <n v="0.75"/>
    <n v="2.25"/>
  </r>
  <r>
    <d v="2021-03-22T00:00:00"/>
    <x v="61"/>
    <s v="-"/>
    <x v="1"/>
    <x v="10"/>
    <x v="6"/>
    <s v="Rosé générique"/>
    <s v="B1-0"/>
    <m/>
    <s v="oui"/>
    <m/>
    <n v="2"/>
    <n v="0.75"/>
    <n v="1.5"/>
  </r>
  <r>
    <d v="2021-03-22T00:00:00"/>
    <x v="2"/>
    <s v="-"/>
    <x v="0"/>
    <x v="0"/>
    <x v="6"/>
    <s v="Variétal"/>
    <s v="B1-3"/>
    <m/>
    <s v="oui"/>
    <m/>
    <n v="3"/>
    <n v="0.75"/>
    <n v="2.25"/>
  </r>
  <r>
    <d v="2021-03-25T00:00:00"/>
    <x v="11"/>
    <s v="-"/>
    <x v="0"/>
    <x v="1"/>
    <x v="6"/>
    <s v="Variétal"/>
    <s v="A1-6"/>
    <m/>
    <s v="oui"/>
    <m/>
    <n v="5"/>
    <n v="0.75"/>
    <n v="3.75"/>
  </r>
  <r>
    <d v="2021-03-25T00:00:00"/>
    <x v="2"/>
    <s v="-"/>
    <x v="0"/>
    <x v="3"/>
    <x v="6"/>
    <s v="Variétal"/>
    <s v="A1-5"/>
    <m/>
    <s v="oui"/>
    <m/>
    <n v="3"/>
    <n v="0.75"/>
    <n v="2.25"/>
  </r>
  <r>
    <d v="2021-04-09T00:00:00"/>
    <x v="5"/>
    <s v="-"/>
    <x v="0"/>
    <x v="1"/>
    <x v="6"/>
    <s v="classique"/>
    <s v="H1-4"/>
    <m/>
    <s v="oui"/>
    <m/>
    <n v="3"/>
    <n v="0.75"/>
    <n v="2.25"/>
  </r>
  <r>
    <d v="2021-04-09T00:00:00"/>
    <x v="87"/>
    <s v="-"/>
    <x v="2"/>
    <x v="7"/>
    <x v="6"/>
    <s v="bouteille"/>
    <s v="E1-1"/>
    <m/>
    <s v="oui"/>
    <s v=" + 2 g/l MCR + 20 cl/hl Sweetgum + cuivre + SO2"/>
    <n v="2"/>
    <n v="0.75"/>
    <n v="1.5"/>
  </r>
  <r>
    <d v="2021-04-09T00:00:00"/>
    <x v="87"/>
    <s v="-"/>
    <x v="1"/>
    <x v="19"/>
    <x v="6"/>
    <s v="Cap d'Agde GCF"/>
    <s v="B1-10"/>
    <m/>
    <s v="oui"/>
    <s v=" + 2 g/l MCR + 10 cl/hl Senso Ü + SO2"/>
    <n v="2"/>
    <n v="0.75"/>
    <n v="1.5"/>
  </r>
  <r>
    <d v="2021-04-14T00:00:00"/>
    <x v="9"/>
    <s v="Jacques Woloviek"/>
    <x v="0"/>
    <x v="1"/>
    <x v="6"/>
    <s v="classique"/>
    <s v="D2-3"/>
    <m/>
    <s v="oui"/>
    <m/>
    <n v="3"/>
    <n v="0.75"/>
    <n v="2.25"/>
  </r>
  <r>
    <d v="2021-04-14T00:00:00"/>
    <x v="9"/>
    <s v="Jacques Woloviek"/>
    <x v="1"/>
    <x v="13"/>
    <x v="6"/>
    <s v="vrac"/>
    <s v="J2-9"/>
    <m/>
    <s v="oui"/>
    <m/>
    <n v="3"/>
    <n v="0.75"/>
    <n v="2.25"/>
  </r>
  <r>
    <d v="2021-04-16T00:00:00"/>
    <x v="85"/>
    <s v="Richemer"/>
    <x v="2"/>
    <x v="77"/>
    <x v="5"/>
    <s v="boisé"/>
    <s v="-"/>
    <m/>
    <s v="oui"/>
    <s v="80% Hippocampe 2019 + 20% Merlot 2020 + 20 cl/hl Sweetgum"/>
    <n v="1"/>
    <n v="0.75"/>
    <n v="0.75"/>
  </r>
  <r>
    <d v="2021-04-19T00:00:00"/>
    <x v="11"/>
    <s v="-"/>
    <x v="0"/>
    <x v="1"/>
    <x v="6"/>
    <s v="variétal"/>
    <s v="A1-6"/>
    <m/>
    <s v="oui"/>
    <m/>
    <n v="4"/>
    <n v="0.75"/>
    <n v="3"/>
  </r>
  <r>
    <d v="2021-04-19T00:00:00"/>
    <x v="31"/>
    <s v="Jacques Woloviek"/>
    <x v="0"/>
    <x v="0"/>
    <x v="6"/>
    <s v="Petit degré"/>
    <s v="E1-8"/>
    <m/>
    <s v="oui"/>
    <m/>
    <n v="2"/>
    <n v="0.75"/>
    <n v="1.5"/>
  </r>
  <r>
    <d v="2021-04-26T00:00:00"/>
    <x v="86"/>
    <s v="-"/>
    <x v="0"/>
    <x v="3"/>
    <x v="6"/>
    <m/>
    <s v="A2-5"/>
    <m/>
    <s v="oui"/>
    <m/>
    <n v="2"/>
    <n v="0.75"/>
    <n v="1.5"/>
  </r>
  <r>
    <d v="2021-04-26T00:00:00"/>
    <x v="86"/>
    <s v="-"/>
    <x v="0"/>
    <x v="3"/>
    <x v="6"/>
    <m/>
    <s v="A2-8"/>
    <m/>
    <s v="oui"/>
    <m/>
    <n v="2"/>
    <n v="0.75"/>
    <n v="1.5"/>
  </r>
  <r>
    <d v="2021-04-26T00:00:00"/>
    <x v="86"/>
    <s v="-"/>
    <x v="0"/>
    <x v="3"/>
    <x v="6"/>
    <m/>
    <s v="B1-2"/>
    <m/>
    <s v="oui"/>
    <m/>
    <n v="2"/>
    <n v="0.75"/>
    <n v="1.5"/>
  </r>
  <r>
    <d v="2021-04-26T00:00:00"/>
    <x v="86"/>
    <s v="-"/>
    <x v="0"/>
    <x v="3"/>
    <x v="6"/>
    <m/>
    <s v="C1-5"/>
    <m/>
    <s v="oui"/>
    <m/>
    <n v="2"/>
    <n v="0.75"/>
    <n v="1.5"/>
  </r>
  <r>
    <d v="2021-04-27T00:00:00"/>
    <x v="100"/>
    <s v="SP Wines"/>
    <x v="0"/>
    <x v="21"/>
    <x v="6"/>
    <m/>
    <s v="E2-5"/>
    <m/>
    <s v="oui"/>
    <m/>
    <n v="3"/>
    <n v="0.75"/>
    <n v="2.25"/>
  </r>
  <r>
    <d v="2021-04-27T00:00:00"/>
    <x v="100"/>
    <s v="SP Wines"/>
    <x v="0"/>
    <x v="2"/>
    <x v="6"/>
    <m/>
    <s v="J3-9"/>
    <m/>
    <s v="oui"/>
    <m/>
    <n v="3"/>
    <n v="0.75"/>
    <n v="2.25"/>
  </r>
  <r>
    <d v="2021-04-27T00:00:00"/>
    <x v="100"/>
    <s v="SP Wines"/>
    <x v="0"/>
    <x v="3"/>
    <x v="6"/>
    <m/>
    <s v="A1-5"/>
    <m/>
    <s v="oui"/>
    <m/>
    <n v="3"/>
    <n v="0.75"/>
    <n v="2.25"/>
  </r>
  <r>
    <d v="2021-04-27T00:00:00"/>
    <x v="100"/>
    <s v="SP Wines"/>
    <x v="0"/>
    <x v="3"/>
    <x v="6"/>
    <m/>
    <s v="B1-2"/>
    <m/>
    <s v="oui"/>
    <m/>
    <n v="3"/>
    <n v="0.75"/>
    <n v="2.25"/>
  </r>
  <r>
    <d v="2021-04-27T00:00:00"/>
    <x v="100"/>
    <s v="SP Wines"/>
    <x v="0"/>
    <x v="0"/>
    <x v="6"/>
    <m/>
    <s v="F1-8"/>
    <m/>
    <s v="oui"/>
    <m/>
    <n v="3"/>
    <n v="0.75"/>
    <n v="2.25"/>
  </r>
  <r>
    <d v="2021-04-27T00:00:00"/>
    <x v="100"/>
    <s v="SP Wines"/>
    <x v="0"/>
    <x v="0"/>
    <x v="6"/>
    <m/>
    <s v="C1-3"/>
    <m/>
    <s v="oui"/>
    <m/>
    <n v="3"/>
    <n v="0.75"/>
    <n v="2.25"/>
  </r>
  <r>
    <d v="2021-05-03T00:00:00"/>
    <x v="97"/>
    <s v="-"/>
    <x v="0"/>
    <x v="16"/>
    <x v="6"/>
    <m/>
    <s v="D1-6"/>
    <m/>
    <s v="oui"/>
    <s v="contrat à 11,5 donc + 35"/>
    <n v="3"/>
    <n v="0.75"/>
    <n v="2.25"/>
  </r>
  <r>
    <d v="2021-05-03T00:00:00"/>
    <x v="2"/>
    <s v="-"/>
    <x v="2"/>
    <x v="13"/>
    <x v="6"/>
    <m/>
    <s v="B2-8"/>
    <m/>
    <s v="oui"/>
    <m/>
    <n v="2"/>
    <n v="0.75"/>
    <n v="1.5"/>
  </r>
  <r>
    <d v="2021-05-26T00:00:00"/>
    <x v="52"/>
    <s v="JC Simon"/>
    <x v="0"/>
    <x v="2"/>
    <x v="6"/>
    <s v="variétal"/>
    <s v="C2-1"/>
    <m/>
    <s v="oui"/>
    <m/>
    <n v="3"/>
    <n v="0.75"/>
    <n v="2.25"/>
  </r>
  <r>
    <d v="2021-05-26T00:00:00"/>
    <x v="11"/>
    <s v="-"/>
    <x v="0"/>
    <x v="1"/>
    <x v="6"/>
    <s v="variétal"/>
    <s v="A1-6"/>
    <m/>
    <s v="oui"/>
    <m/>
    <n v="3"/>
    <n v="0.75"/>
    <n v="2.25"/>
  </r>
  <r>
    <d v="2021-05-27T00:00:00"/>
    <x v="85"/>
    <s v="Richemer"/>
    <x v="2"/>
    <x v="77"/>
    <x v="5"/>
    <s v="boisé"/>
    <s v="-"/>
    <m/>
    <s v="oui"/>
    <s v="80% Hippocampe 2019 + 20% Merlot 2020 + 20 cl/hl Sweetgum"/>
    <n v="2"/>
    <n v="0.75"/>
    <n v="1.5"/>
  </r>
  <r>
    <d v="2021-06-03T00:00:00"/>
    <x v="5"/>
    <s v="-"/>
    <x v="0"/>
    <x v="17"/>
    <x v="6"/>
    <s v="Thau Blanc"/>
    <s v="A1-10"/>
    <m/>
    <s v="oui"/>
    <m/>
    <n v="4"/>
    <n v="0.75"/>
    <n v="3"/>
  </r>
  <r>
    <d v="2021-06-03T00:00:00"/>
    <x v="5"/>
    <s v="-"/>
    <x v="1"/>
    <x v="62"/>
    <x v="6"/>
    <s v="Cap d'Agde GCF"/>
    <s v="C1-0"/>
    <m/>
    <s v="oui"/>
    <m/>
    <n v="1"/>
    <n v="0.75"/>
    <n v="0.75"/>
  </r>
  <r>
    <d v="2021-06-11T00:00:00"/>
    <x v="10"/>
    <s v="René Jeanjean"/>
    <x v="0"/>
    <x v="1"/>
    <x v="6"/>
    <s v="classique"/>
    <s v="F2-2"/>
    <m/>
    <s v="oui"/>
    <m/>
    <n v="1"/>
    <n v="0.75"/>
    <n v="0.75"/>
  </r>
  <r>
    <d v="2021-06-23T00:00:00"/>
    <x v="101"/>
    <s v="Jacques Woloviek"/>
    <x v="0"/>
    <x v="1"/>
    <x v="6"/>
    <s v="variétal"/>
    <s v="A1-6"/>
    <m/>
    <s v="oui"/>
    <m/>
    <n v="4"/>
    <n v="0.75"/>
    <n v="3"/>
  </r>
  <r>
    <d v="2021-07-06T00:00:00"/>
    <x v="5"/>
    <s v="-"/>
    <x v="0"/>
    <x v="0"/>
    <x v="6"/>
    <s v="supérieur"/>
    <s v="C1-3"/>
    <m/>
    <s v="oui"/>
    <m/>
    <n v="2"/>
    <n v="0.75"/>
    <n v="1.5"/>
  </r>
  <r>
    <d v="2021-07-06T00:00:00"/>
    <x v="5"/>
    <s v="-"/>
    <x v="0"/>
    <x v="3"/>
    <x v="6"/>
    <s v="PrS"/>
    <s v="A2-3"/>
    <m/>
    <s v="oui"/>
    <m/>
    <n v="1"/>
    <n v="0.75"/>
    <n v="0.75"/>
  </r>
  <r>
    <d v="2021-07-06T00:00:00"/>
    <x v="5"/>
    <s v="-"/>
    <x v="1"/>
    <x v="62"/>
    <x v="6"/>
    <s v="Lot GCF n°3"/>
    <s v="A1-9"/>
    <m/>
    <s v="oui"/>
    <m/>
    <n v="1"/>
    <n v="0.75"/>
    <n v="0.75"/>
  </r>
  <r>
    <d v="2021-07-06T00:00:00"/>
    <x v="1"/>
    <s v="Didier Saint Vigne"/>
    <x v="1"/>
    <x v="22"/>
    <x v="6"/>
    <s v="Petit degré"/>
    <s v="H1-7"/>
    <m/>
    <s v="oui"/>
    <m/>
    <n v="2"/>
    <n v="0.75"/>
    <n v="1.5"/>
  </r>
  <r>
    <d v="2021-07-20T00:00:00"/>
    <x v="5"/>
    <s v="-"/>
    <x v="0"/>
    <x v="83"/>
    <x v="6"/>
    <s v="supérieur"/>
    <s v="C1-3"/>
    <m/>
    <s v="oui"/>
    <m/>
    <n v="4"/>
    <n v="0.75"/>
    <n v="3"/>
  </r>
  <r>
    <d v="2021-07-22T00:00:00"/>
    <x v="2"/>
    <s v="-"/>
    <x v="0"/>
    <x v="1"/>
    <x v="6"/>
    <s v="variétal"/>
    <s v="A1-6"/>
    <m/>
    <s v="oui"/>
    <m/>
    <n v="2"/>
    <n v="0.75"/>
    <n v="1.5"/>
  </r>
  <r>
    <d v="2021-09-06T00:00:00"/>
    <x v="102"/>
    <s v="René Jeanjean"/>
    <x v="0"/>
    <x v="1"/>
    <x v="6"/>
    <s v="supérieur"/>
    <s v="K1-9"/>
    <m/>
    <s v="oui"/>
    <m/>
    <n v="2"/>
    <n v="0.75"/>
    <n v="1.5"/>
  </r>
  <r>
    <d v="2021-09-06T00:00:00"/>
    <x v="102"/>
    <s v="René Jeanjean"/>
    <x v="0"/>
    <x v="1"/>
    <x v="6"/>
    <s v="supérieur"/>
    <s v="A2-8"/>
    <m/>
    <s v="oui"/>
    <m/>
    <n v="2"/>
    <n v="0.75"/>
    <n v="1.5"/>
  </r>
  <r>
    <d v="2021-10-22T00:00:00"/>
    <x v="16"/>
    <s v="-"/>
    <x v="0"/>
    <x v="2"/>
    <x v="7"/>
    <m/>
    <s v="-"/>
    <m/>
    <s v="oui"/>
    <s v="67% H1-9 + 33% J1-5"/>
    <n v="3"/>
    <n v="0.75"/>
    <n v="2.25"/>
  </r>
  <r>
    <d v="2021-10-22T00:00:00"/>
    <x v="5"/>
    <s v="-"/>
    <x v="0"/>
    <x v="62"/>
    <x v="7"/>
    <m/>
    <s v="-"/>
    <m/>
    <s v="oui"/>
    <s v=" + 100 g Acide tartrique"/>
    <n v="2"/>
    <n v="0.75"/>
    <n v="1.5"/>
  </r>
  <r>
    <d v="2021-10-22T00:00:00"/>
    <x v="5"/>
    <s v="-"/>
    <x v="0"/>
    <x v="62"/>
    <x v="7"/>
    <m/>
    <s v="-"/>
    <m/>
    <s v="oui"/>
    <s v=" + 75 g Acide tartrique + 25 g acide malique"/>
    <n v="2"/>
    <n v="0.75"/>
    <n v="1.5"/>
  </r>
  <r>
    <d v="2021-10-22T00:00:00"/>
    <x v="5"/>
    <s v="-"/>
    <x v="0"/>
    <x v="62"/>
    <x v="7"/>
    <m/>
    <s v="-"/>
    <m/>
    <s v="oui"/>
    <s v=" + 50 g acide tartrique + 50 g acide malique"/>
    <n v="2"/>
    <n v="0.75"/>
    <n v="1.5"/>
  </r>
  <r>
    <d v="2021-10-26T00:00:00"/>
    <x v="2"/>
    <s v="-"/>
    <x v="0"/>
    <x v="1"/>
    <x v="7"/>
    <s v="supérieur"/>
    <s v="-"/>
    <m/>
    <s v="oui"/>
    <m/>
    <n v="2"/>
    <n v="0.75"/>
    <n v="1.5"/>
  </r>
  <r>
    <d v="2021-10-26T00:00:00"/>
    <x v="2"/>
    <s v="-"/>
    <x v="0"/>
    <x v="1"/>
    <x v="7"/>
    <s v="variétal"/>
    <s v="-"/>
    <m/>
    <s v="oui"/>
    <m/>
    <n v="2"/>
    <n v="0.75"/>
    <n v="1.5"/>
  </r>
  <r>
    <d v="2021-10-26T00:00:00"/>
    <x v="2"/>
    <s v="-"/>
    <x v="0"/>
    <x v="16"/>
    <x v="7"/>
    <s v="-"/>
    <s v="-"/>
    <m/>
    <s v="oui"/>
    <m/>
    <n v="3"/>
    <n v="0.75"/>
    <n v="2.25"/>
  </r>
  <r>
    <d v="2021-11-02T00:00:00"/>
    <x v="1"/>
    <s v="Gilles Lambert"/>
    <x v="0"/>
    <x v="0"/>
    <x v="7"/>
    <s v="variétal"/>
    <s v="-"/>
    <m/>
    <s v="oui"/>
    <m/>
    <n v="2"/>
    <n v="0.75"/>
    <n v="1.5"/>
  </r>
  <r>
    <d v="2021-11-02T00:00:00"/>
    <x v="1"/>
    <s v="Gilles Lambert"/>
    <x v="0"/>
    <x v="0"/>
    <x v="7"/>
    <s v="supérieur"/>
    <s v="-"/>
    <m/>
    <s v="oui"/>
    <m/>
    <n v="2"/>
    <n v="0.75"/>
    <n v="1.5"/>
  </r>
  <r>
    <d v="2021-11-02T00:00:00"/>
    <x v="2"/>
    <s v="-"/>
    <x v="0"/>
    <x v="1"/>
    <x v="7"/>
    <s v="supérieur"/>
    <s v="-"/>
    <m/>
    <s v="oui"/>
    <m/>
    <n v="2"/>
    <n v="0.75"/>
    <n v="1.5"/>
  </r>
  <r>
    <d v="2021-11-02T00:00:00"/>
    <x v="2"/>
    <s v="-"/>
    <x v="0"/>
    <x v="1"/>
    <x v="7"/>
    <s v="variétal"/>
    <s v="-"/>
    <m/>
    <s v="oui"/>
    <m/>
    <n v="2"/>
    <n v="0.75"/>
    <n v="1.5"/>
  </r>
  <r>
    <d v="2021-11-02T00:00:00"/>
    <x v="2"/>
    <s v="-"/>
    <x v="0"/>
    <x v="16"/>
    <x v="7"/>
    <s v="-"/>
    <s v="-"/>
    <m/>
    <s v="oui"/>
    <m/>
    <n v="3"/>
    <n v="0.75"/>
    <n v="2.25"/>
  </r>
  <r>
    <d v="2021-11-02T00:00:00"/>
    <x v="3"/>
    <s v="-"/>
    <x v="0"/>
    <x v="1"/>
    <x v="7"/>
    <s v="supérieur"/>
    <s v="-"/>
    <m/>
    <s v="oui"/>
    <m/>
    <n v="2"/>
    <n v="0.75"/>
    <n v="1.5"/>
  </r>
  <r>
    <d v="2021-11-05T00:00:00"/>
    <x v="103"/>
    <s v="Richemer"/>
    <x v="0"/>
    <x v="1"/>
    <x v="7"/>
    <s v="bouteille"/>
    <s v="I1-4"/>
    <m/>
    <s v="oui"/>
    <s v="5 cL/hL Sweetgum"/>
    <n v="3"/>
    <n v="0.75"/>
    <n v="2.25"/>
  </r>
  <r>
    <d v="2021-11-05T00:00:00"/>
    <x v="103"/>
    <s v="Richemer"/>
    <x v="1"/>
    <x v="84"/>
    <x v="7"/>
    <s v="Bouteille"/>
    <s v="G1-5"/>
    <m/>
    <s v="oui"/>
    <s v="  "/>
    <n v="3"/>
    <n v="0.75"/>
    <n v="2.25"/>
  </r>
  <r>
    <d v="2021-11-05T00:00:00"/>
    <x v="103"/>
    <s v="Richemer"/>
    <x v="1"/>
    <x v="56"/>
    <x v="7"/>
    <s v="Bouteille"/>
    <s v="C2-2"/>
    <m/>
    <s v="oui"/>
    <s v="10 cL/hL Sweetgum"/>
    <n v="3"/>
    <n v="0.75"/>
    <n v="2.25"/>
  </r>
  <r>
    <d v="2021-11-05T00:00:00"/>
    <x v="103"/>
    <s v="Richemer"/>
    <x v="1"/>
    <x v="51"/>
    <x v="7"/>
    <s v="Bouteille"/>
    <s v="-"/>
    <m/>
    <s v="non"/>
    <s v="?"/>
    <n v="3"/>
    <n v="0.75"/>
    <n v="2.25"/>
  </r>
  <r>
    <d v="2021-11-09T00:00:00"/>
    <x v="3"/>
    <m/>
    <x v="0"/>
    <x v="1"/>
    <x v="7"/>
    <s v="supérieur"/>
    <s v="C2-1"/>
    <m/>
    <s v="oui"/>
    <m/>
    <n v="2"/>
    <n v="0.75"/>
    <n v="1.5"/>
  </r>
  <r>
    <d v="2021-11-10T00:00:00"/>
    <x v="103"/>
    <s v="Richemer"/>
    <x v="1"/>
    <x v="85"/>
    <x v="7"/>
    <m/>
    <s v="-"/>
    <m/>
    <s v="oui"/>
    <s v="20 cL/hL Antartika"/>
    <n v="3"/>
    <n v="0.75"/>
    <n v="2.25"/>
  </r>
  <r>
    <d v="2021-11-15T00:00:00"/>
    <x v="3"/>
    <m/>
    <x v="0"/>
    <x v="1"/>
    <x v="7"/>
    <s v="supérieur"/>
    <s v="B1-7"/>
    <m/>
    <s v="oui"/>
    <m/>
    <n v="3"/>
    <n v="10"/>
    <n v="30"/>
  </r>
  <r>
    <d v="2021-11-15T00:00:00"/>
    <x v="104"/>
    <s v="Jacques Woloviek"/>
    <x v="0"/>
    <x v="16"/>
    <x v="7"/>
    <s v="-"/>
    <s v="B1-5/B1-8"/>
    <m/>
    <s v="oui"/>
    <m/>
    <n v="3"/>
    <n v="0.75"/>
    <n v="2.25"/>
  </r>
  <r>
    <d v="2021-11-15T00:00:00"/>
    <x v="104"/>
    <s v="Jacques Woloviek"/>
    <x v="0"/>
    <x v="0"/>
    <x v="7"/>
    <s v="Petit degré"/>
    <s v="A1-8"/>
    <m/>
    <s v="oui"/>
    <m/>
    <n v="3"/>
    <n v="0.75"/>
    <n v="2.25"/>
  </r>
  <r>
    <d v="2021-11-15T00:00:00"/>
    <x v="61"/>
    <s v="-"/>
    <x v="0"/>
    <x v="0"/>
    <x v="7"/>
    <s v="Variétal"/>
    <s v="A1-9"/>
    <m/>
    <s v="oui"/>
    <m/>
    <n v="4"/>
    <n v="0.75"/>
    <n v="3"/>
  </r>
  <r>
    <d v="2021-11-15T00:00:00"/>
    <x v="61"/>
    <s v="-"/>
    <x v="0"/>
    <x v="0"/>
    <x v="7"/>
    <s v="Supérieur"/>
    <s v="C1-9"/>
    <m/>
    <s v="oui"/>
    <m/>
    <n v="4"/>
    <n v="0.75"/>
    <n v="3"/>
  </r>
  <r>
    <d v="2021-11-15T00:00:00"/>
    <x v="2"/>
    <s v="-"/>
    <x v="0"/>
    <x v="1"/>
    <x v="7"/>
    <s v="supérieur"/>
    <s v="B1-7"/>
    <m/>
    <s v="oui"/>
    <m/>
    <n v="3"/>
    <n v="0.75"/>
    <n v="2.25"/>
  </r>
  <r>
    <d v="2021-11-15T00:00:00"/>
    <x v="2"/>
    <s v="-"/>
    <x v="0"/>
    <x v="1"/>
    <x v="7"/>
    <s v="Variétal"/>
    <s v="C1-7"/>
    <m/>
    <s v="oui"/>
    <m/>
    <n v="3"/>
    <n v="0.75"/>
    <n v="2.25"/>
  </r>
  <r>
    <d v="2021-11-15T00:00:00"/>
    <x v="2"/>
    <s v="-"/>
    <x v="0"/>
    <x v="16"/>
    <x v="7"/>
    <s v="-"/>
    <s v="B1-5/B1-8"/>
    <m/>
    <s v="oui"/>
    <m/>
    <n v="3"/>
    <n v="0.75"/>
    <n v="2.25"/>
  </r>
  <r>
    <d v="2021-11-17T00:00:00"/>
    <x v="103"/>
    <s v="Richemer"/>
    <x v="1"/>
    <x v="46"/>
    <x v="7"/>
    <s v="Cap d'Agde sentiment"/>
    <s v="-"/>
    <m/>
    <s v="oui"/>
    <m/>
    <n v="3"/>
    <n v="0.75"/>
    <n v="2.25"/>
  </r>
  <r>
    <d v="2021-11-18T00:00:00"/>
    <x v="103"/>
    <s v="Richemer"/>
    <x v="0"/>
    <x v="86"/>
    <x v="7"/>
    <s v="Bouteille"/>
    <s v="-"/>
    <m/>
    <s v="oui"/>
    <s v="0,5 g/L MCR"/>
    <n v="3"/>
    <n v="0.75"/>
    <n v="2.25"/>
  </r>
  <r>
    <d v="2021-11-18T00:00:00"/>
    <x v="54"/>
    <s v="-"/>
    <x v="0"/>
    <x v="0"/>
    <x v="7"/>
    <s v="Petit degré"/>
    <s v="A1-8"/>
    <m/>
    <s v="oui"/>
    <s v="envoi postal"/>
    <n v="2"/>
    <n v="0.75"/>
    <n v="1.5"/>
  </r>
  <r>
    <d v="2021-11-23T00:00:00"/>
    <x v="5"/>
    <s v="-"/>
    <x v="1"/>
    <x v="87"/>
    <x v="7"/>
    <s v="-"/>
    <s v="A1-10"/>
    <m/>
    <s v="oui"/>
    <m/>
    <n v="5"/>
    <n v="0.75"/>
    <n v="3.75"/>
  </r>
  <r>
    <d v="2021-11-24T00:00:00"/>
    <x v="103"/>
    <s v="Richemer"/>
    <x v="0"/>
    <x v="88"/>
    <x v="7"/>
    <s v="-"/>
    <s v="-"/>
    <m/>
    <s v="oui"/>
    <m/>
    <n v="6"/>
    <n v="0.75"/>
    <n v="4.5"/>
  </r>
  <r>
    <d v="2021-11-24T00:00:00"/>
    <x v="103"/>
    <s v="Richemer"/>
    <x v="0"/>
    <x v="89"/>
    <x v="7"/>
    <s v="-"/>
    <s v="-"/>
    <m/>
    <s v="oui"/>
    <m/>
    <n v="3"/>
    <n v="1"/>
    <n v="3"/>
  </r>
  <r>
    <d v="2021-11-24T00:00:00"/>
    <x v="7"/>
    <s v="-"/>
    <x v="0"/>
    <x v="1"/>
    <x v="7"/>
    <s v="variétal"/>
    <s v="C1-7"/>
    <m/>
    <s v="oui"/>
    <m/>
    <n v="2"/>
    <n v="0.75"/>
    <n v="1.5"/>
  </r>
  <r>
    <d v="2021-11-24T00:00:00"/>
    <x v="7"/>
    <s v="-"/>
    <x v="0"/>
    <x v="1"/>
    <x v="7"/>
    <s v="supérieur"/>
    <s v="B1-7"/>
    <m/>
    <s v="oui"/>
    <m/>
    <n v="2"/>
    <n v="0.75"/>
    <n v="1.5"/>
  </r>
  <r>
    <d v="2021-11-24T00:00:00"/>
    <x v="98"/>
    <s v="SP Wines"/>
    <x v="0"/>
    <x v="90"/>
    <x v="7"/>
    <s v="-"/>
    <s v="C1-9/H1-4"/>
    <m/>
    <s v="oui"/>
    <s v="80/20"/>
    <n v="2"/>
    <n v="0.75"/>
    <n v="1.5"/>
  </r>
  <r>
    <d v="2021-11-24T00:00:00"/>
    <x v="39"/>
    <s v="SP Wines"/>
    <x v="0"/>
    <x v="1"/>
    <x v="7"/>
    <s v="variétal"/>
    <s v="C1-7"/>
    <m/>
    <s v="oui"/>
    <m/>
    <n v="2"/>
    <n v="0.75"/>
    <n v="1.5"/>
  </r>
  <r>
    <d v="2021-11-26T00:00:00"/>
    <x v="105"/>
    <s v="Richemer"/>
    <x v="1"/>
    <x v="91"/>
    <x v="7"/>
    <s v="-"/>
    <s v="A1-10"/>
    <m/>
    <s v="oui"/>
    <s v="10 cL/hL Antartika 5 cL/hL Sweetgum 0,5 g/L MCR"/>
    <n v="2"/>
    <n v="0.75"/>
    <n v="1.5"/>
  </r>
  <r>
    <d v="2021-11-29T00:00:00"/>
    <x v="3"/>
    <s v="-"/>
    <x v="0"/>
    <x v="1"/>
    <x v="7"/>
    <s v="supérieur"/>
    <s v="C1-5"/>
    <m/>
    <s v="oui"/>
    <m/>
    <n v="6"/>
    <n v="0.75"/>
    <n v="4.5"/>
  </r>
  <r>
    <d v="2021-11-29T00:00:00"/>
    <x v="5"/>
    <s v="-"/>
    <x v="1"/>
    <x v="91"/>
    <x v="7"/>
    <s v="-"/>
    <s v="B1-10"/>
    <m/>
    <s v="oui"/>
    <s v="Témoin/ 75 AT - 25 AM/ 100 AT/ 50 AT - 25 AM"/>
    <n v="4"/>
    <n v="0.75"/>
    <n v="3"/>
  </r>
  <r>
    <d v="2021-12-03T00:00:00"/>
    <x v="43"/>
    <s v="-"/>
    <x v="2"/>
    <x v="13"/>
    <x v="7"/>
    <s v="-"/>
    <s v="F2-2"/>
    <m/>
    <s v="oui"/>
    <m/>
    <n v="2"/>
    <n v="0.75"/>
    <n v="1.5"/>
  </r>
  <r>
    <d v="2021-12-03T00:00:00"/>
    <x v="43"/>
    <s v="-"/>
    <x v="0"/>
    <x v="3"/>
    <x v="7"/>
    <s v="-"/>
    <s v="G1-3/D2-4"/>
    <m/>
    <s v="oui"/>
    <m/>
    <n v="2"/>
    <n v="0.75"/>
    <n v="1.5"/>
  </r>
  <r>
    <d v="2021-12-06T00:00:00"/>
    <x v="2"/>
    <s v="-"/>
    <x v="0"/>
    <x v="1"/>
    <x v="6"/>
    <s v="-"/>
    <s v="B1-8"/>
    <m/>
    <s v="oui"/>
    <m/>
    <n v="2"/>
    <n v="0.75"/>
    <n v="1.5"/>
  </r>
  <r>
    <d v="2021-12-07T00:00:00"/>
    <x v="5"/>
    <s v="-"/>
    <x v="0"/>
    <x v="3"/>
    <x v="7"/>
    <s v="-"/>
    <s v="G1-3/D2-4"/>
    <m/>
    <s v="oui"/>
    <m/>
    <n v="3"/>
    <n v="0.75"/>
    <n v="2.25"/>
  </r>
  <r>
    <d v="2021-12-07T00:00:00"/>
    <x v="7"/>
    <s v="-"/>
    <x v="0"/>
    <x v="16"/>
    <x v="7"/>
    <s v="-"/>
    <s v="B1-7"/>
    <m/>
    <s v="oui"/>
    <m/>
    <n v="4"/>
    <n v="0.75"/>
    <n v="3"/>
  </r>
  <r>
    <d v="2021-12-08T00:00:00"/>
    <x v="2"/>
    <s v="-"/>
    <x v="0"/>
    <x v="16"/>
    <x v="7"/>
    <s v="-"/>
    <s v="B1-5"/>
    <m/>
    <s v="oui"/>
    <m/>
    <n v="3"/>
    <n v="0.75"/>
    <n v="2.25"/>
  </r>
  <r>
    <d v="2021-12-13T00:00:00"/>
    <x v="106"/>
    <s v="Richemer"/>
    <x v="2"/>
    <x v="80"/>
    <x v="7"/>
    <s v="-"/>
    <s v="J1-11"/>
    <m/>
    <s v="oui"/>
    <s v="20 Sweetgum et 2g MCR"/>
    <n v="3"/>
    <n v="0.75"/>
    <n v="2.25"/>
  </r>
  <r>
    <d v="2021-12-14T00:00:00"/>
    <x v="2"/>
    <s v="-"/>
    <x v="0"/>
    <x v="1"/>
    <x v="6"/>
    <s v="-"/>
    <s v="J3-8"/>
    <m/>
    <s v="oui"/>
    <m/>
    <n v="2"/>
    <n v="0.75"/>
    <n v="1.5"/>
  </r>
  <r>
    <d v="2021-12-14T00:00:00"/>
    <x v="2"/>
    <s v="-"/>
    <x v="0"/>
    <x v="0"/>
    <x v="7"/>
    <s v="variétal"/>
    <s v="A1-9"/>
    <m/>
    <s v="oui"/>
    <m/>
    <n v="2"/>
    <n v="0.75"/>
    <n v="1.5"/>
  </r>
  <r>
    <d v="2021-12-14T00:00:00"/>
    <x v="2"/>
    <s v="-"/>
    <x v="0"/>
    <x v="0"/>
    <x v="7"/>
    <s v="supérieur"/>
    <s v="C1-9"/>
    <m/>
    <s v="oui"/>
    <m/>
    <n v="2"/>
    <n v="0.75"/>
    <n v="1.5"/>
  </r>
  <r>
    <d v="2021-12-14T00:00:00"/>
    <x v="5"/>
    <s v="-"/>
    <x v="1"/>
    <x v="62"/>
    <x v="7"/>
    <s v="-"/>
    <s v="B1-10"/>
    <m/>
    <s v="oui"/>
    <m/>
    <n v="2"/>
    <n v="0.75"/>
    <n v="1.5"/>
  </r>
  <r>
    <d v="2021-12-14T00:00:00"/>
    <x v="5"/>
    <s v="-"/>
    <x v="0"/>
    <x v="17"/>
    <x v="7"/>
    <s v="-"/>
    <s v="G1-6"/>
    <m/>
    <s v="oui"/>
    <m/>
    <n v="2"/>
    <n v="0.75"/>
    <n v="1.5"/>
  </r>
  <r>
    <d v="2021-12-14T00:00:00"/>
    <x v="5"/>
    <s v="-"/>
    <x v="0"/>
    <x v="0"/>
    <x v="7"/>
    <s v="supérieur"/>
    <s v="C1-9"/>
    <m/>
    <s v="oui"/>
    <m/>
    <n v="1"/>
    <n v="0.75"/>
    <n v="0.75"/>
  </r>
  <r>
    <d v="2021-12-14T00:00:00"/>
    <x v="5"/>
    <s v="-"/>
    <x v="0"/>
    <x v="3"/>
    <x v="7"/>
    <s v="-"/>
    <s v="G1-3"/>
    <m/>
    <s v="oui"/>
    <m/>
    <n v="1"/>
    <n v="0.75"/>
    <n v="0.75"/>
  </r>
  <r>
    <d v="2021-12-14T00:00:00"/>
    <x v="5"/>
    <s v="-"/>
    <x v="0"/>
    <x v="1"/>
    <x v="7"/>
    <s v="supérieur"/>
    <s v="B1-7"/>
    <m/>
    <s v="oui"/>
    <m/>
    <n v="1"/>
    <n v="0.75"/>
    <n v="0.75"/>
  </r>
  <r>
    <d v="2021-12-14T00:00:00"/>
    <x v="43"/>
    <s v="Sitco"/>
    <x v="0"/>
    <x v="0"/>
    <x v="7"/>
    <s v="supérieur"/>
    <s v="C1-9"/>
    <m/>
    <s v="oui"/>
    <s v="&quot;Chardo Oc&quot;"/>
    <n v="1"/>
    <n v="0.75"/>
    <n v="0.75"/>
  </r>
  <r>
    <d v="2021-12-14T00:00:00"/>
    <x v="43"/>
    <s v="Sitco"/>
    <x v="0"/>
    <x v="0"/>
    <x v="7"/>
    <s v="bouteille"/>
    <s v="J1-8"/>
    <m/>
    <s v="oui"/>
    <s v="&quot;Chardo Oc&quot;"/>
    <n v="1"/>
    <n v="0.75"/>
    <n v="0.75"/>
  </r>
  <r>
    <d v="2021-12-14T00:00:00"/>
    <x v="43"/>
    <s v="Sitco"/>
    <x v="0"/>
    <x v="0"/>
    <x v="7"/>
    <s v="variétal"/>
    <s v="A1-9"/>
    <m/>
    <s v="oui"/>
    <s v="&quot;Chardo Oc&quot;"/>
    <n v="1"/>
    <n v="0.75"/>
    <n v="0.75"/>
  </r>
  <r>
    <d v="2021-12-14T00:00:00"/>
    <x v="43"/>
    <s v="Sitco"/>
    <x v="1"/>
    <x v="22"/>
    <x v="7"/>
    <m/>
    <s v="G1-2"/>
    <m/>
    <s v="oui"/>
    <s v="&quot;Terre du Midi Rosé&quot;"/>
    <n v="1"/>
    <n v="0.75"/>
    <n v="0.75"/>
  </r>
  <r>
    <d v="2021-12-14T00:00:00"/>
    <x v="43"/>
    <s v="Sitco"/>
    <x v="1"/>
    <x v="92"/>
    <x v="7"/>
    <s v="Cap d'Agde"/>
    <s v="D1-9"/>
    <m/>
    <s v="oui"/>
    <s v="&quot;Terre du Midi Rosé&quot;"/>
    <n v="1"/>
    <n v="0.75"/>
    <n v="0.75"/>
  </r>
  <r>
    <d v="2021-12-14T00:00:00"/>
    <x v="43"/>
    <s v="Sitco"/>
    <x v="1"/>
    <x v="8"/>
    <x v="7"/>
    <s v="bouteille"/>
    <s v="J1-6"/>
    <m/>
    <s v="oui"/>
    <s v="&quot;Cinsault Oc&quot;"/>
    <n v="1"/>
    <n v="0.75"/>
    <n v="0.75"/>
  </r>
  <r>
    <d v="2021-12-14T00:00:00"/>
    <x v="43"/>
    <s v="Sitco"/>
    <x v="1"/>
    <x v="8"/>
    <x v="7"/>
    <s v="bouteille"/>
    <s v="J1-6"/>
    <m/>
    <s v="oui"/>
    <s v="&quot;Gris Oc&quot; = J2-6"/>
    <n v="1"/>
    <n v="0.75"/>
    <n v="0.75"/>
  </r>
  <r>
    <d v="2021-12-14T00:00:00"/>
    <x v="43"/>
    <s v="Sitco"/>
    <x v="1"/>
    <x v="2"/>
    <x v="7"/>
    <s v="vrac"/>
    <s v="E1-5"/>
    <m/>
    <s v="oui"/>
    <s v="&quot;Viognier Oc&quot;"/>
    <n v="1"/>
    <n v="0.75"/>
    <n v="0.75"/>
  </r>
  <r>
    <d v="2021-12-14T00:00:00"/>
    <x v="43"/>
    <s v="Sitco"/>
    <x v="1"/>
    <x v="2"/>
    <x v="7"/>
    <s v="bouteille"/>
    <s v="J1-7"/>
    <m/>
    <s v="oui"/>
    <s v="&quot;Viognier Oc&quot;"/>
    <n v="1"/>
    <n v="0.75"/>
    <n v="0.75"/>
  </r>
  <r>
    <d v="2021-12-15T00:00:00"/>
    <x v="5"/>
    <s v="-"/>
    <x v="0"/>
    <x v="49"/>
    <x v="7"/>
    <s v="bouteille"/>
    <s v="B1-5/B1-7/K1-11"/>
    <m/>
    <s v="oui"/>
    <s v="10% K1-11- 45% B1-5- 45% B1-7"/>
    <n v="1"/>
    <n v="0.75"/>
    <n v="0.75"/>
  </r>
  <r>
    <d v="2021-12-16T00:00:00"/>
    <x v="43"/>
    <s v="Sitco"/>
    <x v="0"/>
    <x v="0"/>
    <x v="7"/>
    <s v="Bouteille"/>
    <s v="J1-8"/>
    <m/>
    <s v="oui"/>
    <s v="&quot;Chardo Oc&quot;"/>
    <n v="2"/>
    <n v="0.75"/>
    <n v="1.5"/>
  </r>
  <r>
    <d v="2021-12-16T00:00:00"/>
    <x v="43"/>
    <s v="Sitco"/>
    <x v="0"/>
    <x v="0"/>
    <x v="7"/>
    <s v="variétal"/>
    <s v="A1-9"/>
    <m/>
    <s v="oui"/>
    <s v="&quot;Chardo Oc&quot;"/>
    <n v="2"/>
    <n v="0.75"/>
    <n v="1.5"/>
  </r>
  <r>
    <d v="2021-12-16T00:00:00"/>
    <x v="43"/>
    <s v="Sitco"/>
    <x v="0"/>
    <x v="0"/>
    <x v="7"/>
    <s v="supérieur"/>
    <s v="F1-0"/>
    <m/>
    <s v="oui"/>
    <s v="&quot;Chardo Oc&quot;"/>
    <n v="2"/>
    <n v="0.75"/>
    <n v="1.5"/>
  </r>
  <r>
    <d v="2021-12-16T00:00:00"/>
    <x v="43"/>
    <s v="Sitco"/>
    <x v="1"/>
    <x v="22"/>
    <x v="7"/>
    <s v="Cap d'Agde GCF"/>
    <s v="E1-0"/>
    <m/>
    <s v="oui"/>
    <s v="&quot;Terre du Midi Rosé&quot;"/>
    <n v="2"/>
    <n v="0.75"/>
    <n v="1.5"/>
  </r>
  <r>
    <d v="2021-12-16T00:00:00"/>
    <x v="43"/>
    <s v="Sitco"/>
    <x v="1"/>
    <x v="22"/>
    <x v="7"/>
    <s v="vrac"/>
    <s v="F2-3"/>
    <m/>
    <s v="oui"/>
    <s v="&quot;Terre du Midi Rosé&quot;"/>
    <n v="2"/>
    <n v="0.75"/>
    <n v="1.5"/>
  </r>
  <r>
    <d v="2021-12-16T00:00:00"/>
    <x v="43"/>
    <s v="Sitco"/>
    <x v="1"/>
    <x v="8"/>
    <x v="7"/>
    <s v="bouteille"/>
    <s v="J1-6"/>
    <m/>
    <s v="oui"/>
    <s v="&quot;Cinsault Oc&quot;"/>
    <n v="2"/>
    <n v="0.75"/>
    <n v="1.5"/>
  </r>
  <r>
    <d v="2021-12-16T00:00:00"/>
    <x v="43"/>
    <s v="Sitco"/>
    <x v="1"/>
    <x v="8"/>
    <x v="7"/>
    <s v="Cap d'Agde GCF"/>
    <s v="E1-0"/>
    <m/>
    <s v="oui"/>
    <s v="&quot;Cinsault Oc&quot; nommé G1-0 pour le client"/>
    <n v="3"/>
    <n v="0.75"/>
    <n v="2.25"/>
  </r>
  <r>
    <d v="2021-12-16T00:00:00"/>
    <x v="43"/>
    <s v="Sitco"/>
    <x v="1"/>
    <x v="19"/>
    <x v="7"/>
    <s v="Bouteille"/>
    <s v="B2-2"/>
    <m/>
    <s v="oui"/>
    <s v="&quot;Oc Gris&quot;"/>
    <n v="2"/>
    <n v="0.75"/>
    <n v="1.5"/>
  </r>
  <r>
    <d v="2021-12-16T00:00:00"/>
    <x v="43"/>
    <s v="Sitco"/>
    <x v="1"/>
    <x v="8"/>
    <x v="7"/>
    <s v="bouteille"/>
    <s v="J1-6"/>
    <m/>
    <s v="oui"/>
    <s v="&quot;Oc Gris&quot; nommé J2-6 pour le client"/>
    <n v="2"/>
    <n v="0.75"/>
    <n v="1.5"/>
  </r>
  <r>
    <d v="2021-12-16T00:00:00"/>
    <x v="43"/>
    <s v="Sitco"/>
    <x v="1"/>
    <x v="2"/>
    <x v="7"/>
    <s v="bouteille"/>
    <s v="J1-7"/>
    <m/>
    <s v="oui"/>
    <s v="&quot;Viognier Oc&quot;"/>
    <n v="2"/>
    <n v="0.75"/>
    <n v="1.5"/>
  </r>
  <r>
    <d v="2021-12-16T00:00:00"/>
    <x v="43"/>
    <s v="Sitco"/>
    <x v="1"/>
    <x v="2"/>
    <x v="7"/>
    <s v="vrac"/>
    <s v="E1-5"/>
    <m/>
    <s v="oui"/>
    <s v="&quot;Viognier Oc&quot;"/>
    <n v="2"/>
    <n v="0.75"/>
    <n v="1.5"/>
  </r>
  <r>
    <d v="2021-12-16T00:00:00"/>
    <x v="107"/>
    <s v="Richemer"/>
    <x v="0"/>
    <x v="18"/>
    <x v="7"/>
    <s v="bouteille"/>
    <s v="F1-3"/>
    <m/>
    <s v="oui"/>
    <s v="5 g/hl PVPP + 0,15mg/l Cu2+ + 3 g/l MCR"/>
    <n v="1"/>
    <n v="0.75"/>
    <n v="0.75"/>
  </r>
  <r>
    <d v="2021-12-16T00:00:00"/>
    <x v="107"/>
    <s v="Richemer"/>
    <x v="0"/>
    <x v="18"/>
    <x v="7"/>
    <s v="bouteille"/>
    <s v="F1-3"/>
    <m/>
    <s v="oui"/>
    <s v="5 g/hl PVPP + 0,15mg/l Cu2+ + 4 g/l MCR"/>
    <n v="1"/>
    <n v="0.75"/>
    <n v="0.75"/>
  </r>
  <r>
    <d v="2021-12-16T00:00:00"/>
    <x v="107"/>
    <s v="Richemer"/>
    <x v="0"/>
    <x v="0"/>
    <x v="7"/>
    <s v="variétal"/>
    <s v="A1-9"/>
    <m/>
    <s v="oui"/>
    <s v="7,5 g/hl PVPP + 0,2 mg/l Cu2+ + 3 g/l MCR"/>
    <n v="1"/>
    <n v="0.75"/>
    <n v="0.75"/>
  </r>
  <r>
    <d v="2021-12-16T00:00:00"/>
    <x v="107"/>
    <s v="Richemer"/>
    <x v="0"/>
    <x v="0"/>
    <x v="7"/>
    <s v="variétal"/>
    <s v="A1-9"/>
    <m/>
    <s v="oui"/>
    <s v="7,5 g/hl PVPP + 0,2 mg/l Cu2+ + 3 g/l MCR + 25 g/hl ac tartrique"/>
    <n v="1"/>
    <n v="0.75"/>
    <n v="0.75"/>
  </r>
  <r>
    <d v="2021-12-16T00:00:00"/>
    <x v="107"/>
    <s v="Richemer"/>
    <x v="0"/>
    <x v="0"/>
    <x v="7"/>
    <s v="-"/>
    <s v="-"/>
    <m/>
    <s v="oui"/>
    <s v="90% A1-9 + 10% C1-9 + 7,5 g/hl PVPP + 0,25 mg/l Cu2+ + 2,5 g/l MCR"/>
    <n v="1"/>
    <n v="0.75"/>
    <n v="0.75"/>
  </r>
  <r>
    <d v="2021-12-16T00:00:00"/>
    <x v="107"/>
    <s v="Richemer"/>
    <x v="0"/>
    <x v="0"/>
    <x v="7"/>
    <s v="-"/>
    <s v="-"/>
    <m/>
    <s v="oui"/>
    <s v="90% A1-9 + 10% C1-9 + 7,5 g/hl PVPP + 0,25 mg/l Cu2+ + 2,5 g/l MCR + 25 g/hl ac tartrique"/>
    <n v="1"/>
    <n v="0.75"/>
    <n v="0.75"/>
  </r>
  <r>
    <d v="2021-12-20T00:00:00"/>
    <x v="5"/>
    <s v="-"/>
    <x v="0"/>
    <x v="93"/>
    <x v="7"/>
    <s v="-"/>
    <s v="G1-3/B1-7"/>
    <m/>
    <s v="oui"/>
    <s v="76% G1-3/ 24% B1-7"/>
    <n v="1"/>
    <n v="0.75"/>
    <n v="0.75"/>
  </r>
  <r>
    <d v="2022-01-03T00:00:00"/>
    <x v="5"/>
    <s v="-"/>
    <x v="1"/>
    <x v="94"/>
    <x v="7"/>
    <s v="Cap d'Agde"/>
    <s v="A1-10"/>
    <m/>
    <s v="oui"/>
    <s v="-"/>
    <n v="3"/>
    <n v="0.75"/>
    <n v="2.25"/>
  </r>
  <r>
    <d v="2022-01-04T00:00:00"/>
    <x v="9"/>
    <s v="-"/>
    <x v="0"/>
    <x v="0"/>
    <x v="7"/>
    <s v="supérieur"/>
    <s v="E1-4"/>
    <m/>
    <s v="oui"/>
    <s v="-"/>
    <n v="3"/>
    <n v="0.75"/>
    <n v="2.25"/>
  </r>
  <r>
    <d v="2022-01-04T00:00:00"/>
    <x v="9"/>
    <s v="-"/>
    <x v="0"/>
    <x v="1"/>
    <x v="7"/>
    <s v="variétal"/>
    <s v="A1-6"/>
    <m/>
    <s v="oui"/>
    <s v="-"/>
    <n v="3"/>
    <n v="0.75"/>
    <n v="2.25"/>
  </r>
  <r>
    <d v="2022-01-04T00:00:00"/>
    <x v="2"/>
    <s v="-"/>
    <x v="0"/>
    <x v="0"/>
    <x v="7"/>
    <s v="supérieur"/>
    <s v="E1-4"/>
    <m/>
    <s v="oui"/>
    <s v="-"/>
    <n v="2"/>
    <n v="0.75"/>
    <n v="1.5"/>
  </r>
  <r>
    <d v="2022-01-04T00:00:00"/>
    <x v="2"/>
    <s v="-"/>
    <x v="0"/>
    <x v="1"/>
    <x v="7"/>
    <s v="variétal"/>
    <s v="A1-6"/>
    <m/>
    <s v="oui"/>
    <s v="-"/>
    <n v="2"/>
    <n v="0.75"/>
    <n v="1.5"/>
  </r>
  <r>
    <d v="2022-01-04T00:00:00"/>
    <x v="2"/>
    <s v="-"/>
    <x v="0"/>
    <x v="1"/>
    <x v="7"/>
    <s v="supérieur"/>
    <s v="B1-7"/>
    <m/>
    <s v="oui"/>
    <s v="-"/>
    <n v="2"/>
    <n v="0.75"/>
    <n v="1.5"/>
  </r>
  <r>
    <d v="2022-01-04T00:00:00"/>
    <x v="2"/>
    <s v="-"/>
    <x v="0"/>
    <x v="0"/>
    <x v="7"/>
    <s v="variétal"/>
    <s v="A1_9"/>
    <m/>
    <s v="oui"/>
    <s v="-"/>
    <n v="2"/>
    <n v="0.75"/>
    <n v="1.5"/>
  </r>
  <r>
    <d v="2022-01-07T00:00:00"/>
    <x v="108"/>
    <s v="Claude Serra"/>
    <x v="0"/>
    <x v="0"/>
    <x v="7"/>
    <s v="variétal"/>
    <s v="A1-9/E1-4"/>
    <m/>
    <s v="oui"/>
    <s v="lot A: 80% A1-9 20% E1-4"/>
    <n v="3"/>
    <n v="0.75"/>
    <n v="2.25"/>
  </r>
  <r>
    <d v="2022-01-07T00:00:00"/>
    <x v="108"/>
    <s v="Claude Serra"/>
    <x v="0"/>
    <x v="0"/>
    <x v="7"/>
    <s v="variétal"/>
    <s v="A1-9/A2-7"/>
    <m/>
    <s v="oui"/>
    <s v="lot B: 90% A1-9 10% A2-7"/>
    <n v="3"/>
    <n v="0.75"/>
    <n v="2.25"/>
  </r>
  <r>
    <d v="2022-01-07T00:00:00"/>
    <x v="109"/>
    <s v="-"/>
    <x v="0"/>
    <x v="93"/>
    <x v="7"/>
    <s v="-"/>
    <s v="A1-8/A2-1"/>
    <m/>
    <s v="oui"/>
    <s v="76% A1-8/24% A2-1"/>
    <n v="1"/>
    <n v="0.75"/>
    <n v="0.75"/>
  </r>
  <r>
    <d v="2022-01-10T00:00:00"/>
    <x v="108"/>
    <s v="Claude Serra"/>
    <x v="1"/>
    <x v="94"/>
    <x v="7"/>
    <s v="générique"/>
    <s v="A1-10/B2-4"/>
    <m/>
    <s v="oui"/>
    <s v="lot A: 80% A1-10 20% B2-4"/>
    <n v="3"/>
    <n v="0.75"/>
    <n v="2.25"/>
  </r>
  <r>
    <d v="2022-01-10T00:00:00"/>
    <x v="108"/>
    <s v="Claude Serra"/>
    <x v="1"/>
    <x v="94"/>
    <x v="7"/>
    <s v="générique"/>
    <s v="A1-10/B2-4"/>
    <m/>
    <s v="oui"/>
    <s v="lot B: 70% A1-10 30% B2-4"/>
    <n v="3"/>
    <n v="0.75"/>
    <n v="2.25"/>
  </r>
  <r>
    <d v="2022-01-10T00:00:00"/>
    <x v="107"/>
    <s v="Richemer"/>
    <x v="0"/>
    <x v="0"/>
    <x v="7"/>
    <s v="variétal"/>
    <s v="A1-9"/>
    <m/>
    <s v="oui"/>
    <s v="7,5g/hL PVPP/ 0,2 mg/L Cu2+/ 3g/L MCR"/>
    <n v="2"/>
    <n v="0.75"/>
    <n v="1.5"/>
  </r>
  <r>
    <d v="2022-01-10T00:00:00"/>
    <x v="107"/>
    <s v="Richemer"/>
    <x v="0"/>
    <x v="0"/>
    <x v="7"/>
    <s v="variétal"/>
    <s v="A1-9"/>
    <m/>
    <s v="oui"/>
    <s v="7,5g/hL PVPP/ 0,2 mg/L Cu2+/ 3g/L MCR/ 25g/hL H2T"/>
    <n v="2"/>
    <n v="0.75"/>
    <n v="1.5"/>
  </r>
  <r>
    <d v="2022-01-11T00:00:00"/>
    <x v="5"/>
    <s v="-"/>
    <x v="0"/>
    <x v="6"/>
    <x v="7"/>
    <s v="-"/>
    <s v="B1-4"/>
    <m/>
    <s v="oui"/>
    <m/>
    <n v="18"/>
    <n v="0.75"/>
    <n v="13.5"/>
  </r>
  <r>
    <d v="2022-01-11T00:00:00"/>
    <x v="5"/>
    <s v="-"/>
    <x v="1"/>
    <x v="94"/>
    <x v="7"/>
    <s v="Cap d'Agde"/>
    <s v="B1-10"/>
    <m/>
    <s v="oui"/>
    <m/>
    <n v="23"/>
    <n v="0.75"/>
    <n v="17.25"/>
  </r>
  <r>
    <d v="2022-01-11T00:00:00"/>
    <x v="5"/>
    <s v="-"/>
    <x v="0"/>
    <x v="0"/>
    <x v="7"/>
    <s v="supérieur"/>
    <s v="G1-2"/>
    <m/>
    <s v="oui"/>
    <m/>
    <n v="2"/>
    <n v="0.75"/>
    <n v="1.5"/>
  </r>
  <r>
    <d v="2022-01-12T00:00:00"/>
    <x v="110"/>
    <s v="Richemer"/>
    <x v="0"/>
    <x v="21"/>
    <x v="7"/>
    <s v="-"/>
    <s v="A2-7"/>
    <m/>
    <s v="oui"/>
    <s v="1 g/l MCR + 1 goutte cuivre"/>
    <n v="1"/>
    <n v="0.75"/>
    <n v="0.75"/>
  </r>
  <r>
    <d v="2022-01-12T00:00:00"/>
    <x v="110"/>
    <s v="Richemer"/>
    <x v="0"/>
    <x v="95"/>
    <x v="7"/>
    <s v="Cave du Port"/>
    <s v="K1-16"/>
    <m/>
    <s v="oui"/>
    <s v="1 g/l MCR + 1 goutte cuivre"/>
    <n v="1"/>
    <n v="0.75"/>
    <n v="0.75"/>
  </r>
  <r>
    <d v="2022-01-12T00:00:00"/>
    <x v="110"/>
    <s v="Richemer"/>
    <x v="0"/>
    <x v="68"/>
    <x v="7"/>
    <n v="2"/>
    <s v="-"/>
    <m/>
    <s v="oui"/>
    <s v="50% B2-1 (T/M) + 50% J1-8 (Chardo bouteille)"/>
    <n v="1"/>
    <n v="0.75"/>
    <n v="0.75"/>
  </r>
  <r>
    <d v="2022-01-12T00:00:00"/>
    <x v="110"/>
    <s v="Richemer"/>
    <x v="0"/>
    <x v="61"/>
    <x v="7"/>
    <s v="-"/>
    <s v="-"/>
    <m/>
    <s v="oui"/>
    <s v="70% B2-1 (T/M) + 30% E2-2 (Sauv bouteille)"/>
    <n v="1"/>
    <n v="0.75"/>
    <n v="0.75"/>
  </r>
  <r>
    <d v="2022-01-12T00:00:00"/>
    <x v="3"/>
    <s v="-"/>
    <x v="0"/>
    <x v="1"/>
    <x v="7"/>
    <s v="Supérieur"/>
    <s v="B1-7"/>
    <m/>
    <s v="oui"/>
    <m/>
    <n v="8"/>
    <n v="0.75"/>
    <n v="6"/>
  </r>
  <r>
    <d v="2022-01-13T00:00:00"/>
    <x v="2"/>
    <s v="-"/>
    <x v="0"/>
    <x v="1"/>
    <x v="7"/>
    <s v="Supérieur"/>
    <s v="B1-7"/>
    <m/>
    <s v="oui"/>
    <m/>
    <n v="2"/>
    <n v="0.75"/>
    <n v="1.5"/>
  </r>
  <r>
    <d v="2022-01-19T00:00:00"/>
    <x v="2"/>
    <s v="-"/>
    <x v="0"/>
    <x v="0"/>
    <x v="7"/>
    <s v="supérieur"/>
    <s v="F1-0"/>
    <m/>
    <s v="oui"/>
    <m/>
    <n v="10"/>
    <n v="0.75"/>
    <n v="7.5"/>
  </r>
  <r>
    <d v="2022-01-20T00:00:00"/>
    <x v="2"/>
    <s v="-"/>
    <x v="2"/>
    <x v="13"/>
    <x v="7"/>
    <s v="vrac"/>
    <s v="F2-2"/>
    <m/>
    <s v="oui"/>
    <m/>
    <n v="2"/>
    <n v="0.75"/>
    <n v="1.5"/>
  </r>
  <r>
    <d v="2022-01-20T00:00:00"/>
    <x v="2"/>
    <s v="-"/>
    <x v="0"/>
    <x v="6"/>
    <x v="7"/>
    <s v="Oc Blanc"/>
    <s v="A1-7"/>
    <m/>
    <s v="oui"/>
    <m/>
    <n v="6"/>
    <n v="0.75"/>
    <n v="4.5"/>
  </r>
  <r>
    <d v="2022-01-20T00:00:00"/>
    <x v="5"/>
    <s v="-"/>
    <x v="0"/>
    <x v="0"/>
    <x v="7"/>
    <s v="supérieur"/>
    <s v="F1-0"/>
    <m/>
    <s v="oui"/>
    <m/>
    <n v="4"/>
    <n v="0.75"/>
    <n v="3"/>
  </r>
  <r>
    <d v="2022-01-24T00:00:00"/>
    <x v="54"/>
    <s v="Richemer"/>
    <x v="0"/>
    <x v="0"/>
    <x v="7"/>
    <s v="Petit degré"/>
    <s v="A1-3"/>
    <m/>
    <s v="oui"/>
    <m/>
    <n v="1"/>
    <n v="0.75"/>
    <n v="0.75"/>
  </r>
  <r>
    <d v="2022-01-24T00:00:00"/>
    <x v="2"/>
    <s v="-"/>
    <x v="0"/>
    <x v="0"/>
    <x v="7"/>
    <s v="variétal"/>
    <s v="A1-9"/>
    <m/>
    <s v="oui"/>
    <m/>
    <n v="4"/>
    <n v="0.75"/>
    <n v="3"/>
  </r>
  <r>
    <d v="2022-01-24T00:00:00"/>
    <x v="2"/>
    <s v="-"/>
    <x v="0"/>
    <x v="0"/>
    <x v="6"/>
    <m/>
    <s v="J2-9"/>
    <m/>
    <s v="oui"/>
    <m/>
    <n v="2"/>
    <n v="0.75"/>
    <n v="1.5"/>
  </r>
  <r>
    <d v="2022-01-24T00:00:00"/>
    <x v="111"/>
    <s v="Richemer"/>
    <x v="0"/>
    <x v="0"/>
    <x v="7"/>
    <s v="BIB"/>
    <s v="J1-8"/>
    <m/>
    <s v="oui"/>
    <m/>
    <n v="1"/>
    <n v="0.75"/>
    <n v="0.75"/>
  </r>
  <r>
    <d v="2022-01-24T00:00:00"/>
    <x v="111"/>
    <s v="Richemer"/>
    <x v="1"/>
    <x v="4"/>
    <x v="7"/>
    <s v="BIB"/>
    <s v="J1-9"/>
    <m/>
    <s v="oui"/>
    <m/>
    <n v="1"/>
    <n v="0.75"/>
    <n v="0.75"/>
  </r>
  <r>
    <d v="2022-01-24T00:00:00"/>
    <x v="111"/>
    <s v="Richemer"/>
    <x v="0"/>
    <x v="96"/>
    <x v="7"/>
    <s v="BIB"/>
    <s v="E2-1"/>
    <m/>
    <s v="oui"/>
    <m/>
    <n v="1"/>
    <n v="0.75"/>
    <n v="0.75"/>
  </r>
  <r>
    <d v="2022-01-24T00:00:00"/>
    <x v="111"/>
    <s v="Richemer"/>
    <x v="2"/>
    <x v="7"/>
    <x v="7"/>
    <s v="BIB"/>
    <s v="I1-2"/>
    <m/>
    <s v="oui"/>
    <m/>
    <n v="1"/>
    <n v="0.75"/>
    <n v="0.75"/>
  </r>
  <r>
    <d v="2022-01-24T00:00:00"/>
    <x v="111"/>
    <s v="Richemer"/>
    <x v="0"/>
    <x v="18"/>
    <x v="7"/>
    <s v="BIB"/>
    <s v="L1-6"/>
    <m/>
    <s v="oui"/>
    <m/>
    <n v="1"/>
    <n v="0.75"/>
    <n v="0.75"/>
  </r>
  <r>
    <d v="2022-01-31T00:00:00"/>
    <x v="108"/>
    <s v="-"/>
    <x v="0"/>
    <x v="0"/>
    <x v="7"/>
    <m/>
    <s v="A1-9/F1-0"/>
    <m/>
    <s v="oui"/>
    <s v="lot A"/>
    <n v="24"/>
    <n v="0.75"/>
    <n v="18"/>
  </r>
  <r>
    <d v="2022-01-31T00:00:00"/>
    <x v="2"/>
    <s v="-"/>
    <x v="0"/>
    <x v="0"/>
    <x v="7"/>
    <s v="variétal"/>
    <s v="A1-9"/>
    <m/>
    <s v="oui"/>
    <m/>
    <n v="6"/>
    <n v="0.75"/>
    <n v="4.5"/>
  </r>
  <r>
    <d v="2022-01-31T00:00:00"/>
    <x v="2"/>
    <s v="-"/>
    <x v="0"/>
    <x v="0"/>
    <x v="7"/>
    <s v="supérieur"/>
    <s v="F1-0"/>
    <m/>
    <s v="oui"/>
    <m/>
    <n v="6"/>
    <n v="0.75"/>
    <n v="4.5"/>
  </r>
  <r>
    <d v="2022-01-31T00:00:00"/>
    <x v="2"/>
    <s v="-"/>
    <x v="0"/>
    <x v="1"/>
    <x v="7"/>
    <s v="supérieur"/>
    <s v="G1-0"/>
    <m/>
    <s v="oui"/>
    <m/>
    <n v="1"/>
    <n v="0.75"/>
    <n v="0.75"/>
  </r>
  <r>
    <d v="2022-02-02T00:00:00"/>
    <x v="21"/>
    <s v="Richemer"/>
    <x v="2"/>
    <x v="94"/>
    <x v="7"/>
    <s v="Oc"/>
    <s v="B2-4"/>
    <m/>
    <s v="oui"/>
    <m/>
    <n v="2"/>
    <n v="0.75"/>
    <n v="1.5"/>
  </r>
  <r>
    <d v="2022-02-04T00:00:00"/>
    <x v="5"/>
    <s v="-"/>
    <x v="0"/>
    <x v="6"/>
    <x v="7"/>
    <s v="Thau"/>
    <s v="G1-6"/>
    <m/>
    <s v="oui"/>
    <m/>
    <n v="6"/>
    <n v="0.75"/>
    <n v="4.5"/>
  </r>
  <r>
    <d v="2022-02-04T00:00:00"/>
    <x v="5"/>
    <s v="-"/>
    <x v="0"/>
    <x v="49"/>
    <x v="7"/>
    <s v="-"/>
    <s v="B2-7"/>
    <m/>
    <s v="oui"/>
    <m/>
    <n v="2"/>
    <n v="0.75"/>
    <n v="1.5"/>
  </r>
  <r>
    <d v="2022-02-07T00:00:00"/>
    <x v="112"/>
    <s v="Richemer"/>
    <x v="0"/>
    <x v="3"/>
    <x v="7"/>
    <s v="bouteille"/>
    <s v="L1-10"/>
    <m/>
    <s v="oui"/>
    <s v="4 g/L MCR"/>
    <n v="1"/>
    <n v="0.75"/>
    <n v="0.75"/>
  </r>
  <r>
    <d v="2022-02-07T00:00:00"/>
    <x v="112"/>
    <s v="Richemer"/>
    <x v="0"/>
    <x v="97"/>
    <x v="7"/>
    <s v="bouteille"/>
    <s v="K1-8"/>
    <m/>
    <s v="oui"/>
    <s v="1 g/l MCR + 1 goutte cuivre + 5 cL/hL Sweetgum"/>
    <n v="1"/>
    <n v="0.75"/>
    <n v="0.75"/>
  </r>
  <r>
    <d v="2022-02-08T00:00:00"/>
    <x v="2"/>
    <s v="-"/>
    <x v="0"/>
    <x v="1"/>
    <x v="7"/>
    <s v="Variétal"/>
    <s v="G1-0"/>
    <m/>
    <s v="oui"/>
    <m/>
    <n v="1"/>
    <n v="0.75"/>
    <n v="0.75"/>
  </r>
  <r>
    <d v="2022-02-09T00:00:00"/>
    <x v="20"/>
    <s v="-"/>
    <x v="0"/>
    <x v="0"/>
    <x v="7"/>
    <s v="bouteille"/>
    <s v="J1-8"/>
    <m/>
    <s v="oui"/>
    <m/>
    <n v="1"/>
    <n v="0.75"/>
    <n v="0.75"/>
  </r>
  <r>
    <d v="2022-02-09T00:00:00"/>
    <x v="20"/>
    <s v="-"/>
    <x v="0"/>
    <x v="2"/>
    <x v="7"/>
    <s v="bouteille"/>
    <s v="K1-11"/>
    <m/>
    <s v="oui"/>
    <m/>
    <n v="2"/>
    <n v="0.75"/>
    <n v="1.5"/>
  </r>
  <r>
    <d v="2022-02-09T00:00:00"/>
    <x v="20"/>
    <s v="-"/>
    <x v="1"/>
    <x v="94"/>
    <x v="7"/>
    <s v="Buvette"/>
    <s v="L1-8"/>
    <m/>
    <s v="oui"/>
    <m/>
    <n v="1"/>
    <n v="0.75"/>
    <n v="0.75"/>
  </r>
  <r>
    <d v="2022-02-09T00:00:00"/>
    <x v="20"/>
    <s v="-"/>
    <x v="1"/>
    <x v="51"/>
    <x v="7"/>
    <s v="bouteille"/>
    <s v="J1-4"/>
    <m/>
    <s v="oui"/>
    <m/>
    <n v="1"/>
    <n v="0.75"/>
    <n v="0.75"/>
  </r>
  <r>
    <d v="2022-02-09T00:00:00"/>
    <x v="20"/>
    <s v="-"/>
    <x v="2"/>
    <x v="4"/>
    <x v="7"/>
    <s v="bouteille"/>
    <s v="J1-7"/>
    <m/>
    <s v="oui"/>
    <m/>
    <n v="1"/>
    <n v="0.75"/>
    <n v="0.75"/>
  </r>
  <r>
    <d v="2022-02-09T00:00:00"/>
    <x v="20"/>
    <s v="-"/>
    <x v="2"/>
    <x v="7"/>
    <x v="7"/>
    <s v="bouteille"/>
    <s v="B1-4"/>
    <m/>
    <s v="oui"/>
    <m/>
    <n v="1"/>
    <n v="0.75"/>
    <n v="0.75"/>
  </r>
  <r>
    <d v="2022-02-09T00:00:00"/>
    <x v="20"/>
    <s v="-"/>
    <x v="0"/>
    <x v="6"/>
    <x v="7"/>
    <s v="bouteille"/>
    <s v="B2-1"/>
    <m/>
    <s v="oui"/>
    <m/>
    <n v="1"/>
    <n v="0.75"/>
    <n v="0.75"/>
  </r>
  <r>
    <d v="2022-02-10T00:00:00"/>
    <x v="54"/>
    <s v="Richemer"/>
    <x v="0"/>
    <x v="0"/>
    <x v="7"/>
    <s v="Petit degré"/>
    <s v="A1-3/A2-3"/>
    <m/>
    <s v="oui"/>
    <s v="90% A1-3 - 10% A2-3"/>
    <n v="2"/>
    <n v="0.75"/>
    <n v="1.5"/>
  </r>
  <r>
    <d v="2022-02-21T00:00:00"/>
    <x v="2"/>
    <s v="-"/>
    <x v="1"/>
    <x v="94"/>
    <x v="7"/>
    <s v="Côtes de Thau"/>
    <s v="G1-3"/>
    <m/>
    <s v="oui"/>
    <m/>
    <n v="2"/>
    <n v="0.75"/>
    <n v="1.5"/>
  </r>
  <r>
    <d v="2022-02-24T00:00:00"/>
    <x v="5"/>
    <s v="-"/>
    <x v="0"/>
    <x v="6"/>
    <x v="7"/>
    <s v="Côtes de Thau"/>
    <s v="E1-2"/>
    <m/>
    <s v="oui"/>
    <m/>
    <n v="2"/>
    <n v="0.75"/>
    <n v="1.5"/>
  </r>
  <r>
    <d v="2022-02-28T00:00:00"/>
    <x v="2"/>
    <s v="-"/>
    <x v="0"/>
    <x v="0"/>
    <x v="7"/>
    <s v="variétal"/>
    <s v="A1-7"/>
    <m/>
    <s v="oui"/>
    <m/>
    <n v="2"/>
    <n v="0.75"/>
    <n v="1.5"/>
  </r>
  <r>
    <d v="2022-02-28T00:00:00"/>
    <x v="2"/>
    <s v="-"/>
    <x v="1"/>
    <x v="94"/>
    <x v="7"/>
    <s v="générique"/>
    <s v="G1-3"/>
    <m/>
    <s v="oui"/>
    <m/>
    <n v="2"/>
    <n v="0.75"/>
    <n v="1.5"/>
  </r>
  <r>
    <d v="2022-03-01T00:00:00"/>
    <x v="43"/>
    <s v="-"/>
    <x v="2"/>
    <x v="98"/>
    <x v="7"/>
    <s v="vrac"/>
    <s v="F2-2"/>
    <m/>
    <s v="oui"/>
    <m/>
    <n v="2"/>
    <n v="0.75"/>
    <n v="1.5"/>
  </r>
  <r>
    <d v="2022-03-07T00:00:00"/>
    <x v="113"/>
    <s v="Richemer"/>
    <x v="0"/>
    <x v="61"/>
    <x v="7"/>
    <s v="-"/>
    <s v="B2-1/J1-11"/>
    <m/>
    <s v="oui"/>
    <s v="70% B2-1 (T/M) + 30% J1-11 (Sauv bouteille)"/>
    <n v="1"/>
    <n v="0.75"/>
    <n v="0.75"/>
  </r>
  <r>
    <d v="2022-03-07T00:00:00"/>
    <x v="113"/>
    <s v="Richemer"/>
    <x v="1"/>
    <x v="99"/>
    <x v="7"/>
    <s v="bouteille"/>
    <s v="F1-2"/>
    <m/>
    <s v="oui"/>
    <m/>
    <n v="1"/>
    <n v="0.75"/>
    <n v="0.75"/>
  </r>
  <r>
    <d v="2022-03-07T00:00:00"/>
    <x v="113"/>
    <s v="Richemer"/>
    <x v="2"/>
    <x v="7"/>
    <x v="7"/>
    <s v="bouteille"/>
    <s v="L1-12"/>
    <m/>
    <s v="oui"/>
    <m/>
    <n v="1"/>
    <n v="0.75"/>
    <n v="0.75"/>
  </r>
  <r>
    <d v="2022-03-14T00:00:00"/>
    <x v="2"/>
    <s v="-"/>
    <x v="2"/>
    <x v="13"/>
    <x v="7"/>
    <s v="vrac"/>
    <s v="B1-6/F2-2/E1-3"/>
    <m/>
    <s v="oui"/>
    <s v="40% F2-2/30% B1-6/ 30% E1-3"/>
    <n v="2"/>
    <n v="0.75"/>
    <n v="1.5"/>
  </r>
  <r>
    <d v="2022-03-30T00:00:00"/>
    <x v="2"/>
    <s v="-"/>
    <x v="0"/>
    <x v="92"/>
    <x v="7"/>
    <s v="vrac"/>
    <s v="E1-2"/>
    <m/>
    <s v="oui"/>
    <m/>
    <n v="1"/>
    <n v="0.75"/>
    <n v="0.75"/>
  </r>
  <r>
    <d v="2022-03-30T00:00:00"/>
    <x v="2"/>
    <s v="-"/>
    <x v="1"/>
    <x v="92"/>
    <x v="7"/>
    <s v="vrac"/>
    <s v="D2-7"/>
    <m/>
    <s v="oui"/>
    <m/>
    <n v="1"/>
    <n v="0.75"/>
    <n v="0.75"/>
  </r>
  <r>
    <d v="2022-04-01T00:00:00"/>
    <x v="107"/>
    <s v="Richemer"/>
    <x v="0"/>
    <x v="61"/>
    <x v="7"/>
    <s v="-"/>
    <s v="B2-3/ L1-10"/>
    <m/>
    <s v="oui"/>
    <s v="65% B2-3/35% L1-10"/>
    <n v="6"/>
    <n v="0.75"/>
    <n v="4.5"/>
  </r>
  <r>
    <d v="2022-04-01T00:00:00"/>
    <x v="107"/>
    <s v="Richemer"/>
    <x v="0"/>
    <x v="18"/>
    <x v="7"/>
    <s v="-"/>
    <s v="J1-5"/>
    <m/>
    <s v="oui"/>
    <s v="MCR 3g/L 01,15 mg/L Cu2+ 10cL/hL CMC"/>
    <n v="6"/>
    <n v="0.75"/>
    <n v="4.5"/>
  </r>
  <r>
    <d v="2022-04-01T00:00:00"/>
    <x v="107"/>
    <s v="Richemer"/>
    <x v="0"/>
    <x v="61"/>
    <x v="7"/>
    <s v="-"/>
    <s v="B2-3/ L1-10"/>
    <m/>
    <s v="oui"/>
    <s v="65% B2-3/35% L1-10"/>
    <n v="2"/>
    <n v="0.75"/>
    <n v="1.5"/>
  </r>
  <r>
    <d v="2022-04-01T00:00:00"/>
    <x v="5"/>
    <s v="-"/>
    <x v="0"/>
    <x v="92"/>
    <x v="7"/>
    <s v="vrac"/>
    <s v="E2-4"/>
    <m/>
    <s v="oui"/>
    <m/>
    <n v="3"/>
    <n v="0.75"/>
    <n v="2.25"/>
  </r>
  <r>
    <d v="2022-04-01T00:00:00"/>
    <x v="5"/>
    <s v="-"/>
    <x v="0"/>
    <x v="100"/>
    <x v="7"/>
    <s v="vrac"/>
    <s v="B1-4"/>
    <m/>
    <s v="oui"/>
    <m/>
    <n v="1"/>
    <n v="0.75"/>
    <n v="0.75"/>
  </r>
  <r>
    <d v="2022-04-01T00:00:00"/>
    <x v="97"/>
    <s v="-"/>
    <x v="0"/>
    <x v="1"/>
    <x v="7"/>
    <s v="supérieur"/>
    <s v="E2-2"/>
    <m/>
    <s v="oui"/>
    <m/>
    <n v="2"/>
    <n v="0.75"/>
    <n v="1.5"/>
  </r>
  <r>
    <d v="2022-04-01T00:00:00"/>
    <x v="97"/>
    <s v="-"/>
    <x v="0"/>
    <x v="1"/>
    <x v="7"/>
    <s v="variétal"/>
    <s v="F1-0"/>
    <m/>
    <s v="oui"/>
    <m/>
    <n v="2"/>
    <n v="0.75"/>
    <n v="1.5"/>
  </r>
  <r>
    <d v="2022-04-03T00:00:00"/>
    <x v="65"/>
    <s v="-"/>
    <x v="0"/>
    <x v="3"/>
    <x v="8"/>
    <s v="vrac"/>
    <s v="B2-4"/>
    <m/>
    <s v="oui"/>
    <m/>
    <n v="2"/>
    <n v="0.75"/>
    <n v="1.5"/>
  </r>
  <r>
    <d v="2022-04-03T00:00:00"/>
    <x v="2"/>
    <s v="-"/>
    <x v="0"/>
    <x v="17"/>
    <x v="8"/>
    <s v="vrac"/>
    <s v="B1-8"/>
    <m/>
    <s v="oui"/>
    <s v="&quot;Terret blanc&quot;"/>
    <n v="2"/>
    <n v="0.75"/>
    <n v="1.5"/>
  </r>
  <r>
    <d v="2022-04-05T00:00:00"/>
    <x v="114"/>
    <s v="Richemer"/>
    <x v="0"/>
    <x v="61"/>
    <x v="7"/>
    <s v="-"/>
    <s v="B2-3/L1-10"/>
    <m/>
    <s v="oui"/>
    <s v="65% B2-3/35% L1-10"/>
    <n v="1"/>
    <n v="0.75"/>
    <n v="0.75"/>
  </r>
  <r>
    <d v="2022-04-06T00:00:00"/>
    <x v="115"/>
    <s v="-"/>
    <x v="1"/>
    <x v="101"/>
    <x v="7"/>
    <s v="-"/>
    <s v="B1-4"/>
    <m/>
    <s v="oui"/>
    <m/>
    <n v="1"/>
    <n v="0.75"/>
    <n v="0.75"/>
  </r>
  <r>
    <d v="2022-04-08T00:00:00"/>
    <x v="116"/>
    <s v="Richemer"/>
    <x v="2"/>
    <x v="80"/>
    <x v="7"/>
    <s v="fruité boisé"/>
    <s v="J1-10/ Amiel"/>
    <m/>
    <s v="oui"/>
    <s v="75% J1-10-25% Amiel 2,5 g/hL Trutan Rf, 4g/L MCR, 10 cL/hL Sweetgum"/>
    <n v="3"/>
    <n v="0.75"/>
    <n v="2.25"/>
  </r>
  <r>
    <d v="2022-04-08T00:00:00"/>
    <x v="92"/>
    <s v="Richemer"/>
    <x v="2"/>
    <x v="80"/>
    <x v="7"/>
    <s v="fruité boisé"/>
    <s v="J1-10/ Amiel"/>
    <m/>
    <s v="oui"/>
    <s v="75% J1-10-25% Amiel 2,5 g/hL Trutan Rf, 4g/L MCR, 10 cL/hL Sweetgum"/>
    <n v="1"/>
    <n v="0.75"/>
    <n v="0.75"/>
  </r>
  <r>
    <d v="2022-04-08T00:00:00"/>
    <x v="92"/>
    <s v="Richemer"/>
    <x v="2"/>
    <x v="80"/>
    <x v="7"/>
    <s v="fruiré"/>
    <s v="J1-10/ Amiel"/>
    <m/>
    <s v="oui"/>
    <s v="25% J1-10-75% Amiel 2,5 g/hL Trutan Rf, 2g/L MCR, 10 cL/hL Sweetgum"/>
    <n v="1"/>
    <n v="0.75"/>
    <n v="0.75"/>
  </r>
  <r>
    <d v="2022-04-12T00:00:00"/>
    <x v="97"/>
    <s v="-"/>
    <x v="0"/>
    <x v="1"/>
    <x v="7"/>
    <s v="supérieur"/>
    <s v="E2-3"/>
    <m/>
    <s v="oui"/>
    <m/>
    <n v="12"/>
    <n v="0.75"/>
    <n v="9"/>
  </r>
  <r>
    <d v="2022-05-31T00:00:00"/>
    <x v="5"/>
    <s v="-"/>
    <x v="0"/>
    <x v="17"/>
    <x v="7"/>
    <s v="Thau Blanc"/>
    <s v="A1-7"/>
    <m/>
    <s v="oui"/>
    <m/>
    <n v="4"/>
    <n v="0.75"/>
    <n v="3"/>
  </r>
  <r>
    <d v="2022-06-01T00:00:00"/>
    <x v="3"/>
    <s v="-"/>
    <x v="0"/>
    <x v="1"/>
    <x v="7"/>
    <s v="supérieur"/>
    <s v="A2-2"/>
    <m/>
    <s v="oui"/>
    <m/>
    <n v="5"/>
    <n v="0.75"/>
    <n v="3.75"/>
  </r>
  <r>
    <d v="2022-06-02T00:00:00"/>
    <x v="97"/>
    <s v="-"/>
    <x v="0"/>
    <x v="1"/>
    <x v="7"/>
    <s v="supérieur"/>
    <s v="A2-2"/>
    <m/>
    <s v="oui"/>
    <m/>
    <n v="4"/>
    <n v="0.75"/>
    <n v="3"/>
  </r>
  <r>
    <d v="2022-06-23T00:00:00"/>
    <x v="17"/>
    <s v="-"/>
    <x v="0"/>
    <x v="3"/>
    <x v="7"/>
    <s v="Muscat"/>
    <s v="B2-3"/>
    <m/>
    <s v="oui"/>
    <m/>
    <n v="1"/>
    <n v="0.75"/>
    <n v="0.75"/>
  </r>
  <r>
    <d v="2022-06-23T00:00:00"/>
    <x v="17"/>
    <s v="-"/>
    <x v="1"/>
    <x v="10"/>
    <x v="7"/>
    <s v="Lot Buxy"/>
    <s v="-"/>
    <m/>
    <s v="oui"/>
    <s v="60 % F2-3 + 40% B1-8"/>
    <n v="1"/>
    <n v="0.75"/>
    <n v="0.75"/>
  </r>
  <r>
    <d v="2022-07-19T00:00:00"/>
    <x v="2"/>
    <s v="-"/>
    <x v="0"/>
    <x v="0"/>
    <x v="7"/>
    <s v="supérieur"/>
    <s v="A2-2"/>
    <m/>
    <s v="oui"/>
    <m/>
    <n v="1"/>
    <n v="0.75"/>
    <n v="0.75"/>
  </r>
  <r>
    <d v="2022-07-20T00:00:00"/>
    <x v="97"/>
    <s v="-"/>
    <x v="0"/>
    <x v="1"/>
    <x v="7"/>
    <s v="supérieur"/>
    <s v="B1-2"/>
    <m/>
    <s v="oui"/>
    <m/>
    <n v="4"/>
    <n v="0.75"/>
    <n v="3"/>
  </r>
  <r>
    <d v="2022-08-10T00:00:00"/>
    <x v="5"/>
    <s v="-"/>
    <x v="0"/>
    <x v="17"/>
    <x v="7"/>
    <s v="-"/>
    <s v="A1-8"/>
    <m/>
    <s v="oui"/>
    <m/>
    <n v="5"/>
    <n v="0.75"/>
    <n v="3.75"/>
  </r>
  <r>
    <d v="2022-09-30T00:00:00"/>
    <x v="53"/>
    <s v="SP Wines"/>
    <x v="0"/>
    <x v="21"/>
    <x v="8"/>
    <s v="-"/>
    <s v="C1-6"/>
    <m/>
    <s v="oui"/>
    <m/>
    <n v="3"/>
    <n v="0.75"/>
    <n v="2.25"/>
  </r>
  <r>
    <d v="2022-09-30T00:00:00"/>
    <x v="53"/>
    <s v="SP Wines"/>
    <x v="0"/>
    <x v="21"/>
    <x v="8"/>
    <s v="-"/>
    <s v="G1-0"/>
    <m/>
    <s v="oui"/>
    <m/>
    <n v="3"/>
    <n v="0.75"/>
    <n v="2.25"/>
  </r>
  <r>
    <d v="2022-09-30T00:00:00"/>
    <x v="53"/>
    <s v="SP Wines"/>
    <x v="0"/>
    <x v="2"/>
    <x v="8"/>
    <s v="-"/>
    <s v="B2-3"/>
    <m/>
    <s v="oui"/>
    <m/>
    <n v="3"/>
    <n v="0.75"/>
    <n v="2.25"/>
  </r>
  <r>
    <d v="2022-09-30T00:00:00"/>
    <x v="53"/>
    <s v="SP Wines"/>
    <x v="0"/>
    <x v="2"/>
    <x v="8"/>
    <s v="-"/>
    <s v="B2-4"/>
    <m/>
    <s v="oui"/>
    <m/>
    <n v="3"/>
    <n v="0.75"/>
    <n v="2.25"/>
  </r>
  <r>
    <d v="2023-03-07T00:00:00"/>
    <x v="117"/>
    <s v="-"/>
    <x v="1"/>
    <x v="102"/>
    <x v="8"/>
    <s v="-"/>
    <s v="A1-6"/>
    <m/>
    <s v="oui"/>
    <s v="&quot;Cinsault Grenache rosé&quot;"/>
    <n v="2"/>
    <n v="0.75"/>
    <n v="1.5"/>
  </r>
  <r>
    <d v="2023-03-07T00:00:00"/>
    <x v="117"/>
    <s v="-"/>
    <x v="0"/>
    <x v="0"/>
    <x v="8"/>
    <s v="-"/>
    <s v="A1-7/F1-8"/>
    <m/>
    <s v="oui"/>
    <s v="80% A1-7 + 20% F1-8 &quot;VDF Chardonnay&quot;"/>
    <m/>
    <m/>
    <m/>
  </r>
  <r>
    <d v="2023-03-09T00:00:00"/>
    <x v="118"/>
    <s v="-"/>
    <x v="0"/>
    <x v="16"/>
    <x v="8"/>
    <s v="-"/>
    <s v="J2-9"/>
    <m/>
    <s v="oui"/>
    <s v="0,005g/hL cuivre; 1g/L MCR "/>
    <n v="1"/>
    <n v="0.75"/>
    <n v="0.75"/>
  </r>
  <r>
    <d v="2023-03-09T00:00:00"/>
    <x v="118"/>
    <s v="-"/>
    <x v="2"/>
    <x v="53"/>
    <x v="8"/>
    <s v="-"/>
    <s v="L1-7"/>
    <m/>
    <s v="oui"/>
    <s v="5g/L MCR; 20cl/hL Sweetgum"/>
    <n v="1"/>
    <n v="0.75"/>
    <n v="1.5"/>
  </r>
  <r>
    <d v="2023-03-13T00:00:00"/>
    <x v="43"/>
    <s v="-"/>
    <x v="2"/>
    <x v="98"/>
    <x v="8"/>
    <s v="vrac"/>
    <s v="C2-1"/>
    <m/>
    <s v="oui"/>
    <m/>
    <n v="2"/>
    <n v="0.75"/>
    <n v="0.75"/>
  </r>
  <r>
    <d v="2023-03-13T00:00:00"/>
    <x v="43"/>
    <s v="-"/>
    <x v="2"/>
    <x v="98"/>
    <x v="8"/>
    <s v="vrac"/>
    <s v="D1-5"/>
    <m/>
    <s v="oui"/>
    <s v="Lot boisé 1/3 Macaron 2/3 Opéra (Erbsloh) "/>
    <n v="1"/>
    <n v="0.75"/>
    <n v="0.75"/>
  </r>
  <r>
    <d v="2023-03-13T00:00:00"/>
    <x v="43"/>
    <s v="-"/>
    <x v="2"/>
    <x v="98"/>
    <x v="8"/>
    <s v="vrac"/>
    <s v="D-6"/>
    <m/>
    <s v="oui"/>
    <s v="Lot non boisé cuve D1-5"/>
    <n v="1"/>
    <n v="0.75"/>
    <n v="0.75"/>
  </r>
  <r>
    <d v="2023-03-13T00:00:00"/>
    <x v="2"/>
    <s v="-"/>
    <x v="0"/>
    <x v="103"/>
    <x v="8"/>
    <s v="vrac"/>
    <s v="F2-4"/>
    <m/>
    <s v="oui"/>
    <m/>
    <n v="3"/>
    <n v="0.75"/>
    <n v="2.25"/>
  </r>
  <r>
    <d v="2023-03-13T00:00:00"/>
    <x v="2"/>
    <s v="-"/>
    <x v="0"/>
    <x v="6"/>
    <x v="8"/>
    <s v="vrac"/>
    <s v="C1-5"/>
    <m/>
    <s v="oui"/>
    <s v="Lot blanc"/>
    <n v="3"/>
    <n v="0.75"/>
    <n v="2.25"/>
  </r>
  <r>
    <d v="2023-03-13T00:00:00"/>
    <x v="2"/>
    <s v="-"/>
    <x v="0"/>
    <x v="1"/>
    <x v="8"/>
    <s v="variétal"/>
    <s v="B1-0"/>
    <m/>
    <s v="oui"/>
    <m/>
    <n v="3"/>
    <n v="0.75"/>
    <n v="2.25"/>
  </r>
  <r>
    <d v="2023-03-13T00:00:00"/>
    <x v="2"/>
    <s v="-"/>
    <x v="2"/>
    <x v="98"/>
    <x v="8"/>
    <s v="vrac"/>
    <s v="I1-5"/>
    <m/>
    <s v="oui"/>
    <m/>
    <n v="2"/>
    <n v="0.75"/>
    <n v="1.5"/>
  </r>
  <r>
    <d v="2023-03-20T00:00:00"/>
    <x v="10"/>
    <s v="-"/>
    <x v="0"/>
    <x v="3"/>
    <x v="8"/>
    <s v="HVE"/>
    <s v="A1-1"/>
    <m/>
    <s v="oui"/>
    <m/>
    <n v="2"/>
    <n v="0.75"/>
    <n v="1.5"/>
  </r>
  <r>
    <d v="2023-03-20T00:00:00"/>
    <x v="10"/>
    <s v="-"/>
    <x v="0"/>
    <x v="3"/>
    <x v="8"/>
    <s v="vrac"/>
    <s v="B2-4"/>
    <m/>
    <s v="oui"/>
    <m/>
    <n v="2"/>
    <n v="0.75"/>
    <n v="1.5"/>
  </r>
  <r>
    <d v="2023-03-21T00:00:00"/>
    <x v="11"/>
    <s v="-"/>
    <x v="2"/>
    <x v="5"/>
    <x v="8"/>
    <s v="vrac"/>
    <s v="C1-4"/>
    <m/>
    <s v="oui"/>
    <m/>
    <n v="2"/>
    <n v="0.75"/>
    <n v="1.5"/>
  </r>
  <r>
    <d v="2023-03-21T00:00:00"/>
    <x v="11"/>
    <s v="-"/>
    <x v="2"/>
    <x v="5"/>
    <x v="8"/>
    <s v="vrac"/>
    <s v="C2-4"/>
    <m/>
    <s v="oui"/>
    <m/>
    <n v="2"/>
    <n v="0.75"/>
    <n v="1.5"/>
  </r>
  <r>
    <d v="2023-03-21T00:00:00"/>
    <x v="11"/>
    <s v="-"/>
    <x v="2"/>
    <x v="4"/>
    <x v="8"/>
    <s v="vrac"/>
    <s v="F2-2"/>
    <m/>
    <s v="oui"/>
    <m/>
    <n v="2"/>
    <n v="0.75"/>
    <n v="1.5"/>
  </r>
  <r>
    <d v="2023-03-24T00:00:00"/>
    <x v="97"/>
    <s v="-"/>
    <x v="0"/>
    <x v="0"/>
    <x v="8"/>
    <s v="variétal"/>
    <s v="F1-7"/>
    <m/>
    <s v="oui"/>
    <m/>
    <n v="4"/>
    <n v="0.75"/>
    <n v="3"/>
  </r>
  <r>
    <d v="2023-03-27T00:00:00"/>
    <x v="1"/>
    <s v="Gilles Louvet"/>
    <x v="1"/>
    <x v="38"/>
    <x v="8"/>
    <s v="vrac"/>
    <s v="C1-8"/>
    <m/>
    <s v="oui"/>
    <s v="&quot;Cinsault&quot;"/>
    <n v="2"/>
    <n v="0.75"/>
    <n v="1.5"/>
  </r>
  <r>
    <d v="2023-03-27T00:00:00"/>
    <x v="1"/>
    <s v="Gilles Louvet"/>
    <x v="1"/>
    <x v="104"/>
    <x v="8"/>
    <s v="vrac"/>
    <s v="D1-7"/>
    <m/>
    <s v="oui"/>
    <m/>
    <n v="2"/>
    <n v="0.75"/>
    <n v="1.5"/>
  </r>
  <r>
    <d v="2023-03-27T00:00:00"/>
    <x v="1"/>
    <s v="Gilles Louvet"/>
    <x v="2"/>
    <x v="5"/>
    <x v="8"/>
    <s v="vrac"/>
    <s v="B1-2"/>
    <m/>
    <s v="oui"/>
    <s v="VDF Pinot noir "/>
    <n v="2"/>
    <n v="0.75"/>
    <n v="1.5"/>
  </r>
  <r>
    <d v="2023-03-27T00:00:00"/>
    <x v="86"/>
    <s v="-"/>
    <x v="1"/>
    <x v="4"/>
    <x v="8"/>
    <s v="vrac"/>
    <s v="B2-7"/>
    <m/>
    <s v="oui"/>
    <m/>
    <n v="2"/>
    <n v="0.75"/>
    <n v="1.5"/>
  </r>
  <r>
    <d v="2023-03-27T00:00:00"/>
    <x v="86"/>
    <s v="-"/>
    <x v="1"/>
    <x v="105"/>
    <x v="8"/>
    <s v="vrac"/>
    <s v="C1-8"/>
    <m/>
    <s v="oui"/>
    <s v="&quot;Cinsault rosé&quot;"/>
    <n v="2"/>
    <n v="0.75"/>
    <n v="1.5"/>
  </r>
  <r>
    <d v="2023-03-27T00:00:00"/>
    <x v="86"/>
    <s v="-"/>
    <x v="1"/>
    <x v="104"/>
    <x v="8"/>
    <s v="vrac"/>
    <s v="D1-7"/>
    <m/>
    <s v="oui"/>
    <s v="&quot;Grenache rosé&quot;"/>
    <n v="2"/>
    <n v="0.75"/>
    <n v="1.5"/>
  </r>
  <r>
    <d v="2023-03-27T00:00:00"/>
    <x v="86"/>
    <s v="-"/>
    <x v="1"/>
    <x v="106"/>
    <x v="8"/>
    <s v="vrac"/>
    <s v="E2-6"/>
    <m/>
    <s v="oui"/>
    <s v=" &quot;Grenache rosé&quot;"/>
    <n v="2"/>
    <n v="0.75"/>
    <n v="1.5"/>
  </r>
  <r>
    <d v="2023-03-27T00:00:00"/>
    <x v="119"/>
    <s v="Poujol"/>
    <x v="0"/>
    <x v="1"/>
    <x v="9"/>
    <s v="classique"/>
    <s v="E1-08"/>
    <m/>
    <s v="oui"/>
    <s v="&quot;Marsanne lot 2&quot;"/>
    <n v="2"/>
    <n v="0.75"/>
    <n v="1.5"/>
  </r>
  <r>
    <d v="2023-03-31T00:00:00"/>
    <x v="120"/>
    <s v="-"/>
    <x v="2"/>
    <x v="98"/>
    <x v="8"/>
    <s v="bouteille"/>
    <s v="C2-2/C2-7/L1-7"/>
    <m/>
    <s v="oui"/>
    <s v="&quot;Cap d'Agde rouge&quot; 29% L1-7; 37% C2-2; 34%C2-7 6g/L gomme sucrante + 20 cm/hL sweet + 2,5 TT"/>
    <n v="4"/>
    <n v="0.75"/>
    <n v="3"/>
  </r>
  <r>
    <d v="2023-03-31T00:00:00"/>
    <x v="11"/>
    <s v="-"/>
    <x v="2"/>
    <x v="4"/>
    <x v="8"/>
    <s v="vrac"/>
    <s v="D1-1"/>
    <m/>
    <s v="oui"/>
    <m/>
    <n v="2"/>
    <n v="0.75"/>
    <n v="1.5"/>
  </r>
  <r>
    <d v="2023-03-31T00:00:00"/>
    <x v="113"/>
    <s v="-"/>
    <x v="0"/>
    <x v="0"/>
    <x v="8"/>
    <s v="supérieur"/>
    <s v="A1-7"/>
    <m/>
    <s v="non"/>
    <m/>
    <n v="2"/>
    <n v="0.75"/>
    <n v="1.5"/>
  </r>
  <r>
    <d v="2023-03-31T00:00:00"/>
    <x v="113"/>
    <s v="-"/>
    <x v="1"/>
    <x v="107"/>
    <x v="8"/>
    <s v="vrac"/>
    <s v="E1-4"/>
    <m/>
    <s v="non"/>
    <s v="&quot;Oc rosé&quot;"/>
    <n v="2"/>
    <n v="0.75"/>
    <n v="1.5"/>
  </r>
  <r>
    <d v="2023-03-31T00:00:00"/>
    <x v="113"/>
    <s v="-"/>
    <x v="0"/>
    <x v="1"/>
    <x v="8"/>
    <s v="supérieur"/>
    <s v="G1-1"/>
    <m/>
    <s v="non"/>
    <m/>
    <n v="2"/>
    <n v="0.75"/>
    <n v="1.5"/>
  </r>
  <r>
    <d v="2023-03-31T00:00:00"/>
    <x v="113"/>
    <s v="-"/>
    <x v="0"/>
    <x v="1"/>
    <x v="8"/>
    <s v="variétal"/>
    <s v="B1-0"/>
    <m/>
    <s v="non"/>
    <m/>
    <n v="2"/>
    <n v="0.75"/>
    <n v="1.5"/>
  </r>
  <r>
    <d v="2023-04-03T00:00:00"/>
    <x v="65"/>
    <s v="-"/>
    <x v="0"/>
    <x v="3"/>
    <x v="8"/>
    <s v="vrac"/>
    <s v="A1-1"/>
    <m/>
    <s v="oui"/>
    <m/>
    <n v="2"/>
    <n v="0.75"/>
    <n v="1.5"/>
  </r>
  <r>
    <d v="2023-04-04T00:00:00"/>
    <x v="121"/>
    <s v="-"/>
    <x v="0"/>
    <x v="0"/>
    <x v="8"/>
    <s v="variétal"/>
    <s v="D2-3"/>
    <m/>
    <s v="oui"/>
    <m/>
    <n v="1"/>
    <n v="0.75"/>
    <n v="0.75"/>
  </r>
  <r>
    <d v="2023-04-04T00:00:00"/>
    <x v="121"/>
    <s v="-"/>
    <x v="0"/>
    <x v="108"/>
    <x v="8"/>
    <s v="vrac"/>
    <s v="D2-2"/>
    <m/>
    <s v="oui"/>
    <s v="&quot;Rosé&quot;"/>
    <n v="1"/>
    <n v="0.75"/>
    <n v="0.75"/>
  </r>
  <r>
    <d v="2023-04-05T00:00:00"/>
    <x v="97"/>
    <s v="-"/>
    <x v="0"/>
    <x v="0"/>
    <x v="8"/>
    <s v="variétal"/>
    <s v="F1-8"/>
    <m/>
    <s v="oui "/>
    <m/>
    <n v="3"/>
    <n v="0.75"/>
    <n v="2.25"/>
  </r>
  <r>
    <d v="2023-04-06T00:00:00"/>
    <x v="122"/>
    <s v="-"/>
    <x v="0"/>
    <x v="109"/>
    <x v="8"/>
    <s v="vrac"/>
    <s v="D1-3"/>
    <m/>
    <s v="oui"/>
    <s v="&quot;Rolle&quot;"/>
    <n v="2"/>
    <n v="0.75"/>
    <n v="1.5"/>
  </r>
  <r>
    <d v="2023-04-06T00:00:00"/>
    <x v="122"/>
    <s v="-"/>
    <x v="1"/>
    <x v="110"/>
    <x v="8"/>
    <s v="vrac"/>
    <s v="E2-2"/>
    <m/>
    <s v="oui"/>
    <m/>
    <n v="2"/>
    <n v="0.75"/>
    <n v="1.5"/>
  </r>
  <r>
    <d v="2023-04-11T00:00:00"/>
    <x v="113"/>
    <s v="-"/>
    <x v="0"/>
    <x v="111"/>
    <x v="8"/>
    <s v="vrac"/>
    <s v="B1-1"/>
    <m/>
    <s v="oui "/>
    <m/>
    <n v="2"/>
    <n v="0.75"/>
    <n v="1.5"/>
  </r>
  <r>
    <d v="2023-04-11T00:00:00"/>
    <x v="113"/>
    <s v="-"/>
    <x v="0"/>
    <x v="112"/>
    <x v="8"/>
    <s v="vrac"/>
    <s v="B1-0"/>
    <m/>
    <s v="oui "/>
    <m/>
    <n v="2"/>
    <n v="0.75"/>
    <n v="1.5"/>
  </r>
  <r>
    <d v="2023-04-11T00:00:00"/>
    <x v="113"/>
    <s v="-"/>
    <x v="0"/>
    <x v="113"/>
    <x v="8"/>
    <s v="vrac"/>
    <s v="A1-7"/>
    <m/>
    <s v="oui "/>
    <m/>
    <n v="2"/>
    <n v="0.75"/>
    <n v="1.5"/>
  </r>
  <r>
    <d v="2023-04-11T00:00:00"/>
    <x v="113"/>
    <s v="-"/>
    <x v="1"/>
    <x v="114"/>
    <x v="8"/>
    <s v="vrac"/>
    <s v="K1-16"/>
    <m/>
    <s v="oui "/>
    <s v="&quot;Oc rosé&quot;"/>
    <n v="2"/>
    <n v="0.75"/>
    <n v="1.5"/>
  </r>
  <r>
    <d v="2023-04-11T00:00:00"/>
    <x v="2"/>
    <s v="-"/>
    <x v="0"/>
    <x v="113"/>
    <x v="8"/>
    <s v="vrac"/>
    <s v="A1-7"/>
    <m/>
    <s v="oui"/>
    <m/>
    <n v="2"/>
    <n v="0.75"/>
    <n v="1.5"/>
  </r>
  <r>
    <d v="2023-04-13T00:00:00"/>
    <x v="117"/>
    <s v="-"/>
    <x v="0"/>
    <x v="115"/>
    <x v="8"/>
    <s v="vrac"/>
    <s v="D2-3"/>
    <m/>
    <s v="oui "/>
    <s v="&quot;Chardonnay&quot;"/>
    <n v="2"/>
    <n v="0.75"/>
    <n v="1.5"/>
  </r>
  <r>
    <d v="2023-04-13T00:00:00"/>
    <x v="65"/>
    <s v="-"/>
    <x v="1"/>
    <x v="116"/>
    <x v="8"/>
    <s v="vrac"/>
    <s v="I1-5"/>
    <m/>
    <s v="oui"/>
    <s v="&quot;Rosé cinsault&quot;"/>
    <n v="2"/>
    <n v="0.75"/>
    <n v="1.5"/>
  </r>
  <r>
    <d v="2023-04-13T00:00:00"/>
    <x v="65"/>
    <s v="-"/>
    <x v="1"/>
    <x v="110"/>
    <x v="8"/>
    <s v="vrac"/>
    <s v="D1-7"/>
    <m/>
    <s v="oui"/>
    <s v="&quot;Rosé merlot&quot;"/>
    <n v="2"/>
    <n v="0.75"/>
    <n v="1.5"/>
  </r>
  <r>
    <d v="2023-06-08T00:00:00"/>
    <x v="65"/>
    <s v="-"/>
    <x v="1"/>
    <x v="116"/>
    <x v="8"/>
    <s v="vrac"/>
    <s v="C1-7"/>
    <m/>
    <s v="oui"/>
    <s v="&quot;Rosé cinsault&quot;"/>
    <n v="4"/>
    <n v="0.75"/>
    <n v="3"/>
  </r>
  <r>
    <d v="2023-06-08T00:00:00"/>
    <x v="65"/>
    <s v="-"/>
    <x v="1"/>
    <x v="110"/>
    <x v="8"/>
    <s v="vrac"/>
    <s v="D1-7"/>
    <m/>
    <s v="oui"/>
    <s v="&quot;Rosé merlot&quot;"/>
    <n v="4"/>
    <n v="0.75"/>
    <n v="3"/>
  </r>
  <r>
    <d v="2023-10-09T00:00:00"/>
    <x v="1"/>
    <s v="Olivier Castillo"/>
    <x v="1"/>
    <x v="117"/>
    <x v="9"/>
    <s v="vrac"/>
    <s v="B1-10"/>
    <m/>
    <s v="oui"/>
    <s v="&quot;Merlot Rosé K1&quot;"/>
    <n v="3"/>
    <n v="0.75"/>
    <n v="2.25"/>
  </r>
  <r>
    <d v="2023-10-09T00:00:00"/>
    <x v="1"/>
    <s v="Olivier Castillo"/>
    <x v="1"/>
    <x v="117"/>
    <x v="9"/>
    <s v="vrac"/>
    <s v="C1-9"/>
    <m/>
    <s v="oui"/>
    <s v="&quot;Grenache rosé&quot;"/>
    <n v="3"/>
    <n v="0.75"/>
    <n v="2.25"/>
  </r>
  <r>
    <d v="2023-10-09T00:00:00"/>
    <x v="1"/>
    <s v="Olivier Castillo"/>
    <x v="1"/>
    <x v="4"/>
    <x v="9"/>
    <s v="vrac"/>
    <s v="G1-2"/>
    <m/>
    <s v="oui"/>
    <s v="&quot;Syrah Rosé&quot;"/>
    <n v="3"/>
    <n v="0.75"/>
    <n v="2.25"/>
  </r>
  <r>
    <d v="2023-10-09T00:00:00"/>
    <x v="1"/>
    <s v="Olivier Castillo"/>
    <x v="0"/>
    <x v="2"/>
    <x v="9"/>
    <s v="vrac"/>
    <s v="-"/>
    <m/>
    <s v="oui"/>
    <m/>
    <n v="3"/>
    <n v="0.75"/>
    <n v="2.25"/>
  </r>
  <r>
    <d v="2023-10-09T00:00:00"/>
    <x v="113"/>
    <s v="-"/>
    <x v="1"/>
    <x v="8"/>
    <x v="9"/>
    <s v="vrac"/>
    <s v="C1-10"/>
    <n v="1200"/>
    <s v="oui"/>
    <m/>
    <n v="2"/>
    <n v="0.75"/>
    <n v="1.5"/>
  </r>
  <r>
    <d v="2023-10-09T00:00:00"/>
    <x v="113"/>
    <s v="-"/>
    <x v="1"/>
    <x v="19"/>
    <x v="9"/>
    <s v="vrac"/>
    <s v="C1-9"/>
    <n v="1200"/>
    <s v="oui"/>
    <m/>
    <n v="2"/>
    <n v="0.75"/>
    <n v="1.5"/>
  </r>
  <r>
    <d v="2023-10-09T00:00:00"/>
    <x v="113"/>
    <s v="-"/>
    <x v="1"/>
    <x v="19"/>
    <x v="9"/>
    <s v="vrac"/>
    <s v="B1-9"/>
    <n v="1200"/>
    <s v="oui"/>
    <m/>
    <n v="2"/>
    <n v="0.75"/>
    <n v="1.5"/>
  </r>
  <r>
    <d v="2023-10-09T00:00:00"/>
    <x v="113"/>
    <s v="-"/>
    <x v="1"/>
    <x v="38"/>
    <x v="9"/>
    <s v="vrac"/>
    <s v="G1-6"/>
    <n v="4800"/>
    <s v="oui"/>
    <m/>
    <n v="2"/>
    <n v="0.75"/>
    <n v="1.5"/>
  </r>
  <r>
    <d v="2023-10-09T00:00:00"/>
    <x v="2"/>
    <s v="-"/>
    <x v="0"/>
    <x v="1"/>
    <x v="9"/>
    <s v="vrac"/>
    <s v="G1-4"/>
    <m/>
    <s v="oui"/>
    <m/>
    <n v="4"/>
    <n v="0.75"/>
    <n v="3"/>
  </r>
  <r>
    <d v="2023-10-09T00:00:00"/>
    <x v="2"/>
    <s v="-"/>
    <x v="0"/>
    <x v="1"/>
    <x v="9"/>
    <s v="vrac"/>
    <s v="A1-5"/>
    <m/>
    <s v="oui"/>
    <m/>
    <n v="4"/>
    <n v="0.75"/>
    <n v="3"/>
  </r>
  <r>
    <d v="2023-10-09T00:00:00"/>
    <x v="2"/>
    <s v="-"/>
    <x v="0"/>
    <x v="2"/>
    <x v="9"/>
    <s v="vrac"/>
    <s v="-"/>
    <m/>
    <s v="oui"/>
    <m/>
    <n v="4"/>
    <n v="0.75"/>
    <n v="3"/>
  </r>
  <r>
    <d v="2023-10-09T00:00:00"/>
    <x v="1"/>
    <s v="René Jeanjean"/>
    <x v="0"/>
    <x v="22"/>
    <x v="9"/>
    <s v="vrac"/>
    <s v="D1-10"/>
    <m/>
    <s v="oui"/>
    <m/>
    <n v="3"/>
    <n v="0.75"/>
    <n v="2.25"/>
  </r>
  <r>
    <d v="2023-10-09T00:00:00"/>
    <x v="1"/>
    <s v="René Jeanjean"/>
    <x v="0"/>
    <x v="22"/>
    <x v="9"/>
    <s v="vrac"/>
    <s v="F1-8"/>
    <m/>
    <s v="oui"/>
    <m/>
    <n v="3"/>
    <n v="0.75"/>
    <n v="2.25"/>
  </r>
  <r>
    <d v="2023-10-09T00:00:00"/>
    <x v="1"/>
    <s v="René Jeanjean"/>
    <x v="0"/>
    <x v="22"/>
    <x v="9"/>
    <s v="vrac"/>
    <s v="C1-0"/>
    <m/>
    <s v="oui"/>
    <m/>
    <n v="3"/>
    <n v="0.75"/>
    <n v="2.25"/>
  </r>
  <r>
    <d v="2023-10-10T00:00:00"/>
    <x v="15"/>
    <s v="René Jeanjean"/>
    <x v="1"/>
    <x v="22"/>
    <x v="9"/>
    <s v="vrac"/>
    <s v="G1-6"/>
    <m/>
    <s v="oui"/>
    <s v="Merlot Rosé"/>
    <n v="4"/>
    <n v="0.75"/>
    <n v="3"/>
  </r>
  <r>
    <d v="2023-10-10T00:00:00"/>
    <x v="15"/>
    <s v="René Jeanjean"/>
    <x v="1"/>
    <x v="22"/>
    <x v="9"/>
    <s v="vrac"/>
    <s v="B1-10"/>
    <m/>
    <s v="oui"/>
    <s v="Merlot Rosé"/>
    <n v="4"/>
    <n v="0.75"/>
    <n v="3"/>
  </r>
  <r>
    <d v="2023-10-10T00:00:00"/>
    <x v="15"/>
    <s v="René Jeanjean"/>
    <x v="1"/>
    <x v="19"/>
    <x v="9"/>
    <s v="vrac"/>
    <s v="C1-9"/>
    <m/>
    <s v="oui"/>
    <m/>
    <n v="4"/>
    <n v="0.75"/>
    <n v="3"/>
  </r>
  <r>
    <d v="2023-10-10T00:00:00"/>
    <x v="15"/>
    <s v="René Jeanjean"/>
    <x v="0"/>
    <x v="22"/>
    <x v="9"/>
    <s v="vrac"/>
    <s v="I1-8"/>
    <m/>
    <s v="oui"/>
    <m/>
    <n v="4"/>
    <n v="0.75"/>
    <n v="3"/>
  </r>
  <r>
    <d v="2023-10-10T00:00:00"/>
    <x v="65"/>
    <s v="-"/>
    <x v="1"/>
    <x v="22"/>
    <x v="9"/>
    <s v="vrac"/>
    <s v="G1-6"/>
    <m/>
    <s v="oui"/>
    <s v="Merlot Rosé"/>
    <n v="4"/>
    <n v="0.75"/>
    <n v="3"/>
  </r>
  <r>
    <d v="2023-10-10T00:00:00"/>
    <x v="65"/>
    <s v="-"/>
    <x v="1"/>
    <x v="22"/>
    <x v="9"/>
    <s v="vrac"/>
    <s v="B1-10"/>
    <m/>
    <s v="oui"/>
    <s v="Merlot Rosé"/>
    <n v="4"/>
    <n v="0.75"/>
    <n v="3"/>
  </r>
  <r>
    <d v="2023-10-10T00:00:00"/>
    <x v="65"/>
    <s v="-"/>
    <x v="1"/>
    <x v="19"/>
    <x v="9"/>
    <s v="vrac"/>
    <s v="C1-9"/>
    <m/>
    <s v="oui"/>
    <m/>
    <n v="4"/>
    <n v="0.75"/>
    <n v="3"/>
  </r>
  <r>
    <d v="2023-10-10T00:00:00"/>
    <x v="65"/>
    <s v="-"/>
    <x v="0"/>
    <x v="2"/>
    <x v="9"/>
    <s v="vrac"/>
    <m/>
    <m/>
    <s v="oui"/>
    <m/>
    <n v="4"/>
    <n v="0.75"/>
    <n v="3"/>
  </r>
  <r>
    <d v="2023-10-10T00:00:00"/>
    <x v="65"/>
    <s v="-"/>
    <x v="0"/>
    <x v="118"/>
    <x v="9"/>
    <s v="-"/>
    <s v="J1-2"/>
    <m/>
    <s v="oui"/>
    <m/>
    <n v="3"/>
    <n v="0.75"/>
    <n v="2.25"/>
  </r>
  <r>
    <d v="2023-10-10T00:00:00"/>
    <x v="65"/>
    <s v="-"/>
    <x v="0"/>
    <x v="118"/>
    <x v="9"/>
    <s v="-"/>
    <s v="K1-15"/>
    <m/>
    <s v="oui"/>
    <m/>
    <n v="3"/>
    <n v="0.75"/>
    <n v="2.25"/>
  </r>
  <r>
    <d v="2023-10-10T00:00:00"/>
    <x v="65"/>
    <s v="-"/>
    <x v="0"/>
    <x v="3"/>
    <x v="9"/>
    <s v="vrac"/>
    <s v="B1-0"/>
    <m/>
    <s v="oui"/>
    <m/>
    <n v="4"/>
    <n v="0.75"/>
    <n v="3"/>
  </r>
  <r>
    <d v="2023-10-10T00:00:00"/>
    <x v="113"/>
    <s v="-"/>
    <x v="0"/>
    <x v="0"/>
    <x v="9"/>
    <s v="variétal"/>
    <s v="-"/>
    <m/>
    <s v="oui"/>
    <m/>
    <n v="1"/>
    <n v="0.75"/>
    <n v="0.75"/>
  </r>
  <r>
    <d v="2023-10-10T00:00:00"/>
    <x v="113"/>
    <s v="-"/>
    <x v="0"/>
    <x v="0"/>
    <x v="9"/>
    <s v="supérieur"/>
    <s v="-"/>
    <m/>
    <s v="oui"/>
    <m/>
    <n v="1"/>
    <n v="0.75"/>
    <n v="0.75"/>
  </r>
  <r>
    <d v="2023-10-10T00:00:00"/>
    <x v="113"/>
    <s v="-"/>
    <x v="0"/>
    <x v="1"/>
    <x v="9"/>
    <s v="variétal"/>
    <s v="-"/>
    <m/>
    <s v="oui"/>
    <m/>
    <n v="1"/>
    <n v="0.75"/>
    <n v="0.75"/>
  </r>
  <r>
    <d v="2023-10-10T00:00:00"/>
    <x v="113"/>
    <s v="-"/>
    <x v="0"/>
    <x v="1"/>
    <x v="9"/>
    <s v="supérieur"/>
    <s v="-"/>
    <m/>
    <s v="oui"/>
    <m/>
    <n v="1"/>
    <n v="0.75"/>
    <n v="0.75"/>
  </r>
  <r>
    <d v="2023-10-16T00:00:00"/>
    <x v="113"/>
    <s v="-"/>
    <x v="0"/>
    <x v="0"/>
    <x v="9"/>
    <s v="classique"/>
    <s v="-"/>
    <m/>
    <s v="oui"/>
    <m/>
    <n v="2"/>
    <n v="0.75"/>
    <n v="1.5"/>
  </r>
  <r>
    <d v="2023-10-16T00:00:00"/>
    <x v="113"/>
    <s v="-"/>
    <x v="0"/>
    <x v="0"/>
    <x v="9"/>
    <s v="variétal"/>
    <s v="-"/>
    <m/>
    <s v="oui"/>
    <m/>
    <n v="2"/>
    <n v="0.75"/>
    <n v="1.5"/>
  </r>
  <r>
    <d v="2023-10-16T00:00:00"/>
    <x v="113"/>
    <s v="-"/>
    <x v="0"/>
    <x v="0"/>
    <x v="9"/>
    <s v="supérieur"/>
    <s v="-"/>
    <m/>
    <s v="oui"/>
    <m/>
    <n v="2"/>
    <n v="0.75"/>
    <n v="1.5"/>
  </r>
  <r>
    <d v="2023-10-16T00:00:00"/>
    <x v="113"/>
    <s v="-"/>
    <x v="0"/>
    <x v="1"/>
    <x v="9"/>
    <s v="classique"/>
    <s v="-"/>
    <m/>
    <s v="oui"/>
    <m/>
    <n v="2"/>
    <n v="0.75"/>
    <n v="1.5"/>
  </r>
  <r>
    <d v="2023-10-16T00:00:00"/>
    <x v="113"/>
    <s v="-"/>
    <x v="0"/>
    <x v="1"/>
    <x v="9"/>
    <s v="variétal"/>
    <s v="-"/>
    <m/>
    <s v="oui"/>
    <m/>
    <n v="2"/>
    <n v="0.75"/>
    <n v="1.5"/>
  </r>
  <r>
    <d v="2023-10-16T00:00:00"/>
    <x v="113"/>
    <s v="-"/>
    <x v="0"/>
    <x v="1"/>
    <x v="9"/>
    <s v="supérieur"/>
    <s v="-"/>
    <m/>
    <s v="oui"/>
    <m/>
    <n v="2"/>
    <n v="0.75"/>
    <n v="1.5"/>
  </r>
  <r>
    <d v="2023-10-16T00:00:00"/>
    <x v="113"/>
    <s v="-"/>
    <x v="0"/>
    <x v="3"/>
    <x v="9"/>
    <s v="-"/>
    <s v="B1-0"/>
    <m/>
    <s v="oui"/>
    <m/>
    <n v="2"/>
    <n v="0.75"/>
    <n v="1.5"/>
  </r>
  <r>
    <d v="2023-10-16T00:00:00"/>
    <x v="5"/>
    <s v="-"/>
    <x v="1"/>
    <x v="119"/>
    <x v="9"/>
    <s v="-"/>
    <s v="H1-8"/>
    <m/>
    <s v="oui"/>
    <m/>
    <n v="2"/>
    <n v="0.75"/>
    <n v="1.5"/>
  </r>
  <r>
    <d v="2023-10-16T00:00:00"/>
    <x v="5"/>
    <s v="-"/>
    <x v="1"/>
    <x v="7"/>
    <x v="9"/>
    <s v="-"/>
    <s v="B1-10"/>
    <m/>
    <s v="oui"/>
    <m/>
    <n v="2"/>
    <n v="0.75"/>
    <n v="1.5"/>
  </r>
  <r>
    <d v="2023-10-16T00:00:00"/>
    <x v="5"/>
    <s v="-"/>
    <x v="1"/>
    <x v="8"/>
    <x v="9"/>
    <s v="Petit degré"/>
    <s v="D2-6"/>
    <m/>
    <s v="oui"/>
    <m/>
    <n v="1"/>
    <n v="0.75"/>
    <n v="0.75"/>
  </r>
  <r>
    <d v="2023-10-16T00:00:00"/>
    <x v="5"/>
    <s v="-"/>
    <x v="1"/>
    <x v="19"/>
    <x v="9"/>
    <s v="-"/>
    <s v="C1-9"/>
    <m/>
    <s v="oui"/>
    <m/>
    <n v="1"/>
    <n v="0.75"/>
    <n v="0.75"/>
  </r>
  <r>
    <d v="2023-10-16T00:00:00"/>
    <x v="5"/>
    <s v="-"/>
    <x v="1"/>
    <x v="8"/>
    <x v="9"/>
    <s v="-"/>
    <s v="C1-10"/>
    <m/>
    <s v="oui"/>
    <m/>
    <n v="1"/>
    <n v="0.75"/>
    <n v="0.75"/>
  </r>
  <r>
    <d v="2023-10-16T00:00:00"/>
    <x v="5"/>
    <s v="-"/>
    <x v="0"/>
    <x v="20"/>
    <x v="9"/>
    <s v="-"/>
    <s v="C1-6"/>
    <m/>
    <s v="oui"/>
    <m/>
    <n v="1"/>
    <n v="0.75"/>
    <n v="0.75"/>
  </r>
  <r>
    <d v="2023-10-17T00:00:00"/>
    <x v="1"/>
    <s v="JC Simon"/>
    <x v="0"/>
    <x v="21"/>
    <x v="9"/>
    <s v="-"/>
    <s v="F2-4"/>
    <m/>
    <s v="oui"/>
    <m/>
    <n v="2"/>
    <n v="0.75"/>
    <n v="1.5"/>
  </r>
  <r>
    <d v="2023-10-17T00:00:00"/>
    <x v="1"/>
    <s v="JC Simon"/>
    <x v="2"/>
    <x v="13"/>
    <x v="9"/>
    <s v="thermo"/>
    <s v="C1-2"/>
    <m/>
    <s v="oui"/>
    <m/>
    <n v="2"/>
    <n v="0.75"/>
    <n v="1.5"/>
  </r>
  <r>
    <d v="2023-10-17T00:00:00"/>
    <x v="46"/>
    <s v="-"/>
    <x v="0"/>
    <x v="0"/>
    <x v="9"/>
    <s v="variétal"/>
    <s v="-"/>
    <m/>
    <s v="oui"/>
    <m/>
    <n v="1"/>
    <n v="0.75"/>
    <n v="0.75"/>
  </r>
  <r>
    <d v="2023-10-17T00:00:00"/>
    <x v="46"/>
    <s v="-"/>
    <x v="0"/>
    <x v="0"/>
    <x v="9"/>
    <s v="Petit degré"/>
    <s v="-"/>
    <m/>
    <s v="oui"/>
    <m/>
    <n v="1"/>
    <n v="0.75"/>
    <n v="0.75"/>
  </r>
  <r>
    <d v="2023-10-17T00:00:00"/>
    <x v="46"/>
    <s v="-"/>
    <x v="0"/>
    <x v="0"/>
    <x v="9"/>
    <s v="-"/>
    <s v="A1-3"/>
    <m/>
    <s v="oui"/>
    <m/>
    <n v="1"/>
    <n v="0.75"/>
    <n v="0.75"/>
  </r>
  <r>
    <d v="2023-10-17T00:00:00"/>
    <x v="65"/>
    <s v="TWS"/>
    <x v="0"/>
    <x v="118"/>
    <x v="9"/>
    <s v="-"/>
    <s v="J1-2"/>
    <m/>
    <s v="oui"/>
    <m/>
    <n v="2"/>
    <n v="0.75"/>
    <n v="1.5"/>
  </r>
  <r>
    <d v="2023-10-17T00:00:00"/>
    <x v="65"/>
    <s v="TWS"/>
    <x v="0"/>
    <x v="118"/>
    <x v="9"/>
    <s v="-"/>
    <s v="K1-15"/>
    <m/>
    <s v="oui"/>
    <m/>
    <n v="2"/>
    <n v="0.75"/>
    <n v="1.5"/>
  </r>
  <r>
    <d v="2023-10-17T00:00:00"/>
    <x v="65"/>
    <s v="TWS"/>
    <x v="0"/>
    <x v="3"/>
    <x v="9"/>
    <s v="Lot Muscat"/>
    <s v="-"/>
    <m/>
    <s v="oui"/>
    <m/>
    <n v="6"/>
    <n v="0.75"/>
    <n v="4.5"/>
  </r>
  <r>
    <d v="2023-10-17T00:00:00"/>
    <x v="65"/>
    <s v="TWS"/>
    <x v="0"/>
    <x v="2"/>
    <x v="9"/>
    <s v="Lot Viognier"/>
    <s v="-"/>
    <m/>
    <s v="oui"/>
    <m/>
    <n v="6"/>
    <n v="0.75"/>
    <n v="4.5"/>
  </r>
  <r>
    <d v="2023-10-17T00:00:00"/>
    <x v="65"/>
    <s v="TWS"/>
    <x v="0"/>
    <x v="19"/>
    <x v="9"/>
    <s v="Lot Grenache"/>
    <s v="-"/>
    <m/>
    <s v="oui"/>
    <s v="50% A2-6 + 50% E2-6"/>
    <n v="6"/>
    <n v="0.75"/>
    <n v="4.5"/>
  </r>
  <r>
    <d v="2023-10-17T00:00:00"/>
    <x v="46"/>
    <s v="-"/>
    <x v="0"/>
    <x v="6"/>
    <x v="9"/>
    <s v="Oc Terret"/>
    <s v="-"/>
    <m/>
    <s v="oui"/>
    <m/>
    <n v="2"/>
    <n v="0.75"/>
    <n v="1.5"/>
  </r>
  <r>
    <d v="2023-10-18T00:00:00"/>
    <x v="22"/>
    <s v="Romuald Vargos"/>
    <x v="0"/>
    <x v="2"/>
    <x v="9"/>
    <s v="Lot Viognier"/>
    <s v="-"/>
    <m/>
    <s v="oui"/>
    <m/>
    <n v="2"/>
    <n v="0.75"/>
    <n v="1.5"/>
  </r>
  <r>
    <d v="2023-10-18T00:00:00"/>
    <x v="22"/>
    <s v="Romuald Vargos"/>
    <x v="0"/>
    <x v="3"/>
    <x v="9"/>
    <s v="Lot Muscat"/>
    <s v="-"/>
    <m/>
    <s v="oui"/>
    <m/>
    <n v="2"/>
    <n v="0.75"/>
    <n v="1.5"/>
  </r>
  <r>
    <d v="2023-10-18T00:00:00"/>
    <x v="22"/>
    <s v="Romuald Vargos"/>
    <x v="0"/>
    <x v="21"/>
    <x v="9"/>
    <s v="-"/>
    <s v="F2-4"/>
    <m/>
    <s v="oui"/>
    <m/>
    <n v="2"/>
    <n v="0.75"/>
    <n v="1.5"/>
  </r>
  <r>
    <d v="2023-10-18T00:00:00"/>
    <x v="22"/>
    <s v="Romuald Vargos"/>
    <x v="1"/>
    <x v="38"/>
    <x v="9"/>
    <s v="Lot Oc Rosé"/>
    <s v="-"/>
    <m/>
    <s v="oui"/>
    <m/>
    <n v="2"/>
    <n v="0.75"/>
    <n v="1.5"/>
  </r>
  <r>
    <d v="2023-10-18T00:00:00"/>
    <x v="5"/>
    <s v="-"/>
    <x v="0"/>
    <x v="0"/>
    <x v="9"/>
    <s v="variétal"/>
    <s v="-"/>
    <m/>
    <s v="oui"/>
    <m/>
    <n v="2"/>
    <n v="0.75"/>
    <n v="1.5"/>
  </r>
  <r>
    <d v="2023-10-18T00:00:00"/>
    <x v="5"/>
    <s v="-"/>
    <x v="0"/>
    <x v="3"/>
    <x v="9"/>
    <s v="Lot GCF"/>
    <s v="-"/>
    <m/>
    <s v="oui"/>
    <s v="50% B1-0 + 50% E1-1"/>
    <n v="2"/>
    <n v="0.75"/>
    <n v="1.5"/>
  </r>
  <r>
    <d v="2023-10-18T00:00:00"/>
    <x v="5"/>
    <s v="-"/>
    <x v="1"/>
    <x v="62"/>
    <x v="9"/>
    <s v="Lot GCF Petit degré"/>
    <s v="D1-7"/>
    <m/>
    <s v="oui"/>
    <m/>
    <n v="1"/>
    <n v="0.75"/>
    <n v="0.75"/>
  </r>
  <r>
    <d v="2023-10-18T00:00:00"/>
    <x v="5"/>
    <s v="-"/>
    <x v="1"/>
    <x v="62"/>
    <x v="9"/>
    <s v="Lot GCF"/>
    <s v="-"/>
    <m/>
    <s v="oui"/>
    <s v="30 g/hl acide tartrique + 15 g/hl acide malique"/>
    <n v="1"/>
    <n v="0.75"/>
    <n v="0.75"/>
  </r>
  <r>
    <d v="2023-10-18T00:00:00"/>
    <x v="5"/>
    <s v="-"/>
    <x v="1"/>
    <x v="62"/>
    <x v="9"/>
    <s v="Lot GCF"/>
    <s v="-"/>
    <m/>
    <s v="oui"/>
    <s v="30 g/hl acide malique + 30 g/hl acide tartrique"/>
    <n v="1"/>
    <n v="0.75"/>
    <n v="0.75"/>
  </r>
  <r>
    <d v="2023-10-18T00:00:00"/>
    <x v="5"/>
    <s v="-"/>
    <x v="1"/>
    <x v="62"/>
    <x v="9"/>
    <s v="Lot GCF"/>
    <s v="-"/>
    <m/>
    <s v="oui"/>
    <m/>
    <n v="1"/>
    <n v="0.75"/>
    <n v="0.75"/>
  </r>
  <r>
    <d v="2023-10-18T00:00:00"/>
    <x v="2"/>
    <s v="-"/>
    <x v="0"/>
    <x v="17"/>
    <x v="9"/>
    <s v="Lot Oc Blanc"/>
    <s v="-"/>
    <m/>
    <s v="oui"/>
    <m/>
    <n v="3"/>
    <n v="0.75"/>
    <n v="2.25"/>
  </r>
  <r>
    <d v="2023-10-18T00:00:00"/>
    <x v="2"/>
    <s v="-"/>
    <x v="1"/>
    <x v="46"/>
    <x v="9"/>
    <s v="Lot Oc Rosé"/>
    <s v="-"/>
    <m/>
    <s v="oui"/>
    <m/>
    <n v="3"/>
    <n v="0.75"/>
    <n v="2.25"/>
  </r>
  <r>
    <d v="2023-10-23T00:00:00"/>
    <x v="65"/>
    <s v="TWS"/>
    <x v="0"/>
    <x v="118"/>
    <x v="9"/>
    <s v="-"/>
    <s v="J1-2"/>
    <m/>
    <s v="oui"/>
    <m/>
    <n v="4"/>
    <n v="0.75"/>
    <n v="3"/>
  </r>
  <r>
    <d v="2023-10-23T00:00:00"/>
    <x v="65"/>
    <s v="TWS"/>
    <x v="0"/>
    <x v="118"/>
    <x v="9"/>
    <s v="-"/>
    <s v="K1-15"/>
    <m/>
    <s v="oui"/>
    <m/>
    <n v="4"/>
    <n v="0.75"/>
    <n v="3"/>
  </r>
  <r>
    <d v="2023-10-23T00:00:00"/>
    <x v="65"/>
    <s v="TWS"/>
    <x v="1"/>
    <x v="38"/>
    <x v="9"/>
    <s v="Lot Oc Rosé"/>
    <s v="-"/>
    <m/>
    <s v="oui"/>
    <m/>
    <n v="6"/>
    <n v="0.75"/>
    <n v="4.5"/>
  </r>
  <r>
    <d v="2023-10-23T00:00:00"/>
    <x v="2"/>
    <s v="-"/>
    <x v="0"/>
    <x v="1"/>
    <x v="8"/>
    <s v="-"/>
    <s v="C2-7"/>
    <m/>
    <s v="oui"/>
    <m/>
    <n v="2"/>
    <n v="0.75"/>
    <n v="1.5"/>
  </r>
  <r>
    <d v="2023-10-23T00:00:00"/>
    <x v="2"/>
    <s v="-"/>
    <x v="0"/>
    <x v="1"/>
    <x v="9"/>
    <s v="variétal"/>
    <s v="-"/>
    <m/>
    <s v="oui"/>
    <m/>
    <n v="4"/>
    <n v="0.75"/>
    <n v="3"/>
  </r>
  <r>
    <d v="2023-10-23T00:00:00"/>
    <x v="2"/>
    <s v="-"/>
    <x v="0"/>
    <x v="1"/>
    <x v="9"/>
    <s v="supérieur"/>
    <s v="-"/>
    <m/>
    <s v="oui"/>
    <m/>
    <n v="4"/>
    <n v="0.75"/>
    <n v="3"/>
  </r>
  <r>
    <d v="2023-10-23T00:00:00"/>
    <x v="2"/>
    <s v="-"/>
    <x v="0"/>
    <x v="1"/>
    <x v="9"/>
    <s v="classique"/>
    <s v="-"/>
    <m/>
    <s v="oui"/>
    <m/>
    <n v="4"/>
    <n v="0.75"/>
    <n v="3"/>
  </r>
  <r>
    <d v="2023-10-23T00:00:00"/>
    <x v="2"/>
    <s v="-"/>
    <x v="0"/>
    <x v="0"/>
    <x v="9"/>
    <s v="variétal"/>
    <s v="-"/>
    <m/>
    <s v="oui"/>
    <m/>
    <n v="4"/>
    <n v="0.75"/>
    <n v="3"/>
  </r>
  <r>
    <d v="2023-10-23T00:00:00"/>
    <x v="2"/>
    <s v="-"/>
    <x v="0"/>
    <x v="0"/>
    <x v="9"/>
    <s v="supérieur"/>
    <s v="-"/>
    <m/>
    <s v="oui"/>
    <m/>
    <n v="4"/>
    <n v="0.75"/>
    <n v="3"/>
  </r>
  <r>
    <d v="2023-10-23T00:00:00"/>
    <x v="2"/>
    <s v="-"/>
    <x v="0"/>
    <x v="0"/>
    <x v="9"/>
    <s v="Lot Boisé"/>
    <s v="E1-6"/>
    <m/>
    <s v="oui"/>
    <m/>
    <n v="2"/>
    <n v="0.75"/>
    <n v="1.5"/>
  </r>
  <r>
    <d v="2023-10-24T00:00:00"/>
    <x v="86"/>
    <s v="-"/>
    <x v="0"/>
    <x v="120"/>
    <x v="9"/>
    <s v="Lot 1"/>
    <s v="-"/>
    <m/>
    <s v="oui"/>
    <m/>
    <n v="2"/>
    <n v="0.75"/>
    <n v="1.5"/>
  </r>
  <r>
    <d v="2023-10-24T00:00:00"/>
    <x v="86"/>
    <s v="-"/>
    <x v="0"/>
    <x v="120"/>
    <x v="9"/>
    <s v="Lot 2"/>
    <s v="-"/>
    <m/>
    <s v="oui"/>
    <m/>
    <n v="2"/>
    <n v="0.75"/>
    <n v="1.5"/>
  </r>
  <r>
    <d v="2023-10-24T00:00:00"/>
    <x v="86"/>
    <s v="-"/>
    <x v="1"/>
    <x v="38"/>
    <x v="9"/>
    <s v="Lot Cers 1"/>
    <s v="-"/>
    <m/>
    <s v="oui"/>
    <m/>
    <n v="2"/>
    <n v="0.75"/>
    <n v="1.5"/>
  </r>
  <r>
    <d v="2023-10-24T00:00:00"/>
    <x v="86"/>
    <s v="-"/>
    <x v="1"/>
    <x v="38"/>
    <x v="9"/>
    <s v="Lot Cers 2"/>
    <s v="-"/>
    <m/>
    <s v="oui"/>
    <m/>
    <n v="2"/>
    <n v="0.75"/>
    <n v="1.5"/>
  </r>
  <r>
    <d v="2023-10-26T00:00:00"/>
    <x v="92"/>
    <s v="-"/>
    <x v="0"/>
    <x v="78"/>
    <x v="9"/>
    <s v="Lot 1"/>
    <s v="-"/>
    <m/>
    <s v="oui"/>
    <m/>
    <n v="2"/>
    <n v="0.75"/>
    <n v="1.5"/>
  </r>
  <r>
    <d v="2023-10-26T00:00:00"/>
    <x v="92"/>
    <s v="-"/>
    <x v="0"/>
    <x v="78"/>
    <x v="9"/>
    <s v="Lot 2"/>
    <s v="-"/>
    <m/>
    <s v="oui"/>
    <m/>
    <n v="2"/>
    <n v="0.75"/>
    <n v="1.5"/>
  </r>
  <r>
    <d v="2023-10-26T00:00:00"/>
    <x v="92"/>
    <s v="-"/>
    <x v="1"/>
    <x v="78"/>
    <x v="9"/>
    <s v="Lot 1"/>
    <s v="-"/>
    <m/>
    <s v="oui"/>
    <m/>
    <n v="2"/>
    <n v="0.75"/>
    <n v="1.5"/>
  </r>
  <r>
    <d v="2023-10-26T00:00:00"/>
    <x v="92"/>
    <s v="-"/>
    <x v="1"/>
    <x v="78"/>
    <x v="9"/>
    <s v="Lot 2"/>
    <s v="-"/>
    <m/>
    <s v="oui"/>
    <m/>
    <n v="2"/>
    <n v="0.75"/>
    <n v="1.5"/>
  </r>
  <r>
    <d v="2023-10-26T00:00:00"/>
    <x v="92"/>
    <s v="-"/>
    <x v="1"/>
    <x v="121"/>
    <x v="9"/>
    <s v="Lot 1"/>
    <s v="-"/>
    <m/>
    <s v="oui"/>
    <m/>
    <n v="2"/>
    <n v="0.75"/>
    <n v="1.5"/>
  </r>
  <r>
    <d v="2023-10-26T00:00:00"/>
    <x v="92"/>
    <s v="-"/>
    <x v="1"/>
    <x v="121"/>
    <x v="9"/>
    <s v="Lot 2"/>
    <s v="-"/>
    <m/>
    <s v="oui"/>
    <m/>
    <n v="2"/>
    <n v="0.75"/>
    <n v="1.5"/>
  </r>
  <r>
    <d v="2023-10-26T00:00:00"/>
    <x v="2"/>
    <s v="-"/>
    <x v="0"/>
    <x v="1"/>
    <x v="8"/>
    <s v="-"/>
    <s v="C2-7"/>
    <m/>
    <s v="oui"/>
    <m/>
    <n v="2"/>
    <n v="0.75"/>
    <n v="1.5"/>
  </r>
  <r>
    <d v="2023-10-26T00:00:00"/>
    <x v="2"/>
    <s v="-"/>
    <x v="0"/>
    <x v="0"/>
    <x v="8"/>
    <s v="Lot Boisé"/>
    <s v="E1-2"/>
    <m/>
    <s v="oui"/>
    <m/>
    <n v="2"/>
    <n v="0.75"/>
    <n v="1.5"/>
  </r>
  <r>
    <d v="2023-10-26T00:00:00"/>
    <x v="1"/>
    <s v="Ciatti"/>
    <x v="1"/>
    <x v="4"/>
    <x v="9"/>
    <s v="-"/>
    <s v="G1-2"/>
    <m/>
    <s v="oui"/>
    <m/>
    <n v="2"/>
    <n v="0.75"/>
    <n v="1.5"/>
  </r>
  <r>
    <d v="2023-10-26T00:00:00"/>
    <x v="1"/>
    <s v="Ciatti"/>
    <x v="0"/>
    <x v="2"/>
    <x v="9"/>
    <s v="Lot Viognier"/>
    <s v="-"/>
    <m/>
    <s v="oui"/>
    <m/>
    <n v="2"/>
    <n v="0.75"/>
    <n v="1.5"/>
  </r>
  <r>
    <d v="2023-10-26T00:00:00"/>
    <x v="1"/>
    <s v="Ciatti"/>
    <x v="0"/>
    <x v="0"/>
    <x v="9"/>
    <s v="variétal"/>
    <s v="-"/>
    <m/>
    <s v="oui"/>
    <m/>
    <n v="2"/>
    <n v="0.75"/>
    <n v="1.5"/>
  </r>
  <r>
    <d v="2023-10-26T00:00:00"/>
    <x v="1"/>
    <s v="Ciatti"/>
    <x v="0"/>
    <x v="0"/>
    <x v="9"/>
    <s v="supérieur"/>
    <s v="-"/>
    <m/>
    <s v="oui"/>
    <m/>
    <n v="2"/>
    <n v="0.75"/>
    <n v="1.5"/>
  </r>
  <r>
    <d v="2023-10-26T00:00:00"/>
    <x v="1"/>
    <s v="Ciatti"/>
    <x v="0"/>
    <x v="0"/>
    <x v="9"/>
    <s v="classique"/>
    <s v="-"/>
    <m/>
    <s v="oui"/>
    <m/>
    <n v="2"/>
    <n v="0.75"/>
    <n v="1.5"/>
  </r>
  <r>
    <d v="2023-10-26T00:00:00"/>
    <x v="1"/>
    <s v="Ciatti"/>
    <x v="1"/>
    <x v="38"/>
    <x v="9"/>
    <s v="Lot Oc Rosé"/>
    <s v="-"/>
    <m/>
    <s v="oui"/>
    <m/>
    <n v="2"/>
    <n v="0.75"/>
    <n v="1.5"/>
  </r>
  <r>
    <d v="2023-10-26T00:00:00"/>
    <x v="5"/>
    <s v="-"/>
    <x v="1"/>
    <x v="62"/>
    <x v="9"/>
    <s v="Lot GCF"/>
    <s v="G1-6"/>
    <m/>
    <s v="oui"/>
    <m/>
    <n v="2"/>
    <n v="0.75"/>
    <n v="1.5"/>
  </r>
  <r>
    <d v="2023-10-26T00:00:00"/>
    <x v="5"/>
    <s v="-"/>
    <x v="1"/>
    <x v="62"/>
    <x v="9"/>
    <s v="Lot GCF Petit degré"/>
    <s v="D1-7"/>
    <m/>
    <s v="oui"/>
    <m/>
    <n v="2"/>
    <n v="0.75"/>
    <n v="1.5"/>
  </r>
  <r>
    <d v="2023-10-26T00:00:00"/>
    <x v="5"/>
    <s v="-"/>
    <x v="0"/>
    <x v="17"/>
    <x v="9"/>
    <s v="-"/>
    <s v="I1-9"/>
    <m/>
    <s v="oui"/>
    <m/>
    <n v="2"/>
    <n v="0.75"/>
    <n v="1.5"/>
  </r>
  <r>
    <d v="2023-10-26T00:00:00"/>
    <x v="5"/>
    <s v="-"/>
    <x v="0"/>
    <x v="17"/>
    <x v="9"/>
    <s v="-"/>
    <s v="I1-8"/>
    <m/>
    <s v="oui"/>
    <m/>
    <n v="2"/>
    <n v="0.75"/>
    <n v="1.5"/>
  </r>
  <r>
    <d v="2023-10-26T00:00:00"/>
    <x v="5"/>
    <s v="-"/>
    <x v="0"/>
    <x v="17"/>
    <x v="9"/>
    <s v="-"/>
    <s v="C1-0"/>
    <m/>
    <s v="oui"/>
    <m/>
    <n v="2"/>
    <n v="0.75"/>
    <n v="1.5"/>
  </r>
  <r>
    <d v="2023-10-26T00:00:00"/>
    <x v="5"/>
    <s v="-"/>
    <x v="0"/>
    <x v="17"/>
    <x v="9"/>
    <s v="-"/>
    <s v="F1-8"/>
    <m/>
    <s v="oui"/>
    <m/>
    <n v="2"/>
    <n v="0.75"/>
    <n v="1.5"/>
  </r>
  <r>
    <d v="2023-10-26T00:00:00"/>
    <x v="5"/>
    <s v="-"/>
    <x v="0"/>
    <x v="17"/>
    <x v="9"/>
    <s v="-"/>
    <s v="I1-3"/>
    <m/>
    <s v="oui"/>
    <m/>
    <n v="2"/>
    <n v="0.75"/>
    <n v="1.5"/>
  </r>
  <r>
    <d v="2023-10-26T00:00:00"/>
    <x v="5"/>
    <s v="-"/>
    <x v="0"/>
    <x v="17"/>
    <x v="9"/>
    <s v="-"/>
    <s v="D1-10"/>
    <m/>
    <s v="oui"/>
    <m/>
    <n v="2"/>
    <n v="0.75"/>
    <n v="1.5"/>
  </r>
  <r>
    <d v="2023-10-26T00:00:00"/>
    <x v="123"/>
    <s v="SP Wines"/>
    <x v="0"/>
    <x v="1"/>
    <x v="9"/>
    <s v="classique"/>
    <s v="-"/>
    <m/>
    <s v="oui"/>
    <m/>
    <n v="2"/>
    <n v="0.75"/>
    <n v="1.5"/>
  </r>
  <r>
    <d v="2023-10-26T00:00:00"/>
    <x v="123"/>
    <s v="SP Wines"/>
    <x v="0"/>
    <x v="1"/>
    <x v="9"/>
    <s v="supérieur"/>
    <s v="-"/>
    <m/>
    <s v="oui"/>
    <m/>
    <n v="2"/>
    <n v="0.75"/>
    <n v="1.5"/>
  </r>
  <r>
    <d v="2023-11-13T00:00:00"/>
    <x v="1"/>
    <s v="Vargoz"/>
    <x v="0"/>
    <x v="3"/>
    <x v="9"/>
    <s v="vrac"/>
    <s v="F1-06"/>
    <m/>
    <s v="oui"/>
    <m/>
    <n v="3"/>
    <n v="0.75"/>
    <n v="2.25"/>
  </r>
  <r>
    <d v="2023-11-13T00:00:00"/>
    <x v="1"/>
    <s v="Vargoz"/>
    <x v="0"/>
    <x v="21"/>
    <x v="9"/>
    <s v="vrac"/>
    <s v="J2-06"/>
    <m/>
    <s v="oui"/>
    <m/>
    <n v="3"/>
    <n v="0.75"/>
    <n v="2.25"/>
  </r>
  <r>
    <d v="2023-11-13T00:00:00"/>
    <x v="1"/>
    <s v="Vargoz"/>
    <x v="0"/>
    <x v="2"/>
    <x v="9"/>
    <s v="vrac"/>
    <s v="A1-08"/>
    <m/>
    <s v="oui"/>
    <m/>
    <n v="3"/>
    <n v="0.75"/>
    <n v="2.25"/>
  </r>
  <r>
    <d v="2023-11-13T00:00:00"/>
    <x v="1"/>
    <s v="Vargoz"/>
    <x v="0"/>
    <x v="111"/>
    <x v="9"/>
    <s v="vrac"/>
    <s v="I1-09"/>
    <m/>
    <s v="oui"/>
    <m/>
    <n v="3"/>
    <n v="0.75"/>
    <n v="2.25"/>
  </r>
  <r>
    <d v="2023-11-13T00:00:00"/>
    <x v="1"/>
    <s v="Vargoz"/>
    <x v="0"/>
    <x v="122"/>
    <x v="9"/>
    <s v="vrac"/>
    <s v="-"/>
    <m/>
    <s v="oui"/>
    <m/>
    <n v="3"/>
    <n v="0.75"/>
    <n v="2.25"/>
  </r>
  <r>
    <d v="2023-11-13T00:00:00"/>
    <x v="1"/>
    <s v="Vargoz"/>
    <x v="0"/>
    <x v="112"/>
    <x v="9"/>
    <s v="vrac"/>
    <s v="-"/>
    <m/>
    <s v="oui"/>
    <m/>
    <n v="3"/>
    <n v="0.75"/>
    <n v="2.25"/>
  </r>
  <r>
    <d v="2023-11-13T00:00:00"/>
    <x v="1"/>
    <s v="Vargoz"/>
    <x v="0"/>
    <x v="113"/>
    <x v="9"/>
    <s v="vrac"/>
    <s v="-"/>
    <m/>
    <s v="oui"/>
    <m/>
    <n v="3"/>
    <n v="0.75"/>
    <n v="2.25"/>
  </r>
  <r>
    <d v="2023-11-13T00:00:00"/>
    <x v="1"/>
    <s v="Vargoz"/>
    <x v="0"/>
    <x v="123"/>
    <x v="9"/>
    <s v="vrac"/>
    <s v="-"/>
    <m/>
    <s v="oui"/>
    <m/>
    <n v="3"/>
    <n v="0.75"/>
    <n v="2.25"/>
  </r>
  <r>
    <d v="2023-11-13T00:00:00"/>
    <x v="1"/>
    <s v="Vargoz"/>
    <x v="0"/>
    <x v="124"/>
    <x v="9"/>
    <s v="vrac"/>
    <s v="-"/>
    <m/>
    <s v="oui"/>
    <m/>
    <n v="3"/>
    <n v="0.75"/>
    <n v="2.25"/>
  </r>
  <r>
    <d v="2023-11-13T00:00:00"/>
    <x v="1"/>
    <s v="Vargoz"/>
    <x v="1"/>
    <x v="38"/>
    <x v="9"/>
    <s v="vrac"/>
    <s v="-"/>
    <m/>
    <s v="oui"/>
    <m/>
    <n v="3"/>
    <n v="0.75"/>
    <n v="2.25"/>
  </r>
  <r>
    <d v="2023-11-13T00:00:00"/>
    <x v="1"/>
    <s v="Vargoz"/>
    <x v="1"/>
    <x v="7"/>
    <x v="9"/>
    <s v="vrac"/>
    <s v="C1-07"/>
    <m/>
    <s v="oui"/>
    <m/>
    <n v="3"/>
    <n v="0.75"/>
    <n v="2.25"/>
  </r>
  <r>
    <d v="2023-11-13T00:00:00"/>
    <x v="5"/>
    <s v="-"/>
    <x v="0"/>
    <x v="17"/>
    <x v="9"/>
    <s v="vrac"/>
    <s v="A2-03"/>
    <m/>
    <s v="oui"/>
    <m/>
    <n v="3"/>
    <n v="0.75"/>
    <n v="2.25"/>
  </r>
  <r>
    <d v="2023-11-13T00:00:00"/>
    <x v="5"/>
    <s v="-"/>
    <x v="1"/>
    <x v="46"/>
    <x v="9"/>
    <s v="vrac"/>
    <s v="-"/>
    <m/>
    <s v="oui"/>
    <m/>
    <n v="3"/>
    <n v="0.75"/>
    <n v="2.25"/>
  </r>
  <r>
    <d v="2023-11-13T00:00:00"/>
    <x v="62"/>
    <s v="-"/>
    <x v="0"/>
    <x v="2"/>
    <x v="9"/>
    <s v="vrac"/>
    <s v="A1-08"/>
    <m/>
    <s v="oui"/>
    <m/>
    <n v="2"/>
    <n v="0.75"/>
    <n v="1.5"/>
  </r>
  <r>
    <d v="2023-11-13T00:00:00"/>
    <x v="62"/>
    <s v="-"/>
    <x v="0"/>
    <x v="123"/>
    <x v="9"/>
    <s v="vrac"/>
    <s v="-"/>
    <m/>
    <s v="oui"/>
    <m/>
    <n v="2"/>
    <n v="0.75"/>
    <n v="1.5"/>
  </r>
  <r>
    <d v="2023-11-13T00:00:00"/>
    <x v="62"/>
    <s v="-"/>
    <x v="0"/>
    <x v="125"/>
    <x v="9"/>
    <s v="vrac"/>
    <s v="-"/>
    <m/>
    <s v="oui"/>
    <m/>
    <n v="2"/>
    <n v="0.75"/>
    <n v="1.5"/>
  </r>
  <r>
    <d v="2023-11-13T00:00:00"/>
    <x v="62"/>
    <s v="-"/>
    <x v="0"/>
    <x v="126"/>
    <x v="9"/>
    <s v="vrac"/>
    <s v="-"/>
    <m/>
    <s v="oui"/>
    <m/>
    <n v="2"/>
    <n v="0.75"/>
    <n v="1.5"/>
  </r>
  <r>
    <d v="2023-11-13T00:00:00"/>
    <x v="62"/>
    <s v="-"/>
    <x v="0"/>
    <x v="127"/>
    <x v="9"/>
    <s v="vrac"/>
    <s v="-"/>
    <m/>
    <s v="oui"/>
    <m/>
    <n v="2"/>
    <n v="0.75"/>
    <n v="1.5"/>
  </r>
  <r>
    <d v="2023-11-13T00:00:00"/>
    <x v="62"/>
    <s v="-"/>
    <x v="0"/>
    <x v="128"/>
    <x v="9"/>
    <s v="vrac"/>
    <s v="F1-6"/>
    <m/>
    <s v="oui"/>
    <m/>
    <n v="2"/>
    <n v="0.75"/>
    <n v="1.5"/>
  </r>
  <r>
    <d v="2023-11-13T00:00:00"/>
    <x v="65"/>
    <s v="TWS"/>
    <x v="0"/>
    <x v="118"/>
    <x v="9"/>
    <s v="-"/>
    <s v="J1-2"/>
    <m/>
    <s v="oui"/>
    <m/>
    <n v="4"/>
    <n v="0.75"/>
    <n v="3"/>
  </r>
  <r>
    <d v="2023-11-13T00:00:00"/>
    <x v="65"/>
    <s v="TWS"/>
    <x v="0"/>
    <x v="3"/>
    <x v="8"/>
    <s v="-"/>
    <s v="B2-7"/>
    <m/>
    <s v="oui"/>
    <m/>
    <n v="4"/>
    <n v="0.75"/>
    <n v="3"/>
  </r>
  <r>
    <d v="2023-11-13T00:00:00"/>
    <x v="65"/>
    <s v="TWS"/>
    <x v="0"/>
    <x v="21"/>
    <x v="9"/>
    <s v="-"/>
    <s v="J2-6"/>
    <m/>
    <s v="oui"/>
    <m/>
    <n v="4"/>
    <n v="0.75"/>
    <n v="3"/>
  </r>
  <r>
    <d v="2023-11-13T00:00:00"/>
    <x v="65"/>
    <s v="TWS"/>
    <x v="0"/>
    <x v="129"/>
    <x v="9"/>
    <s v="-"/>
    <s v="E2-3"/>
    <m/>
    <s v="oui"/>
    <m/>
    <n v="4"/>
    <n v="0.75"/>
    <n v="3"/>
  </r>
  <r>
    <d v="2023-11-13T00:00:00"/>
    <x v="65"/>
    <s v="TWS"/>
    <x v="0"/>
    <x v="2"/>
    <x v="9"/>
    <s v="vrac"/>
    <s v="A1-8"/>
    <m/>
    <s v="oui"/>
    <m/>
    <n v="4"/>
    <n v="0.75"/>
    <n v="3"/>
  </r>
  <r>
    <d v="2023-11-13T00:00:00"/>
    <x v="65"/>
    <s v="TWS"/>
    <x v="0"/>
    <x v="19"/>
    <x v="9"/>
    <s v="vrac"/>
    <s v="C1-0"/>
    <m/>
    <s v="oui"/>
    <m/>
    <n v="4"/>
    <n v="0.75"/>
    <n v="3"/>
  </r>
  <r>
    <d v="2023-11-14T00:00:00"/>
    <x v="1"/>
    <s v="SP Wines"/>
    <x v="1"/>
    <x v="130"/>
    <x v="9"/>
    <s v="vrac"/>
    <s v="I1-08"/>
    <m/>
    <s v="oui"/>
    <m/>
    <n v="4"/>
    <n v="0.75"/>
    <n v="3"/>
  </r>
  <r>
    <d v="2023-11-14T00:00:00"/>
    <x v="1"/>
    <s v="SP Wines"/>
    <x v="1"/>
    <x v="131"/>
    <x v="9"/>
    <s v="vrac"/>
    <s v="J1-06"/>
    <m/>
    <s v="oui"/>
    <m/>
    <n v="4"/>
    <n v="0.75"/>
    <n v="3"/>
  </r>
  <r>
    <d v="2023-11-14T00:00:00"/>
    <x v="7"/>
    <s v="-"/>
    <x v="0"/>
    <x v="111"/>
    <x v="9"/>
    <s v="vrac"/>
    <s v="I1-09"/>
    <m/>
    <s v="oui"/>
    <m/>
    <n v="3"/>
    <n v="0.75"/>
    <n v="2.25"/>
  </r>
  <r>
    <d v="2023-11-14T00:00:00"/>
    <x v="7"/>
    <s v="-"/>
    <x v="0"/>
    <x v="126"/>
    <x v="9"/>
    <s v="vrac"/>
    <s v="-"/>
    <m/>
    <s v="oui"/>
    <m/>
    <n v="3"/>
    <n v="0.75"/>
    <n v="2.25"/>
  </r>
  <r>
    <d v="2023-11-14T00:00:00"/>
    <x v="7"/>
    <s v="-"/>
    <x v="0"/>
    <x v="122"/>
    <x v="9"/>
    <s v="vrac"/>
    <s v="-"/>
    <m/>
    <s v="oui"/>
    <m/>
    <n v="3"/>
    <n v="0.75"/>
    <n v="2.25"/>
  </r>
  <r>
    <d v="2023-11-14T00:00:00"/>
    <x v="2"/>
    <s v="-"/>
    <x v="0"/>
    <x v="1"/>
    <x v="9"/>
    <s v="vrac"/>
    <s v="A1-9"/>
    <m/>
    <s v="oui"/>
    <m/>
    <n v="4"/>
    <n v="0.75"/>
    <n v="3"/>
  </r>
  <r>
    <d v="2023-11-14T00:00:00"/>
    <x v="2"/>
    <s v="-"/>
    <x v="0"/>
    <x v="2"/>
    <x v="9"/>
    <s v="vrac"/>
    <s v="A1-8"/>
    <m/>
    <s v="oui"/>
    <m/>
    <n v="4"/>
    <n v="0.75"/>
    <n v="3"/>
  </r>
  <r>
    <d v="2023-11-14T00:00:00"/>
    <x v="9"/>
    <s v="Jacques Woloviek"/>
    <x v="0"/>
    <x v="0"/>
    <x v="9"/>
    <s v="classique"/>
    <s v="-"/>
    <m/>
    <s v="oui"/>
    <m/>
    <n v="4"/>
    <n v="0.75"/>
    <n v="3"/>
  </r>
  <r>
    <d v="2023-11-14T00:00:00"/>
    <x v="9"/>
    <s v="Jacques Woloviek"/>
    <x v="0"/>
    <x v="0"/>
    <x v="9"/>
    <s v="variétal"/>
    <s v="-"/>
    <m/>
    <s v="oui"/>
    <m/>
    <n v="4"/>
    <n v="0.75"/>
    <n v="3"/>
  </r>
  <r>
    <d v="2023-11-14T00:00:00"/>
    <x v="9"/>
    <s v="Jacques Woloviek"/>
    <x v="0"/>
    <x v="3"/>
    <x v="9"/>
    <s v="-"/>
    <s v="F1-6"/>
    <m/>
    <s v="oui"/>
    <m/>
    <n v="4"/>
    <n v="0.75"/>
    <n v="3"/>
  </r>
  <r>
    <d v="2023-11-15T00:00:00"/>
    <x v="15"/>
    <s v="René Jeanjean"/>
    <x v="0"/>
    <x v="0"/>
    <x v="9"/>
    <s v="classique"/>
    <s v="-"/>
    <m/>
    <s v="oui"/>
    <m/>
    <n v="1"/>
    <n v="0.75"/>
    <n v="0.75"/>
  </r>
  <r>
    <d v="2023-11-15T00:00:00"/>
    <x v="15"/>
    <s v="René Jeanjean"/>
    <x v="0"/>
    <x v="0"/>
    <x v="9"/>
    <s v="variétal"/>
    <s v="-"/>
    <m/>
    <s v="oui"/>
    <m/>
    <n v="1"/>
    <n v="0.75"/>
    <n v="0.75"/>
  </r>
  <r>
    <d v="2023-11-15T00:00:00"/>
    <x v="15"/>
    <s v="René Jeanjean"/>
    <x v="0"/>
    <x v="0"/>
    <x v="9"/>
    <s v="supérieur"/>
    <s v="-"/>
    <m/>
    <s v="oui"/>
    <m/>
    <n v="1"/>
    <n v="0.75"/>
    <n v="0.75"/>
  </r>
  <r>
    <d v="2023-11-15T00:00:00"/>
    <x v="15"/>
    <s v="René Jeanjean"/>
    <x v="0"/>
    <x v="1"/>
    <x v="9"/>
    <s v="classique"/>
    <s v="C1-4"/>
    <m/>
    <s v="oui"/>
    <m/>
    <n v="1"/>
    <n v="0.75"/>
    <n v="0.75"/>
  </r>
  <r>
    <d v="2023-11-15T00:00:00"/>
    <x v="15"/>
    <s v="René Jeanjean"/>
    <x v="0"/>
    <x v="1"/>
    <x v="9"/>
    <s v="variétal"/>
    <s v="A1-7"/>
    <m/>
    <s v="oui"/>
    <m/>
    <n v="1"/>
    <n v="0.75"/>
    <n v="0.75"/>
  </r>
  <r>
    <d v="2023-11-15T00:00:00"/>
    <x v="15"/>
    <s v="René Jeanjean"/>
    <x v="0"/>
    <x v="1"/>
    <x v="9"/>
    <s v="supérieur"/>
    <s v="I1-9"/>
    <m/>
    <s v="oui"/>
    <m/>
    <n v="1"/>
    <n v="0.75"/>
    <n v="0.75"/>
  </r>
  <r>
    <d v="2023-11-15T00:00:00"/>
    <x v="15"/>
    <s v="René Jeanjean"/>
    <x v="0"/>
    <x v="3"/>
    <x v="9"/>
    <s v="-"/>
    <s v="F1-6"/>
    <m/>
    <s v="oui"/>
    <m/>
    <n v="1"/>
    <n v="0.75"/>
    <n v="0.75"/>
  </r>
  <r>
    <d v="2023-11-15T00:00:00"/>
    <x v="15"/>
    <s v="René Jeanjean"/>
    <x v="1"/>
    <x v="38"/>
    <x v="9"/>
    <s v="-"/>
    <s v="-"/>
    <m/>
    <s v="oui"/>
    <m/>
    <n v="1"/>
    <n v="0.75"/>
    <n v="0.75"/>
  </r>
  <r>
    <d v="2023-11-15T00:00:00"/>
    <x v="113"/>
    <s v="-"/>
    <x v="0"/>
    <x v="0"/>
    <x v="9"/>
    <s v="classique"/>
    <s v="-"/>
    <m/>
    <s v="oui"/>
    <m/>
    <n v="2"/>
    <n v="0.75"/>
    <n v="1.5"/>
  </r>
  <r>
    <d v="2023-11-15T00:00:00"/>
    <x v="113"/>
    <s v="-"/>
    <x v="0"/>
    <x v="0"/>
    <x v="9"/>
    <s v="variétal"/>
    <s v="-"/>
    <m/>
    <s v="oui"/>
    <m/>
    <n v="2"/>
    <n v="0.75"/>
    <n v="1.5"/>
  </r>
  <r>
    <d v="2023-11-15T00:00:00"/>
    <x v="113"/>
    <s v="-"/>
    <x v="0"/>
    <x v="0"/>
    <x v="9"/>
    <s v="supérieur"/>
    <s v="-"/>
    <m/>
    <s v="oui"/>
    <m/>
    <n v="2"/>
    <n v="0.75"/>
    <n v="1.5"/>
  </r>
  <r>
    <d v="2023-11-15T00:00:00"/>
    <x v="113"/>
    <s v="-"/>
    <x v="0"/>
    <x v="1"/>
    <x v="9"/>
    <s v="classique"/>
    <s v="C1-4"/>
    <m/>
    <s v="oui"/>
    <m/>
    <n v="2"/>
    <n v="0.75"/>
    <n v="1.5"/>
  </r>
  <r>
    <d v="2023-11-15T00:00:00"/>
    <x v="113"/>
    <s v="-"/>
    <x v="0"/>
    <x v="1"/>
    <x v="9"/>
    <s v="variétal"/>
    <s v="A1-7"/>
    <m/>
    <s v="oui"/>
    <m/>
    <n v="2"/>
    <n v="0.75"/>
    <n v="1.5"/>
  </r>
  <r>
    <d v="2023-11-15T00:00:00"/>
    <x v="113"/>
    <s v="-"/>
    <x v="0"/>
    <x v="1"/>
    <x v="9"/>
    <s v="supérieur"/>
    <s v="I1-9"/>
    <m/>
    <s v="oui"/>
    <m/>
    <n v="2"/>
    <n v="0.75"/>
    <n v="1.5"/>
  </r>
  <r>
    <d v="2023-11-15T00:00:00"/>
    <x v="5"/>
    <s v="-"/>
    <x v="1"/>
    <x v="62"/>
    <x v="9"/>
    <s v="Lot GCF Petit degré"/>
    <s v="D1-7"/>
    <m/>
    <s v="oui"/>
    <m/>
    <n v="3"/>
    <n v="0.75"/>
    <n v="2.25"/>
  </r>
  <r>
    <d v="2023-11-15T00:00:00"/>
    <x v="5"/>
    <s v="-"/>
    <x v="1"/>
    <x v="62"/>
    <x v="9"/>
    <s v="Lot GCF"/>
    <s v="-"/>
    <m/>
    <s v="oui"/>
    <m/>
    <n v="3"/>
    <n v="0.75"/>
    <n v="2.25"/>
  </r>
  <r>
    <d v="2023-11-15T00:00:00"/>
    <x v="5"/>
    <s v="-"/>
    <x v="0"/>
    <x v="49"/>
    <x v="9"/>
    <s v="-"/>
    <s v="-"/>
    <m/>
    <s v="oui"/>
    <m/>
    <n v="3"/>
    <n v="0.75"/>
    <n v="2.25"/>
  </r>
  <r>
    <d v="2023-11-15T00:00:00"/>
    <x v="1"/>
    <s v="Ciatti"/>
    <x v="1"/>
    <x v="38"/>
    <x v="9"/>
    <s v="-"/>
    <s v="-"/>
    <m/>
    <s v="oui"/>
    <s v="70% A1-10 + 30% C1-8"/>
    <n v="2"/>
    <n v="0.75"/>
    <n v="1.5"/>
  </r>
  <r>
    <d v="2023-11-16T00:00:00"/>
    <x v="1"/>
    <s v="SITCO"/>
    <x v="0"/>
    <x v="0"/>
    <x v="9"/>
    <s v="bouteille"/>
    <s v="E2-8"/>
    <m/>
    <s v="oui"/>
    <m/>
    <n v="3"/>
    <n v="0.75"/>
    <n v="2.25"/>
  </r>
  <r>
    <d v="2023-11-16T00:00:00"/>
    <x v="1"/>
    <s v="SITCO"/>
    <x v="0"/>
    <x v="1"/>
    <x v="9"/>
    <s v="bouteille"/>
    <s v="B1-6"/>
    <m/>
    <s v="oui"/>
    <m/>
    <n v="3"/>
    <n v="0.75"/>
    <n v="2.25"/>
  </r>
  <r>
    <d v="2023-11-16T00:00:00"/>
    <x v="1"/>
    <s v="SITCO"/>
    <x v="0"/>
    <x v="2"/>
    <x v="9"/>
    <s v="bouteille"/>
    <s v="B2-3"/>
    <m/>
    <s v="oui"/>
    <m/>
    <n v="3"/>
    <n v="0.75"/>
    <n v="2.25"/>
  </r>
  <r>
    <d v="2023-11-16T00:00:00"/>
    <x v="1"/>
    <s v="SITCO"/>
    <x v="1"/>
    <x v="38"/>
    <x v="9"/>
    <s v="Grenache Rosé  bouteille"/>
    <s v="E2-1"/>
    <m/>
    <s v="oui"/>
    <m/>
    <n v="3"/>
    <n v="0.75"/>
    <n v="2.25"/>
  </r>
  <r>
    <d v="2023-11-17T00:00:00"/>
    <x v="65"/>
    <s v="TWS"/>
    <x v="1"/>
    <x v="38"/>
    <x v="9"/>
    <s v="-"/>
    <m/>
    <m/>
    <s v="oui"/>
    <s v="70% A1-10 + 30% C1-8"/>
    <n v="2"/>
    <n v="0.75"/>
    <n v="1.5"/>
  </r>
  <r>
    <d v="2023-11-17T00:00:00"/>
    <x v="65"/>
    <s v="TWS"/>
    <x v="1"/>
    <x v="104"/>
    <x v="9"/>
    <s v="-"/>
    <s v="-"/>
    <m/>
    <s v="oui"/>
    <s v="66% C1-10 + 34% C1-07"/>
    <n v="2"/>
    <n v="0.75"/>
    <n v="1.5"/>
  </r>
  <r>
    <d v="2023-11-17T00:00:00"/>
    <x v="123"/>
    <s v="SP Wines"/>
    <x v="0"/>
    <x v="1"/>
    <x v="9"/>
    <s v="supérieur"/>
    <s v="I1-09"/>
    <m/>
    <s v="oui"/>
    <m/>
    <n v="1"/>
    <n v="0.75"/>
    <n v="0.75"/>
  </r>
  <r>
    <d v="2023-11-17T00:00:00"/>
    <x v="39"/>
    <s v="SP Wines"/>
    <x v="0"/>
    <x v="1"/>
    <x v="9"/>
    <s v="variétal"/>
    <s v="A1-07"/>
    <m/>
    <s v="oui"/>
    <m/>
    <n v="2"/>
    <n v="0.75"/>
    <n v="1.5"/>
  </r>
  <r>
    <d v="2023-11-17T00:00:00"/>
    <x v="39"/>
    <s v="SP Wines"/>
    <x v="0"/>
    <x v="1"/>
    <x v="9"/>
    <s v="classique"/>
    <s v="C1-04"/>
    <m/>
    <s v="oui"/>
    <m/>
    <n v="2"/>
    <n v="0.75"/>
    <n v="1.5"/>
  </r>
  <r>
    <d v="2023-11-20T00:00:00"/>
    <x v="5"/>
    <s v="-"/>
    <x v="0"/>
    <x v="17"/>
    <x v="9"/>
    <s v="-"/>
    <s v="B1-10"/>
    <m/>
    <s v="oui"/>
    <m/>
    <n v="2"/>
    <n v="0.75"/>
    <n v="1.5"/>
  </r>
  <r>
    <d v="2023-11-20T00:00:00"/>
    <x v="5"/>
    <s v="-"/>
    <x v="0"/>
    <x v="49"/>
    <x v="9"/>
    <s v="-"/>
    <s v="B1-08"/>
    <m/>
    <s v="oui"/>
    <m/>
    <n v="1"/>
    <n v="0.75"/>
    <n v="0.75"/>
  </r>
  <r>
    <d v="2023-11-22T00:00:00"/>
    <x v="65"/>
    <s v="TWS"/>
    <x v="3"/>
    <x v="132"/>
    <x v="9"/>
    <s v="-"/>
    <s v="J1-02"/>
    <m/>
    <s v="oui"/>
    <m/>
    <n v="6"/>
    <n v="0.75"/>
    <n v="4.5"/>
  </r>
  <r>
    <d v="2023-11-22T00:00:00"/>
    <x v="11"/>
    <s v="-"/>
    <x v="0"/>
    <x v="1"/>
    <x v="9"/>
    <s v="variétal"/>
    <s v="G1-4"/>
    <m/>
    <s v="oui"/>
    <m/>
    <n v="2"/>
    <n v="0.75"/>
    <n v="1.5"/>
  </r>
  <r>
    <d v="2023-11-22T00:00:00"/>
    <x v="11"/>
    <s v="-"/>
    <x v="0"/>
    <x v="1"/>
    <x v="9"/>
    <s v="supérieur"/>
    <s v="I1-10"/>
    <m/>
    <s v="oui"/>
    <m/>
    <n v="1"/>
    <n v="0.75"/>
    <n v="0.75"/>
  </r>
  <r>
    <d v="2023-11-23T00:00:00"/>
    <x v="100"/>
    <s v="Jeanjean"/>
    <x v="0"/>
    <x v="0"/>
    <x v="8"/>
    <s v="boisé"/>
    <s v="E1-02"/>
    <m/>
    <s v="oui"/>
    <m/>
    <n v="3"/>
    <n v="0.75"/>
    <n v="2.25"/>
  </r>
  <r>
    <d v="2023-11-23T00:00:00"/>
    <x v="124"/>
    <s v="SP Wines "/>
    <x v="0"/>
    <x v="21"/>
    <x v="9"/>
    <s v="-"/>
    <s v="J2-06"/>
    <m/>
    <s v="oui"/>
    <m/>
    <n v="2"/>
    <n v="0.75"/>
    <n v="1.5"/>
  </r>
  <r>
    <d v="2023-11-23T00:00:00"/>
    <x v="124"/>
    <s v="SP Wines "/>
    <x v="2"/>
    <x v="133"/>
    <x v="8"/>
    <s v="-"/>
    <s v="-"/>
    <m/>
    <s v="oui"/>
    <s v="85% piquepoul + 15% C1-1+ 1g/L MCR + 2,5 g/hL Tanin RF + 20 cl/hL Sweet"/>
    <n v="2"/>
    <n v="0.75"/>
    <n v="1.5"/>
  </r>
  <r>
    <d v="2023-11-23T00:00:00"/>
    <x v="98"/>
    <s v="SP Wines "/>
    <x v="0"/>
    <x v="21"/>
    <x v="9"/>
    <s v="-"/>
    <s v="J2-06"/>
    <m/>
    <s v="oui"/>
    <m/>
    <n v="2"/>
    <n v="0.75"/>
    <n v="1.5"/>
  </r>
  <r>
    <d v="2023-11-23T00:00:00"/>
    <x v="98"/>
    <s v="SP Wines "/>
    <x v="0"/>
    <x v="37"/>
    <x v="9"/>
    <s v="Lot 1"/>
    <s v="-"/>
    <m/>
    <s v="oui"/>
    <s v="40% Chardo petit degré + 60 % A1-08"/>
    <n v="1"/>
    <n v="0.75"/>
    <n v="0.75"/>
  </r>
  <r>
    <d v="2023-11-23T00:00:00"/>
    <x v="98"/>
    <s v="SP Wines "/>
    <x v="0"/>
    <x v="134"/>
    <x v="9"/>
    <s v="Lot 2"/>
    <s v="-"/>
    <m/>
    <s v="oui"/>
    <s v="50% Chardo petit degré + 50 % A1-08"/>
    <n v="1"/>
    <n v="0.75"/>
    <n v="0.75"/>
  </r>
  <r>
    <d v="2023-11-23T00:00:00"/>
    <x v="98"/>
    <s v="SP Wines "/>
    <x v="1"/>
    <x v="135"/>
    <x v="9"/>
    <s v="-"/>
    <s v="-"/>
    <m/>
    <s v="oui"/>
    <s v="70% I1-08 + 20% A1-10 + 10 % A2-01"/>
    <n v="2"/>
    <n v="0.75"/>
    <n v="1.5"/>
  </r>
  <r>
    <d v="2023-11-27T00:00:00"/>
    <x v="125"/>
    <s v="-"/>
    <x v="0"/>
    <x v="0"/>
    <x v="9"/>
    <s v="variétal"/>
    <s v="G1-06"/>
    <m/>
    <s v="oui"/>
    <m/>
    <n v="4"/>
    <n v="0.75"/>
    <n v="3"/>
  </r>
  <r>
    <d v="2023-11-27T00:00:00"/>
    <x v="5"/>
    <s v="-"/>
    <x v="0"/>
    <x v="49"/>
    <x v="9"/>
    <s v="-"/>
    <s v="B1-08"/>
    <m/>
    <s v="oui"/>
    <m/>
    <n v="3"/>
    <n v="0.75"/>
    <n v="2.25"/>
  </r>
  <r>
    <d v="2023-11-28T00:00:00"/>
    <x v="65"/>
    <s v="TWS"/>
    <x v="0"/>
    <x v="0"/>
    <x v="9"/>
    <s v="variétal"/>
    <s v="G1-06"/>
    <m/>
    <s v="oui"/>
    <m/>
    <n v="4"/>
    <n v="0.75"/>
    <n v="3"/>
  </r>
  <r>
    <d v="2023-11-28T00:00:00"/>
    <x v="65"/>
    <s v="TWS"/>
    <x v="0"/>
    <x v="0"/>
    <x v="9"/>
    <s v="supérieur"/>
    <s v="-"/>
    <m/>
    <s v="oui"/>
    <m/>
    <n v="4"/>
    <n v="0.75"/>
    <n v="3"/>
  </r>
  <r>
    <d v="2023-11-28T00:00:00"/>
    <x v="65"/>
    <s v="TWS"/>
    <x v="0"/>
    <x v="0"/>
    <x v="9"/>
    <s v="classique"/>
    <s v="-"/>
    <m/>
    <s v="oui"/>
    <m/>
    <n v="4"/>
    <n v="0.75"/>
    <n v="3"/>
  </r>
  <r>
    <d v="2023-11-28T00:00:00"/>
    <x v="65"/>
    <s v="TWS"/>
    <x v="0"/>
    <x v="3"/>
    <x v="9"/>
    <s v="50% A1-05 + 50% J3-06"/>
    <s v="-"/>
    <m/>
    <s v="oui"/>
    <m/>
    <n v="4"/>
    <n v="0.75"/>
    <n v="3"/>
  </r>
  <r>
    <d v="2023-11-28T00:00:00"/>
    <x v="65"/>
    <s v="TWS"/>
    <x v="0"/>
    <x v="21"/>
    <x v="9"/>
    <s v="-"/>
    <s v="J2-06"/>
    <m/>
    <s v="oui"/>
    <m/>
    <n v="4"/>
    <n v="0.75"/>
    <n v="3"/>
  </r>
  <r>
    <d v="2023-11-28T00:00:00"/>
    <x v="126"/>
    <s v="-"/>
    <x v="0"/>
    <x v="1"/>
    <x v="9"/>
    <s v="Classique"/>
    <s v="C1-04"/>
    <m/>
    <s v="oui"/>
    <m/>
    <n v="2"/>
    <n v="0.75"/>
    <n v="1.5"/>
  </r>
  <r>
    <d v="2023-11-28T00:00:00"/>
    <x v="126"/>
    <s v="-"/>
    <x v="0"/>
    <x v="1"/>
    <x v="9"/>
    <s v="Variétal"/>
    <s v="G1-04"/>
    <m/>
    <s v="oui"/>
    <m/>
    <n v="2"/>
    <n v="0.75"/>
    <n v="1.5"/>
  </r>
  <r>
    <d v="2023-11-28T00:00:00"/>
    <x v="1"/>
    <s v="PYR"/>
    <x v="0"/>
    <x v="103"/>
    <x v="9"/>
    <s v="-"/>
    <s v="A1-08"/>
    <m/>
    <s v="oui"/>
    <m/>
    <n v="4"/>
    <n v="0.75"/>
    <n v="3"/>
  </r>
  <r>
    <d v="2023-11-28T00:00:00"/>
    <x v="1"/>
    <s v="PYR"/>
    <x v="1"/>
    <x v="4"/>
    <x v="9"/>
    <s v="70% I1-08 + 20% A1-10 + 10% A2-01"/>
    <m/>
    <m/>
    <s v="oui"/>
    <m/>
    <n v="4"/>
    <n v="0.75"/>
    <n v="3"/>
  </r>
  <r>
    <d v="2023-11-28T00:00:00"/>
    <x v="1"/>
    <s v="PYR"/>
    <x v="1"/>
    <x v="8"/>
    <x v="9"/>
    <s v="-"/>
    <s v="J1-03"/>
    <m/>
    <s v="oui"/>
    <m/>
    <n v="4"/>
    <n v="0.75"/>
    <n v="3"/>
  </r>
  <r>
    <d v="2023-11-29T00:00:00"/>
    <x v="39"/>
    <s v="-"/>
    <x v="0"/>
    <x v="1"/>
    <x v="9"/>
    <s v="variétal"/>
    <s v="A1-09"/>
    <m/>
    <s v="oui"/>
    <m/>
    <n v="2"/>
    <n v="0.75"/>
    <n v="1.5"/>
  </r>
  <r>
    <d v="2023-11-29T00:00:00"/>
    <x v="39"/>
    <s v="-"/>
    <x v="0"/>
    <x v="1"/>
    <x v="9"/>
    <s v="classique"/>
    <s v="   "/>
    <m/>
    <s v="oui"/>
    <m/>
    <n v="2"/>
    <n v="0.75"/>
    <n v="1.5"/>
  </r>
  <r>
    <d v="2023-11-29T00:00:00"/>
    <x v="21"/>
    <s v="-"/>
    <x v="0"/>
    <x v="28"/>
    <x v="9"/>
    <s v="-"/>
    <s v="C1-06"/>
    <m/>
    <s v="oui"/>
    <m/>
    <n v="1"/>
    <n v="0.75"/>
    <n v="0.75"/>
  </r>
  <r>
    <d v="2023-11-29T00:00:00"/>
    <x v="21"/>
    <s v="-"/>
    <x v="0"/>
    <x v="136"/>
    <x v="9"/>
    <s v="-"/>
    <s v="-"/>
    <m/>
    <s v="oui"/>
    <m/>
    <n v="1"/>
    <n v="0.75"/>
    <n v="0.75"/>
  </r>
  <r>
    <d v="2023-11-29T00:00:00"/>
    <x v="21"/>
    <s v="-"/>
    <x v="0"/>
    <x v="137"/>
    <x v="9"/>
    <s v="chaterret"/>
    <s v="F1-07"/>
    <m/>
    <s v="oui"/>
    <m/>
    <n v="1"/>
    <n v="0.75"/>
    <n v="0.75"/>
  </r>
  <r>
    <d v="2023-11-29T00:00:00"/>
    <x v="21"/>
    <s v="-"/>
    <x v="1"/>
    <x v="138"/>
    <x v="9"/>
    <s v="-"/>
    <s v="L1-12"/>
    <m/>
    <s v="oui"/>
    <m/>
    <n v="1"/>
    <n v="0.75"/>
    <n v="0.75"/>
  </r>
  <r>
    <d v="2023-11-29T00:00:00"/>
    <x v="21"/>
    <s v="-"/>
    <x v="1"/>
    <x v="97"/>
    <x v="9"/>
    <s v="-"/>
    <s v="L1-14"/>
    <m/>
    <s v="oui"/>
    <m/>
    <n v="1"/>
    <n v="0.75"/>
    <n v="0.75"/>
  </r>
  <r>
    <d v="2023-11-29T00:00:00"/>
    <x v="21"/>
    <s v="-"/>
    <x v="1"/>
    <x v="38"/>
    <x v="9"/>
    <s v="-"/>
    <s v="-"/>
    <m/>
    <s v="oui"/>
    <m/>
    <n v="1"/>
    <n v="0.75"/>
    <n v="0.75"/>
  </r>
  <r>
    <d v="2023-11-29T00:00:00"/>
    <x v="21"/>
    <s v="-"/>
    <x v="2"/>
    <x v="98"/>
    <x v="9"/>
    <s v="thermo "/>
    <s v="D2-06"/>
    <m/>
    <s v="oui"/>
    <m/>
    <n v="1"/>
    <n v="0.75"/>
    <n v="0.75"/>
  </r>
  <r>
    <d v="2023-11-29T00:00:00"/>
    <x v="21"/>
    <s v="-"/>
    <x v="2"/>
    <x v="7"/>
    <x v="8"/>
    <m/>
    <s v="D1-05"/>
    <m/>
    <s v="oui"/>
    <m/>
    <n v="1"/>
    <n v="0.75"/>
    <n v="0.75"/>
  </r>
  <r>
    <d v="2023-11-29T00:00:00"/>
    <x v="21"/>
    <s v="-"/>
    <x v="2"/>
    <x v="7"/>
    <x v="9"/>
    <s v="vrac 1"/>
    <s v="-"/>
    <m/>
    <s v="oui"/>
    <s v="42% B2-06 + 15% F2-02+ 19% E2-04 + 10% I1-07 + 14% J2-09"/>
    <n v="1"/>
    <n v="0.75"/>
    <n v="0.75"/>
  </r>
  <r>
    <d v="2023-11-29T00:00:00"/>
    <x v="21"/>
    <s v="-"/>
    <x v="2"/>
    <x v="7"/>
    <x v="9"/>
    <s v="vrac 2"/>
    <s v="-"/>
    <m/>
    <s v="oui"/>
    <s v="32% B2-06 + 15% F2-02+ 19% E2-04 + 19% I1-07 + 14% J2-09"/>
    <n v="1"/>
    <n v="0.75"/>
    <n v="0.75"/>
  </r>
  <r>
    <d v="2023-11-29T00:00:00"/>
    <x v="115"/>
    <s v="-"/>
    <x v="0"/>
    <x v="0"/>
    <x v="9"/>
    <s v="variétal"/>
    <s v="G1-06"/>
    <m/>
    <s v="oui"/>
    <m/>
    <n v="1"/>
    <n v="0.75"/>
    <n v="0.75"/>
  </r>
  <r>
    <d v="2023-11-29T00:00:00"/>
    <x v="127"/>
    <s v="-"/>
    <x v="0"/>
    <x v="49"/>
    <x v="9"/>
    <s v="-"/>
    <s v="B1-08"/>
    <m/>
    <s v="oui"/>
    <m/>
    <n v="1"/>
    <n v="0.75"/>
    <n v="0.75"/>
  </r>
  <r>
    <d v="2023-12-01T00:00:00"/>
    <x v="2"/>
    <s v="-"/>
    <x v="0"/>
    <x v="1"/>
    <x v="8"/>
    <s v="-"/>
    <s v="-"/>
    <m/>
    <s v="oui"/>
    <s v="20% C2-07 + 80% C2-05"/>
    <n v="3"/>
    <n v="0.75"/>
    <n v="2.25"/>
  </r>
  <r>
    <d v="2023-12-02T00:00:00"/>
    <x v="5"/>
    <s v="-"/>
    <x v="0"/>
    <x v="17"/>
    <x v="9"/>
    <s v="-"/>
    <s v="B1-10"/>
    <m/>
    <s v="oui"/>
    <m/>
    <n v="6"/>
    <n v="0.75"/>
    <n v="4.5"/>
  </r>
  <r>
    <d v="2023-12-04T00:00:00"/>
    <x v="2"/>
    <s v="-"/>
    <x v="0"/>
    <x v="83"/>
    <x v="9"/>
    <s v="classique"/>
    <s v="F1-00"/>
    <m/>
    <s v="oui"/>
    <m/>
    <n v="4"/>
    <n v="0.75"/>
    <n v="3"/>
  </r>
  <r>
    <d v="2023-12-04T00:00:00"/>
    <x v="2"/>
    <s v="-"/>
    <x v="0"/>
    <x v="0"/>
    <x v="9"/>
    <s v="variétal"/>
    <s v="G1-06"/>
    <m/>
    <s v="oui"/>
    <m/>
    <n v="4"/>
    <n v="0.75"/>
    <n v="3"/>
  </r>
  <r>
    <d v="2023-12-04T00:00:00"/>
    <x v="2"/>
    <s v="-"/>
    <x v="0"/>
    <x v="0"/>
    <x v="9"/>
    <s v="supérieur"/>
    <s v="B1-09"/>
    <m/>
    <s v="oui"/>
    <m/>
    <n v="4"/>
    <n v="0.75"/>
    <n v="3"/>
  </r>
  <r>
    <d v="2023-12-04T00:00:00"/>
    <x v="2"/>
    <s v="-"/>
    <x v="0"/>
    <x v="0"/>
    <x v="9"/>
    <s v="bled 11"/>
    <s v="E1-06"/>
    <m/>
    <s v="oui"/>
    <m/>
    <n v="3"/>
    <n v="0.75"/>
    <n v="2.25"/>
  </r>
  <r>
    <d v="2023-12-04T00:00:00"/>
    <x v="11"/>
    <s v="-"/>
    <x v="0"/>
    <x v="3"/>
    <x v="9"/>
    <s v="-"/>
    <s v="J3-06"/>
    <m/>
    <s v="oui"/>
    <m/>
    <n v="1"/>
    <n v="0.75"/>
    <n v="0.75"/>
  </r>
  <r>
    <d v="2023-12-04T00:00:00"/>
    <x v="11"/>
    <s v="-"/>
    <x v="0"/>
    <x v="2"/>
    <x v="9"/>
    <s v="-"/>
    <s v="A1-08"/>
    <m/>
    <s v="oui"/>
    <m/>
    <n v="1"/>
    <n v="0.75"/>
    <n v="0.75"/>
  </r>
  <r>
    <d v="2023-12-04T00:00:00"/>
    <x v="11"/>
    <s v="-"/>
    <x v="0"/>
    <x v="21"/>
    <x v="9"/>
    <s v="-"/>
    <s v="J2-06"/>
    <m/>
    <s v="oui"/>
    <m/>
    <n v="1"/>
    <n v="0.75"/>
    <n v="0.75"/>
  </r>
  <r>
    <d v="2023-12-04T00:00:00"/>
    <x v="11"/>
    <s v="-"/>
    <x v="1"/>
    <x v="7"/>
    <x v="9"/>
    <s v="-"/>
    <s v="C1-07"/>
    <m/>
    <s v="oui"/>
    <m/>
    <n v="1"/>
    <n v="0.75"/>
    <n v="0.75"/>
  </r>
  <r>
    <d v="2023-12-04T00:00:00"/>
    <x v="11"/>
    <s v="-"/>
    <x v="1"/>
    <x v="19"/>
    <x v="9"/>
    <s v="-"/>
    <s v="F1-08"/>
    <m/>
    <s v="oui"/>
    <m/>
    <n v="1"/>
    <n v="0.75"/>
    <n v="0.75"/>
  </r>
  <r>
    <d v="2023-12-04T00:00:00"/>
    <x v="1"/>
    <s v="Nicolas"/>
    <x v="0"/>
    <x v="83"/>
    <x v="9"/>
    <s v="classique"/>
    <s v="F1-00"/>
    <m/>
    <s v="oui"/>
    <m/>
    <n v="2"/>
    <n v="0.75"/>
    <n v="1.5"/>
  </r>
  <r>
    <d v="2023-12-05T00:00:00"/>
    <x v="1"/>
    <s v="Ferragut"/>
    <x v="0"/>
    <x v="0"/>
    <x v="9"/>
    <s v="variétal"/>
    <s v="G1-06"/>
    <m/>
    <s v="oui"/>
    <m/>
    <n v="2"/>
    <n v="0.75"/>
    <n v="1.5"/>
  </r>
  <r>
    <d v="2023-12-05T00:00:00"/>
    <x v="1"/>
    <s v="Ferragut"/>
    <x v="0"/>
    <x v="0"/>
    <x v="9"/>
    <s v="supérieur "/>
    <s v="B1-09"/>
    <m/>
    <s v="oui"/>
    <m/>
    <n v="2"/>
    <n v="0.75"/>
    <n v="1.5"/>
  </r>
  <r>
    <d v="2023-12-05T00:00:00"/>
    <x v="1"/>
    <s v="Ferragut"/>
    <x v="0"/>
    <x v="2"/>
    <x v="9"/>
    <s v="-"/>
    <s v="A1-08"/>
    <m/>
    <s v="oui"/>
    <m/>
    <n v="2"/>
    <n v="0.75"/>
    <n v="1.5"/>
  </r>
  <r>
    <d v="2023-12-05T00:00:00"/>
    <x v="1"/>
    <s v="Ferragut"/>
    <x v="1"/>
    <x v="38"/>
    <x v="9"/>
    <s v="-"/>
    <s v="-"/>
    <m/>
    <s v="oui"/>
    <s v="60% A1-10 + 15% J1-03 +25% B2-05"/>
    <n v="2"/>
    <n v="0.75"/>
    <n v="1.5"/>
  </r>
  <r>
    <d v="2023-12-05T00:00:00"/>
    <x v="2"/>
    <s v="-"/>
    <x v="2"/>
    <x v="98"/>
    <x v="9"/>
    <s v="-"/>
    <s v="-"/>
    <m/>
    <s v="oui"/>
    <s v="63% B1-05 + 37% J3-10"/>
    <n v="3"/>
    <n v="0.75"/>
    <n v="2.25"/>
  </r>
  <r>
    <d v="2023-12-05T00:00:00"/>
    <x v="113"/>
    <s v="-"/>
    <x v="0"/>
    <x v="1"/>
    <x v="9"/>
    <s v="-"/>
    <s v="-"/>
    <m/>
    <s v="oui"/>
    <s v="90% A1-09 + 10% G1-04"/>
    <n v="2"/>
    <n v="0.75"/>
    <n v="1.5"/>
  </r>
  <r>
    <d v="2023-12-05T00:00:00"/>
    <x v="11"/>
    <s v="-"/>
    <x v="0"/>
    <x v="0"/>
    <x v="9"/>
    <s v="-"/>
    <s v="G1-05"/>
    <m/>
    <s v="oui"/>
    <s v="Chardonnay Limoux"/>
    <n v="3"/>
    <n v="0.75"/>
    <n v="2.25"/>
  </r>
  <r>
    <d v="2023-12-05T00:00:00"/>
    <x v="128"/>
    <s v="-"/>
    <x v="1"/>
    <x v="139"/>
    <x v="9"/>
    <s v="-"/>
    <s v="-"/>
    <m/>
    <s v="oui"/>
    <s v="&quot;Grenache rosé&quot;"/>
    <n v="8"/>
    <n v="0.75"/>
    <n v="6"/>
  </r>
  <r>
    <d v="2023-12-05T00:00:00"/>
    <x v="86"/>
    <s v="-"/>
    <x v="0"/>
    <x v="83"/>
    <x v="9"/>
    <s v="sup"/>
    <s v="B1-09"/>
    <m/>
    <s v="oui"/>
    <m/>
    <n v="1"/>
    <n v="0.75"/>
    <n v="0.75"/>
  </r>
  <r>
    <d v="2023-12-05T00:00:00"/>
    <x v="86"/>
    <s v="-"/>
    <x v="0"/>
    <x v="0"/>
    <x v="9"/>
    <s v="classique"/>
    <s v="E2-05"/>
    <m/>
    <s v="oui"/>
    <m/>
    <n v="1"/>
    <n v="0.75"/>
    <n v="0.75"/>
  </r>
  <r>
    <d v="2023-12-06T00:00:00"/>
    <x v="99"/>
    <s v="-"/>
    <x v="1"/>
    <x v="38"/>
    <x v="9"/>
    <s v="-"/>
    <s v="-"/>
    <m/>
    <s v="oui"/>
    <m/>
    <n v="2"/>
    <n v="0.75"/>
    <n v="1.5"/>
  </r>
  <r>
    <d v="2023-12-06T00:00:00"/>
    <x v="21"/>
    <s v="-"/>
    <x v="0"/>
    <x v="6"/>
    <x v="9"/>
    <s v="-"/>
    <s v="C1-06"/>
    <m/>
    <s v="oui"/>
    <s v="&quot;IGP côtes de Thau Cap d'Agde&quot;"/>
    <n v="1"/>
    <n v="0.75"/>
    <n v="0.75"/>
  </r>
  <r>
    <d v="2023-12-06T00:00:00"/>
    <x v="21"/>
    <s v="-"/>
    <x v="0"/>
    <x v="1"/>
    <x v="9"/>
    <s v="variétal"/>
    <s v="A1-09"/>
    <m/>
    <s v="oui"/>
    <s v="&quot;IGP Oc Sauvignon&quot;"/>
    <n v="1"/>
    <n v="0.75"/>
    <n v="0.75"/>
  </r>
  <r>
    <d v="2023-12-06T00:00:00"/>
    <x v="21"/>
    <s v="-"/>
    <x v="0"/>
    <x v="0"/>
    <x v="9"/>
    <s v="petit degré"/>
    <s v="-"/>
    <m/>
    <s v="oui"/>
    <s v="40% F1-07 + 60% G1-06"/>
    <n v="1"/>
    <n v="0.75"/>
    <n v="0.75"/>
  </r>
  <r>
    <d v="2023-12-06T00:00:00"/>
    <x v="21"/>
    <s v="-"/>
    <x v="1"/>
    <x v="38"/>
    <x v="9"/>
    <s v="-"/>
    <s v="-"/>
    <m/>
    <s v="oui"/>
    <m/>
    <n v="1"/>
    <n v="0.75"/>
    <n v="0.75"/>
  </r>
  <r>
    <d v="2023-12-06T00:00:00"/>
    <x v="100"/>
    <m/>
    <x v="0"/>
    <x v="0"/>
    <x v="9"/>
    <s v="supérieur"/>
    <s v="B1-09"/>
    <m/>
    <s v="oui"/>
    <m/>
    <n v="2"/>
    <n v="0.75"/>
    <n v="1.5"/>
  </r>
  <r>
    <d v="2023-12-06T00:00:00"/>
    <x v="100"/>
    <m/>
    <x v="0"/>
    <x v="0"/>
    <x v="9"/>
    <s v="classique"/>
    <s v="E2-05"/>
    <m/>
    <s v="oui"/>
    <m/>
    <n v="2"/>
    <n v="0.75"/>
    <n v="1.5"/>
  </r>
  <r>
    <d v="2023-12-06T00:00:00"/>
    <x v="100"/>
    <m/>
    <x v="0"/>
    <x v="0"/>
    <x v="9"/>
    <s v="variétal"/>
    <s v="G1-06"/>
    <m/>
    <s v="oui"/>
    <m/>
    <n v="2"/>
    <n v="0.75"/>
    <n v="1.5"/>
  </r>
  <r>
    <d v="2023-12-06T00:00:00"/>
    <x v="65"/>
    <s v="TWS"/>
    <x v="0"/>
    <x v="0"/>
    <x v="9"/>
    <s v="supérieur"/>
    <s v="B1-09"/>
    <m/>
    <s v="oui"/>
    <m/>
    <n v="3"/>
    <n v="0.75"/>
    <n v="2.25"/>
  </r>
  <r>
    <d v="2023-12-06T00:00:00"/>
    <x v="65"/>
    <s v="TWS"/>
    <x v="0"/>
    <x v="0"/>
    <x v="9"/>
    <s v="variétal"/>
    <s v="G1-06"/>
    <m/>
    <s v="oui"/>
    <m/>
    <n v="3"/>
    <n v="0.75"/>
    <n v="2.25"/>
  </r>
  <r>
    <d v="2023-12-06T00:00:00"/>
    <x v="65"/>
    <s v="TWS"/>
    <x v="0"/>
    <x v="0"/>
    <x v="9"/>
    <s v="classique"/>
    <s v="F1-0"/>
    <m/>
    <s v="oui"/>
    <m/>
    <n v="3"/>
    <n v="0.75"/>
    <n v="2.25"/>
  </r>
  <r>
    <d v="2023-12-06T00:00:00"/>
    <x v="65"/>
    <s v="TWS"/>
    <x v="0"/>
    <x v="140"/>
    <x v="9"/>
    <s v="-"/>
    <s v="E2-03"/>
    <m/>
    <s v="oui"/>
    <m/>
    <n v="3"/>
    <n v="0.75"/>
    <n v="2.25"/>
  </r>
  <r>
    <d v="2023-12-06T00:00:00"/>
    <x v="65"/>
    <s v="TWS"/>
    <x v="3"/>
    <x v="118"/>
    <x v="9"/>
    <s v="-"/>
    <s v="J1-02"/>
    <m/>
    <s v="oui"/>
    <m/>
    <n v="3"/>
    <n v="0.75"/>
    <n v="2.25"/>
  </r>
  <r>
    <d v="2023-12-06T00:00:00"/>
    <x v="65"/>
    <s v="TWS"/>
    <x v="2"/>
    <x v="98"/>
    <x v="9"/>
    <s v="-"/>
    <s v="-"/>
    <m/>
    <s v="oui"/>
    <s v="63% B1-05 + 37% J2-10"/>
    <n v="3"/>
    <n v="0.75"/>
    <n v="2.25"/>
  </r>
  <r>
    <d v="2023-12-06T00:00:00"/>
    <x v="65"/>
    <s v="TWS"/>
    <x v="2"/>
    <x v="7"/>
    <x v="9"/>
    <s v="-"/>
    <s v="-"/>
    <m/>
    <s v="oui"/>
    <s v="65%I1-07 + 35% B2-06"/>
    <n v="3"/>
    <n v="0.75"/>
    <n v="2.25"/>
  </r>
  <r>
    <d v="2023-12-06T00:00:00"/>
    <x v="129"/>
    <s v="-"/>
    <x v="1"/>
    <x v="141"/>
    <x v="9"/>
    <s v="&quot;Cap d'Agde souvenir"/>
    <s v="-"/>
    <m/>
    <s v="oui"/>
    <s v="60% A1-10 + 30% I1-08 + 10% D1-09 + 8 g/L MCR + 15 g/hL tartrique "/>
    <n v="3"/>
    <n v="0.75"/>
    <n v="2.25"/>
  </r>
  <r>
    <d v="2023-12-06T00:00:00"/>
    <x v="129"/>
    <s v="-"/>
    <x v="1"/>
    <x v="7"/>
    <x v="9"/>
    <s v="&quot;Terre et Mer&quot;"/>
    <s v="A1-10"/>
    <m/>
    <s v="oui"/>
    <s v="6 g/l MCR + 5g/hL citrique "/>
    <n v="3"/>
    <n v="0.75"/>
    <n v="2.25"/>
  </r>
  <r>
    <d v="2023-12-07T00:00:00"/>
    <x v="1"/>
    <s v="WSC"/>
    <x v="0"/>
    <x v="2"/>
    <x v="9"/>
    <s v="-"/>
    <s v="A1-08"/>
    <m/>
    <s v="oui"/>
    <m/>
    <n v="3"/>
    <n v="0.75"/>
    <n v="2.25"/>
  </r>
  <r>
    <d v="2023-12-07T00:00:00"/>
    <x v="1"/>
    <s v="WSC"/>
    <x v="0"/>
    <x v="0"/>
    <x v="9"/>
    <s v="Classique"/>
    <s v="E2-05"/>
    <m/>
    <s v="oui"/>
    <m/>
    <n v="3"/>
    <n v="0.75"/>
    <n v="2.25"/>
  </r>
  <r>
    <d v="2023-12-07T00:00:00"/>
    <x v="1"/>
    <s v="WSC"/>
    <x v="0"/>
    <x v="0"/>
    <x v="9"/>
    <s v="Supérieur"/>
    <s v="B1-09"/>
    <m/>
    <s v="oui"/>
    <m/>
    <n v="3"/>
    <n v="0.75"/>
    <n v="2.25"/>
  </r>
  <r>
    <d v="2023-12-07T00:00:00"/>
    <x v="1"/>
    <s v="WSC"/>
    <x v="0"/>
    <x v="0"/>
    <x v="9"/>
    <s v="Variétal"/>
    <s v="I1-04"/>
    <m/>
    <s v="oui"/>
    <m/>
    <n v="3"/>
    <n v="0.75"/>
    <n v="2.25"/>
  </r>
  <r>
    <d v="2023-12-07T00:00:00"/>
    <x v="1"/>
    <s v="WSC"/>
    <x v="1"/>
    <x v="7"/>
    <x v="9"/>
    <s v="-"/>
    <s v="A1-10"/>
    <m/>
    <s v="oui"/>
    <m/>
    <n v="3"/>
    <n v="0.75"/>
    <n v="2.25"/>
  </r>
  <r>
    <d v="2023-12-07T00:00:00"/>
    <x v="1"/>
    <s v="WSC"/>
    <x v="1"/>
    <x v="135"/>
    <x v="9"/>
    <s v="-"/>
    <s v="I1-08"/>
    <m/>
    <s v="oui"/>
    <m/>
    <n v="3"/>
    <n v="0.75"/>
    <n v="2.25"/>
  </r>
  <r>
    <d v="2023-12-07T00:00:00"/>
    <x v="1"/>
    <s v="WSC"/>
    <x v="2"/>
    <x v="7"/>
    <x v="9"/>
    <s v="-"/>
    <s v="I1-07"/>
    <m/>
    <s v="oui"/>
    <m/>
    <n v="3"/>
    <n v="0.75"/>
    <n v="2.25"/>
  </r>
  <r>
    <d v="2023-12-07T00:00:00"/>
    <x v="5"/>
    <s v="-"/>
    <x v="0"/>
    <x v="83"/>
    <x v="9"/>
    <s v="variétal"/>
    <s v="I1-03"/>
    <m/>
    <s v="oui"/>
    <m/>
    <n v="3"/>
    <n v="0.75"/>
    <n v="2.25"/>
  </r>
  <r>
    <d v="2023-12-08T00:00:00"/>
    <x v="65"/>
    <s v="TWS"/>
    <x v="0"/>
    <x v="3"/>
    <x v="9"/>
    <s v="-"/>
    <s v="-"/>
    <m/>
    <s v="oui"/>
    <s v="50% A1-05 + 50% J3-06"/>
    <n v="4"/>
    <n v="0.75"/>
    <n v="3"/>
  </r>
  <r>
    <d v="2023-12-11T00:00:00"/>
    <x v="97"/>
    <s v="-"/>
    <x v="0"/>
    <x v="17"/>
    <x v="9"/>
    <s v="-"/>
    <s v="B1-10"/>
    <m/>
    <s v="oui"/>
    <m/>
    <n v="3"/>
    <n v="0.75"/>
    <n v="2.25"/>
  </r>
  <r>
    <d v="2023-12-11T00:00:00"/>
    <x v="97"/>
    <s v="-"/>
    <x v="0"/>
    <x v="142"/>
    <x v="9"/>
    <s v="-"/>
    <s v="D1-08"/>
    <m/>
    <s v="oui"/>
    <m/>
    <n v="3"/>
    <n v="0.75"/>
    <n v="2.25"/>
  </r>
  <r>
    <d v="2023-12-11T00:00:00"/>
    <x v="97"/>
    <s v="-"/>
    <x v="0"/>
    <x v="0"/>
    <x v="9"/>
    <s v="Variétal"/>
    <s v="I1-04"/>
    <m/>
    <s v="oui"/>
    <m/>
    <n v="3"/>
    <n v="0.75"/>
    <n v="2.25"/>
  </r>
  <r>
    <d v="2023-12-11T00:00:00"/>
    <x v="97"/>
    <s v="-"/>
    <x v="0"/>
    <x v="0"/>
    <x v="8"/>
    <s v="Boisé"/>
    <s v="L1-03"/>
    <m/>
    <s v="oui"/>
    <m/>
    <n v="3"/>
    <n v="0.75"/>
    <n v="2.25"/>
  </r>
  <r>
    <d v="2023-12-11T00:00:00"/>
    <x v="1"/>
    <s v="SP Wines "/>
    <x v="1"/>
    <x v="143"/>
    <x v="9"/>
    <s v="Cers"/>
    <s v="-"/>
    <m/>
    <s v="oui"/>
    <s v="30g/hL acide tartrique + 20g/hL acide malique"/>
    <n v="2"/>
    <n v="0.75"/>
    <n v="1.5"/>
  </r>
  <r>
    <d v="2023-12-11T00:00:00"/>
    <x v="1"/>
    <s v="SP Wines"/>
    <x v="1"/>
    <x v="144"/>
    <x v="9"/>
    <s v="Merlot vrac"/>
    <s v="A1-07"/>
    <m/>
    <s v="oui"/>
    <s v="30g/hL acide tartrique + 20g/hL acide malique"/>
    <n v="2"/>
    <n v="0.75"/>
    <n v="1.5"/>
  </r>
  <r>
    <d v="2023-12-12T00:00:00"/>
    <x v="2"/>
    <s v="-"/>
    <x v="0"/>
    <x v="1"/>
    <x v="9"/>
    <s v="Variétal"/>
    <s v="G1-04"/>
    <m/>
    <s v="oui"/>
    <m/>
    <n v="1"/>
    <n v="0.75"/>
    <n v="0.75"/>
  </r>
  <r>
    <d v="2023-12-12T00:00:00"/>
    <x v="2"/>
    <s v="-"/>
    <x v="0"/>
    <x v="142"/>
    <x v="9"/>
    <s v="-"/>
    <s v="D1-08"/>
    <m/>
    <s v="oui"/>
    <m/>
    <n v="2"/>
    <n v="0.75"/>
    <n v="1.5"/>
  </r>
  <r>
    <d v="2023-12-12T00:00:00"/>
    <x v="17"/>
    <s v="-"/>
    <x v="0"/>
    <x v="92"/>
    <x v="9"/>
    <s v="-"/>
    <s v="C1-10"/>
    <m/>
    <s v="oui"/>
    <m/>
    <n v="2"/>
    <n v="0.75"/>
    <n v="1.5"/>
  </r>
  <r>
    <d v="2023-12-13T00:00:00"/>
    <x v="17"/>
    <s v="-"/>
    <x v="0"/>
    <x v="142"/>
    <x v="9"/>
    <s v="-"/>
    <s v="D1-08"/>
    <m/>
    <s v="oui"/>
    <m/>
    <n v="2"/>
    <n v="0.75"/>
    <n v="1.5"/>
  </r>
  <r>
    <d v="2023-12-13T00:00:00"/>
    <x v="17"/>
    <s v="-"/>
    <x v="1"/>
    <x v="104"/>
    <x v="9"/>
    <s v="-"/>
    <s v="A1-07"/>
    <m/>
    <s v="oui"/>
    <m/>
    <n v="2"/>
    <n v="0.75"/>
    <n v="1.5"/>
  </r>
  <r>
    <d v="2023-12-13T00:00:00"/>
    <x v="17"/>
    <s v="-"/>
    <x v="1"/>
    <x v="145"/>
    <x v="9"/>
    <s v="-"/>
    <s v="-"/>
    <m/>
    <s v="oui"/>
    <m/>
    <n v="2"/>
    <n v="0.75"/>
    <n v="1.5"/>
  </r>
  <r>
    <d v="2023-12-13T00:00:00"/>
    <x v="17"/>
    <s v="-"/>
    <x v="2"/>
    <x v="7"/>
    <x v="9"/>
    <s v="-"/>
    <s v="-"/>
    <m/>
    <s v="oui"/>
    <s v="65% B2-06 + 35% B2-06"/>
    <n v="2"/>
    <n v="0.75"/>
    <n v="1.5"/>
  </r>
  <r>
    <d v="2023-12-14T00:00:00"/>
    <x v="54"/>
    <s v="-"/>
    <x v="0"/>
    <x v="0"/>
    <x v="9"/>
    <s v="Petit degré"/>
    <s v="-"/>
    <m/>
    <s v="oui"/>
    <m/>
    <n v="6"/>
    <n v="0.75"/>
    <n v="4.5"/>
  </r>
  <r>
    <d v="2023-12-14T00:00:00"/>
    <x v="130"/>
    <s v="-"/>
    <x v="1"/>
    <x v="139"/>
    <x v="9"/>
    <s v="-"/>
    <s v="-"/>
    <m/>
    <s v="oui"/>
    <s v="&quot;Cinsault Rosé&quot;"/>
    <n v="6"/>
    <n v="0.75"/>
    <n v="4.5"/>
  </r>
  <r>
    <d v="2023-12-14T00:00:00"/>
    <x v="1"/>
    <s v="WSC"/>
    <x v="0"/>
    <x v="2"/>
    <x v="9"/>
    <s v="vrac"/>
    <s v="C1-4"/>
    <m/>
    <s v="oui"/>
    <m/>
    <n v="12"/>
    <n v="0.75"/>
    <n v="9"/>
  </r>
  <r>
    <d v="2023-12-14T00:00:00"/>
    <x v="1"/>
    <s v="WSC"/>
    <x v="0"/>
    <x v="0"/>
    <x v="9"/>
    <s v="Variétal"/>
    <s v="C1-9"/>
    <m/>
    <s v="oui"/>
    <m/>
    <n v="6"/>
    <n v="0.75"/>
    <n v="4.5"/>
  </r>
  <r>
    <d v="2023-12-20T00:00:00"/>
    <x v="131"/>
    <m/>
    <x v="0"/>
    <x v="0"/>
    <x v="9"/>
    <s v="Supérieur"/>
    <s v="A1-06"/>
    <m/>
    <s v="oui"/>
    <m/>
    <n v="2"/>
    <n v="0.75"/>
    <n v="1.5"/>
  </r>
  <r>
    <d v="2023-12-20T00:00:00"/>
    <x v="131"/>
    <m/>
    <x v="0"/>
    <x v="0"/>
    <x v="9"/>
    <s v="Variétal"/>
    <s v="C1-09"/>
    <m/>
    <s v="oui"/>
    <m/>
    <n v="2"/>
    <n v="0.75"/>
    <n v="1.5"/>
  </r>
  <r>
    <d v="2023-12-20T00:00:00"/>
    <x v="131"/>
    <m/>
    <x v="0"/>
    <x v="0"/>
    <x v="9"/>
    <s v="Classique"/>
    <s v="F1-00"/>
    <m/>
    <s v="oui"/>
    <m/>
    <n v="2"/>
    <n v="0.75"/>
    <n v="1.5"/>
  </r>
  <r>
    <d v="2023-12-20T00:00:00"/>
    <x v="131"/>
    <m/>
    <x v="0"/>
    <x v="1"/>
    <x v="9"/>
    <s v="Classique"/>
    <s v="E1-08"/>
    <m/>
    <s v="oui"/>
    <m/>
    <n v="3"/>
    <n v="0.75"/>
    <n v="2.25"/>
  </r>
  <r>
    <d v="2023-12-20T00:00:00"/>
    <x v="131"/>
    <m/>
    <x v="0"/>
    <x v="1"/>
    <x v="9"/>
    <s v="Variétal"/>
    <s v="A1-09"/>
    <m/>
    <s v="oui"/>
    <m/>
    <n v="3"/>
    <n v="0.75"/>
    <n v="2.25"/>
  </r>
  <r>
    <d v="2023-12-20T00:00:00"/>
    <x v="131"/>
    <m/>
    <x v="0"/>
    <x v="1"/>
    <x v="9"/>
    <s v="Supérieur"/>
    <s v="G1-04"/>
    <m/>
    <s v="oui"/>
    <m/>
    <n v="1"/>
    <n v="0.75"/>
    <n v="0.75"/>
  </r>
  <r>
    <d v="2023-12-20T00:00:00"/>
    <x v="131"/>
    <m/>
    <x v="0"/>
    <x v="142"/>
    <x v="9"/>
    <s v="-"/>
    <s v="D1-06"/>
    <m/>
    <s v="oui"/>
    <m/>
    <n v="2"/>
    <n v="0.75"/>
    <n v="1.5"/>
  </r>
  <r>
    <d v="2023-12-20T00:00:00"/>
    <x v="131"/>
    <m/>
    <x v="0"/>
    <x v="2"/>
    <x v="9"/>
    <s v="-"/>
    <s v="D2-01"/>
    <m/>
    <s v="oui"/>
    <m/>
    <n v="2"/>
    <n v="0.75"/>
    <n v="1.5"/>
  </r>
  <r>
    <d v="2023-12-20T00:00:00"/>
    <x v="131"/>
    <m/>
    <x v="1"/>
    <x v="146"/>
    <x v="9"/>
    <s v="-"/>
    <s v="I1-08"/>
    <m/>
    <s v="oui"/>
    <m/>
    <n v="2"/>
    <n v="0.75"/>
    <n v="1.5"/>
  </r>
  <r>
    <d v="2023-12-20T00:00:00"/>
    <x v="131"/>
    <m/>
    <x v="1"/>
    <x v="147"/>
    <x v="9"/>
    <s v="-"/>
    <s v="C2-05"/>
    <m/>
    <s v="oui"/>
    <m/>
    <n v="2"/>
    <n v="0.75"/>
    <n v="1.5"/>
  </r>
  <r>
    <d v="2024-01-03T00:00:00"/>
    <x v="65"/>
    <s v="TWS"/>
    <x v="0"/>
    <x v="118"/>
    <x v="9"/>
    <s v="-"/>
    <s v="J1-02"/>
    <m/>
    <s v="oui"/>
    <m/>
    <n v="4"/>
    <n v="0.75"/>
    <n v="3"/>
  </r>
  <r>
    <d v="2024-01-03T00:00:00"/>
    <x v="65"/>
    <s v="TWS"/>
    <x v="0"/>
    <x v="140"/>
    <x v="9"/>
    <s v="-"/>
    <s v="E2-03"/>
    <m/>
    <s v="oui"/>
    <m/>
    <n v="4"/>
    <n v="0.75"/>
    <n v="3"/>
  </r>
  <r>
    <d v="2024-01-03T00:00:00"/>
    <x v="65"/>
    <s v="TWS"/>
    <x v="0"/>
    <x v="3"/>
    <x v="9"/>
    <s v="-"/>
    <s v="-"/>
    <m/>
    <s v="oui"/>
    <s v="50% A1-05 + 50% J3-06"/>
    <n v="4"/>
    <n v="0.75"/>
    <n v="3"/>
  </r>
  <r>
    <d v="2024-01-03T00:00:00"/>
    <x v="2"/>
    <m/>
    <x v="0"/>
    <x v="142"/>
    <x v="9"/>
    <s v="-"/>
    <s v="D1-08"/>
    <m/>
    <s v="oui"/>
    <m/>
    <n v="2"/>
    <n v="0.75"/>
    <n v="1.5"/>
  </r>
  <r>
    <d v="2024-01-03T00:00:00"/>
    <x v="2"/>
    <m/>
    <x v="0"/>
    <x v="0"/>
    <x v="9"/>
    <s v="Boisé"/>
    <s v="E1-06"/>
    <m/>
    <s v="oui"/>
    <m/>
    <n v="2"/>
    <n v="0.75"/>
    <n v="1.5"/>
  </r>
  <r>
    <d v="2024-01-03T00:00:00"/>
    <x v="2"/>
    <m/>
    <x v="0"/>
    <x v="0"/>
    <x v="9"/>
    <s v="Supérieur"/>
    <s v="I1-02"/>
    <m/>
    <s v="oui"/>
    <m/>
    <n v="2"/>
    <n v="0.75"/>
    <n v="1.5"/>
  </r>
  <r>
    <d v="2024-01-03T00:00:00"/>
    <x v="5"/>
    <m/>
    <x v="0"/>
    <x v="0"/>
    <x v="9"/>
    <s v="Variétal "/>
    <s v="C1-09"/>
    <m/>
    <s v="oui"/>
    <m/>
    <n v="2"/>
    <n v="0.75"/>
    <n v="1.5"/>
  </r>
  <r>
    <d v="2024-01-03T00:00:00"/>
    <x v="5"/>
    <m/>
    <x v="0"/>
    <x v="0"/>
    <x v="9"/>
    <s v="Boisé GCF"/>
    <s v="F1-06"/>
    <m/>
    <s v="oui"/>
    <m/>
    <n v="2"/>
    <n v="0.75"/>
    <n v="1.5"/>
  </r>
  <r>
    <d v="2024-01-03T00:00:00"/>
    <x v="132"/>
    <m/>
    <x v="0"/>
    <x v="0"/>
    <x v="9"/>
    <s v="Boisé"/>
    <s v="E1-06"/>
    <m/>
    <s v="oui"/>
    <m/>
    <n v="3"/>
    <n v="0.75"/>
    <n v="2.25"/>
  </r>
  <r>
    <d v="2024-01-04T00:00:00"/>
    <x v="11"/>
    <m/>
    <x v="0"/>
    <x v="0"/>
    <x v="9"/>
    <s v="-"/>
    <s v="G1-05"/>
    <m/>
    <s v="oui"/>
    <m/>
    <n v="2"/>
    <n v="0.75"/>
    <n v="1.5"/>
  </r>
  <r>
    <d v="2024-01-04T00:00:00"/>
    <x v="11"/>
    <m/>
    <x v="2"/>
    <x v="7"/>
    <x v="9"/>
    <s v="-"/>
    <s v="E2-04"/>
    <m/>
    <s v="oui"/>
    <m/>
    <n v="2"/>
    <n v="0.75"/>
    <n v="1.5"/>
  </r>
  <r>
    <d v="2024-01-04T00:00:00"/>
    <x v="113"/>
    <m/>
    <x v="0"/>
    <x v="1"/>
    <x v="9"/>
    <s v="-"/>
    <s v="-"/>
    <m/>
    <s v="oui"/>
    <s v="90% A1-09 + 10% G1-04"/>
    <n v="2"/>
    <n v="0.75"/>
    <n v="1.5"/>
  </r>
  <r>
    <d v="2024-01-05T00:00:00"/>
    <x v="5"/>
    <m/>
    <x v="0"/>
    <x v="0"/>
    <x v="9"/>
    <s v="Variétal"/>
    <s v="C1-09"/>
    <m/>
    <s v="oui"/>
    <m/>
    <n v="6"/>
    <n v="0.75"/>
    <n v="4.5"/>
  </r>
  <r>
    <d v="2024-01-05T00:00:00"/>
    <x v="5"/>
    <m/>
    <x v="0"/>
    <x v="0"/>
    <x v="9"/>
    <s v="Boisé GCF"/>
    <s v="F1-06"/>
    <m/>
    <s v="oui"/>
    <m/>
    <n v="6"/>
    <n v="0.75"/>
    <n v="4.5"/>
  </r>
  <r>
    <d v="2024-01-08T00:00:00"/>
    <x v="1"/>
    <s v="WSC"/>
    <x v="0"/>
    <x v="0"/>
    <x v="9"/>
    <s v="Boisé "/>
    <s v="E1-06"/>
    <m/>
    <s v="oui"/>
    <m/>
    <n v="4"/>
    <n v="0.75"/>
    <n v="3"/>
  </r>
  <r>
    <d v="2024-01-08T00:00:00"/>
    <x v="1"/>
    <s v="WSC"/>
    <x v="0"/>
    <x v="2"/>
    <x v="9"/>
    <s v="-"/>
    <s v="C1-04"/>
    <m/>
    <s v="oui"/>
    <m/>
    <n v="4"/>
    <n v="0.75"/>
    <n v="3"/>
  </r>
  <r>
    <d v="2024-01-09T00:00:00"/>
    <x v="86"/>
    <m/>
    <x v="0"/>
    <x v="0"/>
    <x v="9"/>
    <s v="Classique"/>
    <s v="F1-00"/>
    <m/>
    <s v="oui"/>
    <m/>
    <n v="2"/>
    <n v="0.75"/>
    <n v="1.5"/>
  </r>
  <r>
    <d v="2024-01-09T00:00:00"/>
    <x v="86"/>
    <m/>
    <x v="0"/>
    <x v="0"/>
    <x v="9"/>
    <s v="Supérieur"/>
    <s v="I1-02"/>
    <m/>
    <s v="oui"/>
    <s v=" "/>
    <n v="2"/>
    <n v="0.75"/>
    <n v="1.5"/>
  </r>
  <r>
    <d v="2024-01-09T00:00:00"/>
    <x v="86"/>
    <m/>
    <x v="0"/>
    <x v="120"/>
    <x v="9"/>
    <s v="-"/>
    <s v="G1-03"/>
    <m/>
    <s v="oui"/>
    <m/>
    <n v="2"/>
    <n v="0.75"/>
    <n v="1.5"/>
  </r>
  <r>
    <d v="2024-01-09T00:00:00"/>
    <x v="86"/>
    <m/>
    <x v="1"/>
    <x v="38"/>
    <x v="9"/>
    <s v="-"/>
    <s v="G1-01"/>
    <m/>
    <s v="oui"/>
    <m/>
    <n v="2"/>
    <n v="0.75"/>
    <n v="1.5"/>
  </r>
  <r>
    <d v="2024-01-10T00:00:00"/>
    <x v="97"/>
    <m/>
    <x v="0"/>
    <x v="1"/>
    <x v="9"/>
    <s v="Supérieur"/>
    <s v="G1-04"/>
    <m/>
    <s v="oui"/>
    <m/>
    <n v="2"/>
    <n v="0.75"/>
    <n v="1.5"/>
  </r>
  <r>
    <d v="2024-01-10T00:00:00"/>
    <x v="97"/>
    <m/>
    <x v="0"/>
    <x v="1"/>
    <x v="9"/>
    <s v="Variétal"/>
    <s v="H1-01"/>
    <m/>
    <s v="oui"/>
    <m/>
    <n v="2"/>
    <n v="0.75"/>
    <n v="1.5"/>
  </r>
  <r>
    <d v="2024-01-12T00:00:00"/>
    <x v="2"/>
    <m/>
    <x v="0"/>
    <x v="1"/>
    <x v="9"/>
    <s v="Variétal"/>
    <s v="H1-01"/>
    <m/>
    <s v="oui"/>
    <m/>
    <n v="2"/>
    <n v="0.75"/>
    <n v="1.5"/>
  </r>
  <r>
    <d v="2024-01-12T00:00:00"/>
    <x v="2"/>
    <m/>
    <x v="0"/>
    <x v="0"/>
    <x v="9"/>
    <s v="Supérieur"/>
    <s v="A1-06"/>
    <m/>
    <s v="oui"/>
    <m/>
    <n v="2"/>
    <n v="0.75"/>
    <n v="1.5"/>
  </r>
  <r>
    <d v="2024-01-12T00:00:00"/>
    <x v="2"/>
    <m/>
    <x v="0"/>
    <x v="0"/>
    <x v="9"/>
    <s v="Blend 11"/>
    <s v="E1-06"/>
    <m/>
    <s v="oui"/>
    <m/>
    <n v="2"/>
    <n v="0.75"/>
    <n v="1.5"/>
  </r>
  <r>
    <d v="2024-01-15T00:00:00"/>
    <x v="133"/>
    <m/>
    <x v="0"/>
    <x v="1"/>
    <x v="9"/>
    <s v="Variétal"/>
    <s v="H1-01"/>
    <m/>
    <s v="oui"/>
    <m/>
    <n v="3"/>
    <n v="0.75"/>
    <n v="2.25"/>
  </r>
  <r>
    <d v="2024-01-15T00:00:00"/>
    <x v="133"/>
    <m/>
    <x v="0"/>
    <x v="18"/>
    <x v="9"/>
    <s v="Bouteille"/>
    <s v="E1-05"/>
    <m/>
    <s v="oui"/>
    <m/>
    <n v="3"/>
    <n v="0.75"/>
    <n v="2.25"/>
  </r>
  <r>
    <d v="2024-01-15T00:00:00"/>
    <x v="97"/>
    <m/>
    <x v="0"/>
    <x v="0"/>
    <x v="8"/>
    <s v="Boisé"/>
    <s v="L1-03"/>
    <m/>
    <s v="oui"/>
    <m/>
    <n v="3"/>
    <n v="0.75"/>
    <n v="2.25"/>
  </r>
  <r>
    <d v="2024-01-15T00:00:00"/>
    <x v="97"/>
    <m/>
    <x v="0"/>
    <x v="0"/>
    <x v="9"/>
    <s v="-"/>
    <s v="-"/>
    <m/>
    <s v="oui"/>
    <s v="44,5% C1-09 + 31% I1-01 + 24,5% D1-08"/>
    <n v="3"/>
    <n v="0.75"/>
    <n v="2.25"/>
  </r>
  <r>
    <d v="2024-01-15T00:00:00"/>
    <x v="134"/>
    <m/>
    <x v="2"/>
    <x v="98"/>
    <x v="9"/>
    <s v="Vrac"/>
    <s v="-"/>
    <m/>
    <s v="oui"/>
    <s v="63% B1-05 + 37% J3-10"/>
    <n v="4"/>
    <n v="0.75"/>
    <n v="3"/>
  </r>
  <r>
    <d v="2024-01-22T00:00:00"/>
    <x v="1"/>
    <s v="WSC"/>
    <x v="0"/>
    <x v="2"/>
    <x v="9"/>
    <s v="vrac"/>
    <s v="C1-4"/>
    <m/>
    <s v="oui"/>
    <m/>
    <n v="6"/>
    <n v="0.75"/>
    <n v="4.5"/>
  </r>
  <r>
    <d v="2024-01-22T00:00:00"/>
    <x v="1"/>
    <s v="WSC"/>
    <x v="0"/>
    <x v="0"/>
    <x v="9"/>
    <s v="variétal"/>
    <s v="C1-9"/>
    <m/>
    <s v="oui"/>
    <m/>
    <n v="6"/>
    <n v="0.75"/>
    <n v="4.5"/>
  </r>
  <r>
    <d v="2024-01-22T00:00:00"/>
    <x v="2"/>
    <s v="-"/>
    <x v="0"/>
    <x v="2"/>
    <x v="9"/>
    <s v="vrac"/>
    <s v="C1-4"/>
    <m/>
    <s v="oui"/>
    <m/>
    <n v="1"/>
    <n v="0.75"/>
    <n v="0.75"/>
  </r>
  <r>
    <d v="2024-01-29T00:00:00"/>
    <x v="11"/>
    <s v="-"/>
    <x v="0"/>
    <x v="0"/>
    <x v="9"/>
    <s v="Limoux"/>
    <s v="G1-05"/>
    <m/>
    <s v="oui"/>
    <m/>
    <n v="3"/>
    <n v="0.75"/>
    <n v="2.25"/>
  </r>
  <r>
    <d v="2024-01-29T00:00:00"/>
    <x v="11"/>
    <s v="-"/>
    <x v="1"/>
    <x v="4"/>
    <x v="9"/>
    <s v="vrac"/>
    <s v="I1-05"/>
    <m/>
    <s v="oui"/>
    <m/>
    <n v="2"/>
    <n v="0.75"/>
    <n v="1.5"/>
  </r>
  <r>
    <d v="2024-01-29T00:00:00"/>
    <x v="11"/>
    <s v="-"/>
    <x v="2"/>
    <x v="98"/>
    <x v="9"/>
    <s v="vrac"/>
    <s v="C2-02"/>
    <m/>
    <s v="oui"/>
    <m/>
    <n v="2"/>
    <n v="0.75"/>
    <n v="1.5"/>
  </r>
  <r>
    <d v="2024-01-31T00:00:00"/>
    <x v="135"/>
    <s v="Claude Serra"/>
    <x v="0"/>
    <x v="0"/>
    <x v="9"/>
    <s v="Lot 1"/>
    <s v="-"/>
    <m/>
    <s v="oui"/>
    <s v="60% chardo sup + 40% chardo classique"/>
    <n v="6"/>
    <n v="0.75"/>
    <n v="4.5"/>
  </r>
  <r>
    <d v="2024-01-31T00:00:00"/>
    <x v="135"/>
    <s v="Claude Serra"/>
    <x v="0"/>
    <x v="0"/>
    <x v="9"/>
    <s v="Lot 2"/>
    <s v="-"/>
    <m/>
    <s v="oui"/>
    <s v="60% chardo classique + 40% chardo sup"/>
    <n v="6"/>
    <n v="0.75"/>
    <n v="4.5"/>
  </r>
  <r>
    <d v="2024-01-31T00:00:00"/>
    <x v="135"/>
    <s v="Claude Serra"/>
    <x v="1"/>
    <x v="145"/>
    <x v="9"/>
    <s v="Lot 1"/>
    <s v="-"/>
    <m/>
    <s v="oui"/>
    <m/>
    <n v="3"/>
    <n v="0.75"/>
    <n v="2.25"/>
  </r>
  <r>
    <d v="2024-01-31T00:00:00"/>
    <x v="135"/>
    <s v="Claude Serra"/>
    <x v="1"/>
    <x v="7"/>
    <x v="9"/>
    <s v="-"/>
    <s v="H1-06"/>
    <m/>
    <s v="oui"/>
    <m/>
    <n v="3"/>
    <n v="0.75"/>
    <n v="2.25"/>
  </r>
  <r>
    <d v="2024-01-31T00:00:00"/>
    <x v="136"/>
    <s v="-"/>
    <x v="1"/>
    <x v="148"/>
    <x v="9"/>
    <s v="Cap d'Agde rosé"/>
    <s v="D1-01"/>
    <m/>
    <s v="oui"/>
    <m/>
    <n v="2"/>
    <n v="0.75"/>
    <n v="1.5"/>
  </r>
  <r>
    <d v="2024-01-31T00:00:00"/>
    <x v="136"/>
    <s v="-"/>
    <x v="2"/>
    <x v="4"/>
    <x v="9"/>
    <s v="Bouteille"/>
    <s v="J1-10"/>
    <m/>
    <s v="oui"/>
    <s v="Prepa concours"/>
    <n v="2"/>
    <n v="0.75"/>
    <n v="1.5"/>
  </r>
  <r>
    <d v="2024-01-31T00:00:00"/>
    <x v="136"/>
    <s v="-"/>
    <x v="2"/>
    <x v="98"/>
    <x v="9"/>
    <s v="Bouteille"/>
    <s v="J1-08"/>
    <m/>
    <s v="oui"/>
    <s v="Prepa concours"/>
    <n v="2"/>
    <n v="0.75"/>
    <n v="1.5"/>
  </r>
  <r>
    <d v="2024-01-31T00:00:00"/>
    <x v="136"/>
    <s v="-"/>
    <x v="2"/>
    <x v="104"/>
    <x v="9"/>
    <s v="Bouteille"/>
    <s v="A1-02"/>
    <m/>
    <s v="oui"/>
    <s v="Prepa concours"/>
    <n v="2"/>
    <n v="0.75"/>
    <n v="1.5"/>
  </r>
  <r>
    <d v="2024-01-31T00:00:00"/>
    <x v="136"/>
    <s v="-"/>
    <x v="2"/>
    <x v="80"/>
    <x v="9"/>
    <s v="Bouteille"/>
    <s v="J1-11"/>
    <m/>
    <s v="oui"/>
    <m/>
    <n v="2"/>
    <n v="0.75"/>
    <n v="1.5"/>
  </r>
  <r>
    <d v="2024-01-31T00:00:00"/>
    <x v="1"/>
    <s v="Claude Serra"/>
    <x v="0"/>
    <x v="6"/>
    <x v="9"/>
    <s v="-"/>
    <s v="C1-06"/>
    <m/>
    <s v="oui"/>
    <m/>
    <n v="2"/>
    <n v="0.75"/>
    <n v="1.5"/>
  </r>
  <r>
    <d v="2024-01-31T00:00:00"/>
    <x v="1"/>
    <s v="Claude Serra"/>
    <x v="0"/>
    <x v="18"/>
    <x v="9"/>
    <s v="-"/>
    <s v="K1-02"/>
    <m/>
    <s v="oui"/>
    <m/>
    <n v="2"/>
    <n v="0.75"/>
    <n v="1.5"/>
  </r>
  <r>
    <d v="2024-01-31T00:00:00"/>
    <x v="1"/>
    <s v="Claude Serra"/>
    <x v="0"/>
    <x v="1"/>
    <x v="9"/>
    <s v="-"/>
    <s v="L1-16"/>
    <m/>
    <s v="oui"/>
    <m/>
    <n v="3"/>
    <n v="0.75"/>
    <n v="2.25"/>
  </r>
  <r>
    <d v="2024-01-31T00:00:00"/>
    <x v="1"/>
    <s v="Claude Serra"/>
    <x v="0"/>
    <x v="0"/>
    <x v="9"/>
    <s v="-"/>
    <s v="L1-10"/>
    <m/>
    <s v="oui"/>
    <m/>
    <n v="3"/>
    <n v="0.75"/>
    <n v="2.25"/>
  </r>
  <r>
    <d v="2024-01-31T00:00:00"/>
    <x v="1"/>
    <s v="Claude Serra"/>
    <x v="0"/>
    <x v="2"/>
    <x v="9"/>
    <s v="-"/>
    <s v="L1-04"/>
    <m/>
    <s v="oui"/>
    <m/>
    <n v="4"/>
    <n v="0.75"/>
    <n v="3"/>
  </r>
  <r>
    <d v="2024-01-31T00:00:00"/>
    <x v="1"/>
    <s v="Claude Serra"/>
    <x v="0"/>
    <x v="2"/>
    <x v="9"/>
    <s v="-"/>
    <s v="K1-08"/>
    <m/>
    <s v="oui"/>
    <m/>
    <n v="4"/>
    <n v="0.75"/>
    <n v="3"/>
  </r>
  <r>
    <d v="2024-01-31T00:00:00"/>
    <x v="1"/>
    <s v="Claude Serra"/>
    <x v="1"/>
    <x v="19"/>
    <x v="9"/>
    <s v="-"/>
    <s v="L1-01"/>
    <m/>
    <s v="oui"/>
    <m/>
    <n v="2"/>
    <n v="0.75"/>
    <n v="1.5"/>
  </r>
  <r>
    <d v="2024-01-31T00:00:00"/>
    <x v="1"/>
    <s v="Claude Serra"/>
    <x v="1"/>
    <x v="8"/>
    <x v="9"/>
    <s v="-"/>
    <s v="K1-06"/>
    <m/>
    <s v="oui"/>
    <m/>
    <n v="2"/>
    <n v="0.75"/>
    <n v="1.5"/>
  </r>
  <r>
    <d v="2024-01-31T00:00:00"/>
    <x v="1"/>
    <s v="Claude Serra"/>
    <x v="1"/>
    <x v="51"/>
    <x v="9"/>
    <s v="-"/>
    <s v="K1-07"/>
    <m/>
    <s v="oui"/>
    <m/>
    <n v="2"/>
    <n v="0.75"/>
    <n v="1.5"/>
  </r>
  <r>
    <d v="2024-01-31T00:00:00"/>
    <x v="1"/>
    <s v="Claude Serra"/>
    <x v="2"/>
    <x v="13"/>
    <x v="9"/>
    <s v="-"/>
    <s v="D1-02"/>
    <m/>
    <s v="oui"/>
    <m/>
    <n v="3"/>
    <n v="0.75"/>
    <n v="2.25"/>
  </r>
  <r>
    <d v="2024-01-31T00:00:00"/>
    <x v="1"/>
    <s v="Claude Serra"/>
    <x v="2"/>
    <x v="7"/>
    <x v="9"/>
    <s v="-"/>
    <s v="A1-02"/>
    <m/>
    <s v="oui"/>
    <m/>
    <n v="2"/>
    <n v="0.75"/>
    <n v="1.5"/>
  </r>
  <r>
    <d v="2024-01-31T00:00:00"/>
    <x v="1"/>
    <s v="Claude Serra"/>
    <x v="2"/>
    <x v="149"/>
    <x v="9"/>
    <s v="-"/>
    <s v="J1-08"/>
    <m/>
    <s v="oui"/>
    <m/>
    <n v="2"/>
    <n v="0.75"/>
    <n v="1.5"/>
  </r>
  <r>
    <d v="2024-01-31T00:00:00"/>
    <x v="1"/>
    <s v="Claude Serra"/>
    <x v="2"/>
    <x v="80"/>
    <x v="9"/>
    <s v="-"/>
    <s v="J1-11"/>
    <m/>
    <s v="oui"/>
    <m/>
    <n v="2"/>
    <n v="0.75"/>
    <n v="1.5"/>
  </r>
  <r>
    <d v="2024-01-31T00:00:00"/>
    <x v="1"/>
    <s v="Claude Serra"/>
    <x v="2"/>
    <x v="4"/>
    <x v="9"/>
    <s v="-"/>
    <s v="J1-10"/>
    <m/>
    <s v="oui"/>
    <m/>
    <n v="2"/>
    <n v="0.75"/>
    <n v="1.5"/>
  </r>
  <r>
    <d v="2024-01-31T00:00:00"/>
    <x v="1"/>
    <s v="Claude Serra"/>
    <x v="2"/>
    <x v="149"/>
    <x v="9"/>
    <s v="-"/>
    <s v="F1-01"/>
    <m/>
    <s v="oui"/>
    <m/>
    <n v="3"/>
    <n v="0.75"/>
    <n v="2.25"/>
  </r>
  <r>
    <d v="2024-02-02T00:00:00"/>
    <x v="65"/>
    <s v="TWS"/>
    <x v="0"/>
    <x v="150"/>
    <x v="9"/>
    <s v="-"/>
    <s v="B2-07"/>
    <m/>
    <s v="oui"/>
    <m/>
    <n v="3"/>
    <n v="0.75"/>
    <n v="2.25"/>
  </r>
  <r>
    <d v="2024-02-02T00:00:00"/>
    <x v="65"/>
    <s v="TWS"/>
    <x v="0"/>
    <x v="118"/>
    <x v="9"/>
    <s v="-"/>
    <s v="F1-02"/>
    <m/>
    <s v="oui"/>
    <m/>
    <n v="3"/>
    <n v="0.75"/>
    <n v="2.25"/>
  </r>
  <r>
    <d v="2024-02-02T00:00:00"/>
    <x v="31"/>
    <s v="-"/>
    <x v="0"/>
    <x v="0"/>
    <x v="9"/>
    <s v="Petit degré"/>
    <s v="-"/>
    <m/>
    <s v="oui"/>
    <m/>
    <n v="3"/>
    <n v="0.75"/>
    <n v="2.25"/>
  </r>
  <r>
    <d v="2024-02-02T00:00:00"/>
    <x v="31"/>
    <s v="-"/>
    <x v="0"/>
    <x v="0"/>
    <x v="9"/>
    <s v="Classique"/>
    <s v="F1-00"/>
    <m/>
    <s v="oui"/>
    <m/>
    <n v="3"/>
    <n v="0.75"/>
    <n v="2.25"/>
  </r>
  <r>
    <d v="2024-02-02T00:00:00"/>
    <x v="31"/>
    <s v="-"/>
    <x v="0"/>
    <x v="0"/>
    <x v="9"/>
    <s v="Sup"/>
    <s v="I1-01"/>
    <m/>
    <s v="oui"/>
    <m/>
    <n v="3"/>
    <n v="0.75"/>
    <n v="2.25"/>
  </r>
  <r>
    <d v="2024-02-02T00:00:00"/>
    <x v="31"/>
    <s v="-"/>
    <x v="0"/>
    <x v="6"/>
    <x v="9"/>
    <s v="-"/>
    <s v="D1-08"/>
    <m/>
    <s v="oui"/>
    <m/>
    <n v="3"/>
    <n v="0.75"/>
    <n v="2.25"/>
  </r>
  <r>
    <d v="2024-02-05T00:00:00"/>
    <x v="11"/>
    <s v="-"/>
    <x v="0"/>
    <x v="2"/>
    <x v="9"/>
    <s v="-"/>
    <s v="I1-04"/>
    <m/>
    <s v="oui"/>
    <m/>
    <n v="2"/>
    <n v="0.75"/>
    <n v="1.5"/>
  </r>
  <r>
    <d v="2024-02-05T00:00:00"/>
    <x v="11"/>
    <s v="-"/>
    <x v="2"/>
    <x v="80"/>
    <x v="9"/>
    <s v="-"/>
    <s v="F2-08"/>
    <m/>
    <s v="oui"/>
    <m/>
    <n v="2"/>
    <n v="0.75"/>
    <n v="1.5"/>
  </r>
  <r>
    <d v="2024-02-05T00:00:00"/>
    <x v="11"/>
    <s v="-"/>
    <x v="2"/>
    <x v="80"/>
    <x v="9"/>
    <s v="-"/>
    <s v="E1-04"/>
    <m/>
    <s v="oui"/>
    <m/>
    <n v="2"/>
    <n v="0.75"/>
    <n v="1.5"/>
  </r>
  <r>
    <d v="2024-02-05T00:00:00"/>
    <x v="11"/>
    <s v="-"/>
    <x v="2"/>
    <x v="80"/>
    <x v="9"/>
    <s v="-"/>
    <s v="B2-08"/>
    <m/>
    <s v="oui"/>
    <m/>
    <n v="2"/>
    <n v="0.75"/>
    <n v="1.5"/>
  </r>
  <r>
    <d v="2024-02-05T00:00:00"/>
    <x v="11"/>
    <s v="-"/>
    <x v="2"/>
    <x v="80"/>
    <x v="9"/>
    <s v="-"/>
    <s v="J3-07"/>
    <m/>
    <s v="oui"/>
    <m/>
    <n v="2"/>
    <n v="0.75"/>
    <n v="1.5"/>
  </r>
  <r>
    <d v="2024-02-05T00:00:00"/>
    <x v="11"/>
    <s v="-"/>
    <x v="2"/>
    <x v="80"/>
    <x v="9"/>
    <s v="-"/>
    <s v="J2-11"/>
    <m/>
    <s v="oui"/>
    <m/>
    <n v="2"/>
    <n v="0.75"/>
    <n v="1.5"/>
  </r>
  <r>
    <d v="2024-02-05T00:00:00"/>
    <x v="113"/>
    <s v="-"/>
    <x v="0"/>
    <x v="0"/>
    <x v="9"/>
    <s v="Variétal"/>
    <s v="C1-09"/>
    <m/>
    <s v="oui"/>
    <m/>
    <n v="2"/>
    <n v="0.75"/>
    <n v="1.5"/>
  </r>
  <r>
    <d v="2024-02-05T00:00:00"/>
    <x v="113"/>
    <s v="-"/>
    <x v="0"/>
    <x v="0"/>
    <x v="9"/>
    <s v="Supérieur"/>
    <s v="I1-01"/>
    <m/>
    <s v="oui"/>
    <m/>
    <n v="2"/>
    <n v="0.75"/>
    <n v="1.5"/>
  </r>
  <r>
    <d v="2024-02-05T00:00:00"/>
    <x v="113"/>
    <s v="-"/>
    <x v="0"/>
    <x v="1"/>
    <x v="9"/>
    <s v="-"/>
    <s v="-"/>
    <m/>
    <s v="oui"/>
    <s v="90% A1-09 + 10% G1-04"/>
    <n v="2"/>
    <n v="0.75"/>
    <n v="1.5"/>
  </r>
  <r>
    <d v="2024-02-06T00:00:00"/>
    <x v="5"/>
    <s v="-"/>
    <x v="0"/>
    <x v="17"/>
    <x v="9"/>
    <s v="-"/>
    <s v="C1-10"/>
    <m/>
    <s v="oui"/>
    <m/>
    <n v="3"/>
    <n v="0.75"/>
    <n v="2.25"/>
  </r>
  <r>
    <d v="2024-02-07T00:00:00"/>
    <x v="99"/>
    <s v="-"/>
    <x v="1"/>
    <x v="38"/>
    <x v="9"/>
    <s v="-"/>
    <s v="C2-4"/>
    <m/>
    <s v="oui"/>
    <m/>
    <n v="3"/>
    <n v="0.75"/>
    <n v="2.25"/>
  </r>
  <r>
    <d v="2024-02-08T00:00:00"/>
    <x v="5"/>
    <s v="-"/>
    <x v="0"/>
    <x v="49"/>
    <x v="9"/>
    <s v="-"/>
    <s v="A1-04"/>
    <m/>
    <s v="oui"/>
    <m/>
    <n v="5"/>
    <n v="0.75"/>
    <n v="3.75"/>
  </r>
  <r>
    <d v="2024-02-09T00:00:00"/>
    <x v="5"/>
    <m/>
    <x v="1"/>
    <x v="51"/>
    <x v="9"/>
    <s v="-"/>
    <s v="D1-07"/>
    <m/>
    <s v="oui"/>
    <s v="&quot;Oc Rosé&quot;"/>
    <n v="3"/>
    <n v="0.75"/>
    <n v="2.25"/>
  </r>
  <r>
    <d v="2024-02-09T00:00:00"/>
    <x v="11"/>
    <s v="-"/>
    <x v="2"/>
    <x v="7"/>
    <x v="9"/>
    <s v="-"/>
    <s v="E2-04"/>
    <m/>
    <s v="oui"/>
    <m/>
    <n v="5"/>
    <n v="0.75"/>
    <n v="3.75"/>
  </r>
  <r>
    <d v="2024-02-09T00:00:00"/>
    <x v="11"/>
    <s v="-"/>
    <x v="2"/>
    <x v="151"/>
    <x v="9"/>
    <s v="-"/>
    <s v="F1-01"/>
    <m/>
    <s v="oui"/>
    <m/>
    <n v="5"/>
    <n v="0.75"/>
    <n v="3.75"/>
  </r>
  <r>
    <d v="2024-02-09T00:00:00"/>
    <x v="11"/>
    <s v="-"/>
    <x v="2"/>
    <x v="151"/>
    <x v="9"/>
    <s v="-"/>
    <s v="C2-02"/>
    <m/>
    <s v="oui"/>
    <m/>
    <n v="5"/>
    <n v="0.75"/>
    <n v="3.75"/>
  </r>
  <r>
    <d v="2024-02-09T00:00:00"/>
    <x v="11"/>
    <s v="-"/>
    <x v="2"/>
    <x v="4"/>
    <x v="9"/>
    <s v="-"/>
    <s v="C2-01"/>
    <m/>
    <s v="oui"/>
    <m/>
    <n v="5"/>
    <n v="0.75"/>
    <n v="3.75"/>
  </r>
  <r>
    <d v="2024-02-09T00:00:00"/>
    <x v="122"/>
    <s v="-"/>
    <x v="0"/>
    <x v="1"/>
    <x v="9"/>
    <s v="Variétal"/>
    <s v="H1-01"/>
    <m/>
    <s v="oui"/>
    <m/>
    <n v="3"/>
    <n v="0.75"/>
    <n v="2.25"/>
  </r>
  <r>
    <d v="2024-02-12T00:00:00"/>
    <x v="108"/>
    <s v="-"/>
    <x v="0"/>
    <x v="0"/>
    <x v="9"/>
    <s v="Lot 3"/>
    <s v="-"/>
    <m/>
    <s v="oui"/>
    <s v="60% Chardo classique + 40% Chardo sup"/>
    <n v="2"/>
    <n v="0.75"/>
    <n v="1.5"/>
  </r>
  <r>
    <d v="2024-02-12T00:00:00"/>
    <x v="108"/>
    <s v="-"/>
    <x v="0"/>
    <x v="0"/>
    <x v="9"/>
    <s v="Lot 4"/>
    <s v="-"/>
    <m/>
    <s v="oui"/>
    <s v="60% Chardo classique + 40% Chardo sup + 15g/hL Citrique + 35g/hL Malique"/>
    <n v="2"/>
    <n v="0.75"/>
    <n v="1.5"/>
  </r>
  <r>
    <d v="2024-02-12T00:00:00"/>
    <x v="108"/>
    <s v="-"/>
    <x v="1"/>
    <x v="8"/>
    <x v="9"/>
    <s v="Lot 3"/>
    <s v="B2-2"/>
    <m/>
    <s v="oui"/>
    <s v="&quot;Rosé lot 3&quot;"/>
    <n v="2"/>
    <n v="0.75"/>
    <n v="1.5"/>
  </r>
  <r>
    <d v="2024-02-16T00:00:00"/>
    <x v="2"/>
    <s v="-"/>
    <x v="0"/>
    <x v="0"/>
    <x v="9"/>
    <s v="Boisé"/>
    <s v="E1-06"/>
    <m/>
    <s v="oui"/>
    <m/>
    <n v="3"/>
    <n v="0.75"/>
    <n v="2.25"/>
  </r>
  <r>
    <d v="2024-02-16T00:00:00"/>
    <x v="2"/>
    <s v="-"/>
    <x v="0"/>
    <x v="0"/>
    <x v="9"/>
    <s v="Sup"/>
    <s v="I1-01"/>
    <m/>
    <s v="oui"/>
    <m/>
    <n v="3"/>
    <n v="0.75"/>
    <n v="2.25"/>
  </r>
  <r>
    <d v="2024-02-19T00:00:00"/>
    <x v="2"/>
    <s v="-"/>
    <x v="0"/>
    <x v="2"/>
    <x v="9"/>
    <s v="Vrac"/>
    <s v="I1-04"/>
    <m/>
    <s v="oui"/>
    <m/>
    <n v="3"/>
    <n v="0.75"/>
    <n v="2.25"/>
  </r>
  <r>
    <d v="2024-02-19T00:00:00"/>
    <x v="86"/>
    <s v="-"/>
    <x v="0"/>
    <x v="0"/>
    <x v="9"/>
    <s v="Supérieur"/>
    <s v="I1-01"/>
    <m/>
    <s v="oui"/>
    <m/>
    <n v="2"/>
    <n v="0.75"/>
    <n v="1.5"/>
  </r>
  <r>
    <d v="2024-02-19T00:00:00"/>
    <x v="86"/>
    <s v="-"/>
    <x v="0"/>
    <x v="0"/>
    <x v="9"/>
    <s v="Classique"/>
    <s v="F1-00"/>
    <m/>
    <s v="oui"/>
    <m/>
    <n v="2"/>
    <n v="0.75"/>
    <n v="1.5"/>
  </r>
  <r>
    <d v="2024-02-21T00:00:00"/>
    <x v="5"/>
    <s v="-"/>
    <x v="0"/>
    <x v="49"/>
    <x v="9"/>
    <s v="Vrac"/>
    <s v="B1-00"/>
    <m/>
    <s v="oui"/>
    <s v="  "/>
    <n v="12"/>
    <n v="0.75"/>
    <n v="9"/>
  </r>
  <r>
    <d v="2024-02-21T00:00:00"/>
    <x v="2"/>
    <s v="-"/>
    <x v="0"/>
    <x v="1"/>
    <x v="9"/>
    <s v="Supérieur"/>
    <s v="G1-04"/>
    <m/>
    <s v="oui"/>
    <m/>
    <n v="3"/>
    <n v="0.75"/>
    <n v="2.25"/>
  </r>
  <r>
    <d v="2024-02-21T00:00:00"/>
    <x v="2"/>
    <s v="-"/>
    <x v="0"/>
    <x v="0"/>
    <x v="9"/>
    <s v="Blend 11"/>
    <s v="E1-06"/>
    <m/>
    <s v="oui"/>
    <m/>
    <n v="3"/>
    <n v="0.75"/>
    <n v="2.25"/>
  </r>
  <r>
    <d v="2024-02-21T00:00:00"/>
    <x v="2"/>
    <s v="-"/>
    <x v="2"/>
    <x v="4"/>
    <x v="9"/>
    <s v="MPC"/>
    <s v="C1-01"/>
    <m/>
    <s v="oui"/>
    <m/>
    <n v="2"/>
    <n v="0.75"/>
    <n v="1.5"/>
  </r>
  <r>
    <d v="2024-02-21T00:00:00"/>
    <x v="2"/>
    <s v="-"/>
    <x v="1"/>
    <x v="106"/>
    <x v="9"/>
    <s v="-"/>
    <s v="D1-07"/>
    <m/>
    <s v="oui"/>
    <m/>
    <n v="2"/>
    <n v="0.75"/>
    <n v="1.5"/>
  </r>
  <r>
    <d v="2024-02-22T00:00:00"/>
    <x v="11"/>
    <s v="-"/>
    <x v="0"/>
    <x v="1"/>
    <x v="9"/>
    <s v="Supérieur"/>
    <s v="G1-04"/>
    <m/>
    <s v="oui"/>
    <m/>
    <n v="4"/>
    <n v="0.75"/>
    <n v="3"/>
  </r>
  <r>
    <d v="2024-02-22T00:00:00"/>
    <x v="11"/>
    <s v="-"/>
    <x v="0"/>
    <x v="1"/>
    <x v="9"/>
    <s v="Variétal"/>
    <s v="A1-09"/>
    <m/>
    <s v="oui"/>
    <m/>
    <n v="4"/>
    <n v="0.75"/>
    <n v="3"/>
  </r>
  <r>
    <d v="2024-02-28T00:00:00"/>
    <x v="65"/>
    <s v="TWS"/>
    <x v="3"/>
    <x v="152"/>
    <x v="9"/>
    <s v="-"/>
    <s v="J3-06"/>
    <m/>
    <s v="oui"/>
    <m/>
    <n v="3"/>
    <n v="0.75"/>
    <n v="2.25"/>
  </r>
  <r>
    <d v="2024-02-28T00:00:00"/>
    <x v="65"/>
    <s v="TWS"/>
    <x v="0"/>
    <x v="153"/>
    <x v="9"/>
    <s v="-"/>
    <s v="D2-08"/>
    <m/>
    <s v="oui"/>
    <m/>
    <n v="3"/>
    <n v="0.75"/>
    <n v="2.25"/>
  </r>
  <r>
    <d v="2024-02-28T00:00:00"/>
    <x v="65"/>
    <s v="TWS"/>
    <x v="0"/>
    <x v="154"/>
    <x v="9"/>
    <s v="vrac"/>
    <s v="J2-01"/>
    <m/>
    <s v="oui"/>
    <m/>
    <n v="3"/>
    <n v="0.75"/>
    <n v="2.25"/>
  </r>
  <r>
    <d v="2024-02-28T00:00:00"/>
    <x v="65"/>
    <s v="TWS"/>
    <x v="0"/>
    <x v="1"/>
    <x v="9"/>
    <s v="Classique"/>
    <s v="D2-04"/>
    <m/>
    <s v="oui"/>
    <m/>
    <n v="3"/>
    <n v="0.75"/>
    <n v="2.25"/>
  </r>
  <r>
    <d v="2024-02-28T00:00:00"/>
    <x v="65"/>
    <s v="TWS"/>
    <x v="1"/>
    <x v="94"/>
    <x v="9"/>
    <s v="Oc rosé"/>
    <s v="A2-05"/>
    <m/>
    <s v="oui"/>
    <m/>
    <n v="3"/>
    <n v="0.75"/>
    <n v="2.25"/>
  </r>
  <r>
    <d v="2024-02-28T00:00:00"/>
    <x v="65"/>
    <s v="TWS"/>
    <x v="1"/>
    <x v="8"/>
    <x v="9"/>
    <s v="vrac"/>
    <s v="B2-02"/>
    <m/>
    <s v="oui"/>
    <m/>
    <n v="3"/>
    <n v="0.75"/>
    <n v="2.25"/>
  </r>
  <r>
    <d v="2024-02-28T00:00:00"/>
    <x v="65"/>
    <s v="TWS"/>
    <x v="1"/>
    <x v="7"/>
    <x v="9"/>
    <s v="vrac"/>
    <s v="H1-02"/>
    <m/>
    <s v="oui"/>
    <m/>
    <n v="3"/>
    <n v="0.75"/>
    <n v="2.25"/>
  </r>
  <r>
    <d v="2024-02-28T00:00:00"/>
    <x v="65"/>
    <s v="TWS"/>
    <x v="1"/>
    <x v="19"/>
    <x v="9"/>
    <s v="vrac"/>
    <s v="D1-07"/>
    <m/>
    <s v="oui"/>
    <m/>
    <n v="3"/>
    <n v="0.75"/>
    <n v="2.25"/>
  </r>
  <r>
    <d v="2024-03-05T00:00:00"/>
    <x v="1"/>
    <s v="Laurent Sauvage"/>
    <x v="1"/>
    <x v="8"/>
    <x v="9"/>
    <s v="vrac"/>
    <s v="B2-02"/>
    <m/>
    <s v="oui"/>
    <n v="0.01"/>
    <n v="2"/>
    <n v="0.75"/>
    <n v="1.5"/>
  </r>
  <r>
    <d v="2024-03-05T00:00:00"/>
    <x v="1"/>
    <s v="Laurent Sauvage"/>
    <x v="1"/>
    <x v="155"/>
    <x v="9"/>
    <s v="vrac"/>
    <s v="D1-07"/>
    <m/>
    <s v="oui"/>
    <s v="&quot;Grenache rosé&quot; 5%"/>
    <n v="2"/>
    <n v="0.75"/>
    <n v="1.5"/>
  </r>
  <r>
    <d v="2024-03-06T00:00:00"/>
    <x v="97"/>
    <s v="-"/>
    <x v="1"/>
    <x v="4"/>
    <x v="9"/>
    <s v="vrac"/>
    <s v="B1-05"/>
    <m/>
    <s v="oui"/>
    <m/>
    <n v="2"/>
    <n v="0.75"/>
    <n v="1.5"/>
  </r>
  <r>
    <d v="2024-03-06T00:00:00"/>
    <x v="97"/>
    <s v="-"/>
    <x v="1"/>
    <x v="155"/>
    <x v="9"/>
    <s v="vrac"/>
    <s v="D1-07"/>
    <m/>
    <s v="oui"/>
    <s v="&quot;Grenache rosé&quot;"/>
    <n v="2"/>
    <n v="0.75"/>
    <n v="1.5"/>
  </r>
  <r>
    <d v="2024-03-06T00:00:00"/>
    <x v="97"/>
    <s v="-"/>
    <x v="1"/>
    <x v="156"/>
    <x v="9"/>
    <s v="vrac"/>
    <s v="H1-02"/>
    <m/>
    <s v="oui"/>
    <s v="&quot;Grenache rosé&quot;"/>
    <n v="2"/>
    <n v="0.75"/>
    <n v="1.5"/>
  </r>
  <r>
    <d v="2024-03-11T00:00:00"/>
    <x v="2"/>
    <s v="-"/>
    <x v="0"/>
    <x v="1"/>
    <x v="9"/>
    <s v="Supérieur"/>
    <s v="G1-04"/>
    <m/>
    <s v="oui"/>
    <m/>
    <n v="2"/>
    <n v="0.75"/>
    <n v="1.5"/>
  </r>
  <r>
    <d v="2024-03-11T00:00:00"/>
    <x v="2"/>
    <s v="-"/>
    <x v="1"/>
    <x v="7"/>
    <x v="9"/>
    <s v="vrac"/>
    <s v="H1-02"/>
    <m/>
    <s v="oui"/>
    <s v="&quot;Rosé "/>
    <n v="1"/>
    <n v="0.75"/>
    <n v="0.75"/>
  </r>
  <r>
    <d v="2024-03-11T00:00:00"/>
    <x v="2"/>
    <s v="-"/>
    <x v="1"/>
    <x v="51"/>
    <x v="9"/>
    <s v="Cers"/>
    <s v="D1-07"/>
    <m/>
    <s v="oui"/>
    <s v="&quot;Rosé "/>
    <n v="1"/>
    <n v="0.75"/>
    <n v="0.75"/>
  </r>
  <r>
    <d v="2024-03-12T00:00:00"/>
    <x v="62"/>
    <s v="-"/>
    <x v="2"/>
    <x v="104"/>
    <x v="9"/>
    <s v="thermo vrac"/>
    <s v="A2-06"/>
    <m/>
    <s v="oui"/>
    <s v="&quot;Thermo boisé&quot;"/>
    <n v="2"/>
    <n v="0.75"/>
    <n v="1.5"/>
  </r>
  <r>
    <d v="2024-03-12T00:00:00"/>
    <x v="62"/>
    <s v="-"/>
    <x v="2"/>
    <x v="4"/>
    <x v="9"/>
    <s v="thermo vrac"/>
    <s v="C1-01"/>
    <m/>
    <s v="oui"/>
    <s v="&quot;Thermo non boisé&quot;"/>
    <n v="2"/>
    <n v="0.75"/>
    <n v="1.5"/>
  </r>
  <r>
    <d v="2024-03-13T00:00:00"/>
    <x v="2"/>
    <s v="-"/>
    <x v="0"/>
    <x v="2"/>
    <x v="9"/>
    <s v="vrac"/>
    <s v="I1-04"/>
    <m/>
    <s v="oui"/>
    <s v="-"/>
    <n v="2"/>
    <n v="0.75"/>
    <n v="1.5"/>
  </r>
  <r>
    <d v="2024-03-15T00:00:00"/>
    <x v="99"/>
    <s v="Vargoz"/>
    <x v="1"/>
    <x v="51"/>
    <x v="9"/>
    <s v="vrac"/>
    <s v="D1-07"/>
    <m/>
    <s v="oui"/>
    <s v="&quot;Rosé Lot 1&quot;"/>
    <n v="3"/>
    <n v="0.75"/>
    <n v="2.25"/>
  </r>
  <r>
    <d v="2024-03-15T00:00:00"/>
    <x v="99"/>
    <s v="Vargoz"/>
    <x v="1"/>
    <x v="7"/>
    <x v="9"/>
    <s v="vrac"/>
    <s v="H1-02"/>
    <m/>
    <s v="oui"/>
    <s v="&quot;Rosé Lot 2&quot;"/>
    <n v="3"/>
    <n v="0.75"/>
    <n v="2.25"/>
  </r>
  <r>
    <d v="2024-03-15T00:00:00"/>
    <x v="99"/>
    <s v="Vargoz"/>
    <x v="1"/>
    <x v="8"/>
    <x v="9"/>
    <s v="vrac"/>
    <s v="B2-02"/>
    <m/>
    <s v="oui"/>
    <s v="&quot;Rosé Lot 3&quot;"/>
    <n v="3"/>
    <n v="0.75"/>
    <n v="2.25"/>
  </r>
  <r>
    <d v="2024-03-18T00:00:00"/>
    <x v="137"/>
    <m/>
    <x v="0"/>
    <x v="21"/>
    <x v="9"/>
    <s v="vrac"/>
    <s v="J2-06"/>
    <m/>
    <s v="oui"/>
    <s v="90% vermentino + 10% T et M sec"/>
    <n v="1"/>
    <n v="0.75"/>
    <n v="0.75"/>
  </r>
  <r>
    <d v="2024-03-18T00:00:00"/>
    <x v="21"/>
    <s v="-"/>
    <x v="0"/>
    <x v="1"/>
    <x v="9"/>
    <s v="variétal"/>
    <s v="D1-03"/>
    <m/>
    <s v="oui"/>
    <m/>
    <n v="3"/>
    <n v="0.75"/>
    <n v="2.25"/>
  </r>
  <r>
    <d v="2024-03-18T00:00:00"/>
    <x v="2"/>
    <s v="-"/>
    <x v="0"/>
    <x v="6"/>
    <x v="9"/>
    <s v="oc terret"/>
    <s v="G1-01"/>
    <m/>
    <s v="oui"/>
    <m/>
    <n v="2"/>
    <n v="0.75"/>
    <n v="1.5"/>
  </r>
  <r>
    <d v="2024-03-18T00:00:00"/>
    <x v="2"/>
    <s v="-"/>
    <x v="0"/>
    <x v="2"/>
    <x v="9"/>
    <s v="vrac"/>
    <s v="I1-04"/>
    <m/>
    <s v="oui"/>
    <m/>
    <n v="2"/>
    <n v="0.75"/>
    <n v="1.5"/>
  </r>
  <r>
    <d v="2024-03-18T00:00:00"/>
    <x v="2"/>
    <s v="-"/>
    <x v="0"/>
    <x v="0"/>
    <x v="9"/>
    <s v="boisé"/>
    <s v="A2-04"/>
    <m/>
    <s v="oui"/>
    <m/>
    <n v="2"/>
    <n v="0.75"/>
    <n v="1.5"/>
  </r>
  <r>
    <d v="2024-03-18T00:00:00"/>
    <x v="2"/>
    <s v="-"/>
    <x v="0"/>
    <x v="0"/>
    <x v="9"/>
    <s v="variétal"/>
    <s v="I1-03"/>
    <m/>
    <s v="oui"/>
    <m/>
    <n v="2"/>
    <n v="0.75"/>
    <n v="1.5"/>
  </r>
  <r>
    <d v="2024-03-18T00:00:00"/>
    <x v="2"/>
    <s v="-"/>
    <x v="0"/>
    <x v="1"/>
    <x v="9"/>
    <s v="sup"/>
    <s v="F1-01"/>
    <m/>
    <s v="oui"/>
    <m/>
    <n v="2"/>
    <n v="0.75"/>
    <n v="1.5"/>
  </r>
  <r>
    <d v="2024-03-20T00:00:00"/>
    <x v="2"/>
    <s v="-"/>
    <x v="1"/>
    <x v="51"/>
    <x v="9"/>
    <s v="vrac"/>
    <s v="D1-07"/>
    <m/>
    <s v="oui"/>
    <s v="&quot;Rosé Lot 1&quot;"/>
    <n v="2"/>
    <n v="0.75"/>
    <n v="1.5"/>
  </r>
  <r>
    <d v="2024-03-20T00:00:00"/>
    <x v="2"/>
    <s v="-"/>
    <x v="1"/>
    <x v="7"/>
    <x v="9"/>
    <s v="vrac"/>
    <s v="H1-02"/>
    <m/>
    <s v="oui"/>
    <s v="&quot;Rosé Lot 2&quot;"/>
    <n v="2"/>
    <n v="0.75"/>
    <n v="1.5"/>
  </r>
  <r>
    <d v="2024-03-25T00:00:00"/>
    <x v="137"/>
    <m/>
    <x v="0"/>
    <x v="6"/>
    <x v="9"/>
    <s v="Terre et Mer Sec"/>
    <s v="J1-7"/>
    <m/>
    <s v="oui"/>
    <m/>
    <n v="1"/>
    <n v="0.75"/>
    <n v="0.75"/>
  </r>
  <r>
    <d v="2024-03-25T00:00:00"/>
    <x v="2"/>
    <s v="-"/>
    <x v="0"/>
    <x v="0"/>
    <x v="9"/>
    <s v="Boisé"/>
    <s v="A2-4"/>
    <m/>
    <s v="oui"/>
    <m/>
    <n v="2"/>
    <n v="0.75"/>
    <n v="1.5"/>
  </r>
  <r>
    <d v="2024-03-26T00:00:00"/>
    <x v="11"/>
    <s v="-"/>
    <x v="2"/>
    <x v="5"/>
    <x v="9"/>
    <s v="Minervois"/>
    <s v="E1-4"/>
    <m/>
    <s v="oui"/>
    <m/>
    <n v="2"/>
    <n v="0.75"/>
    <n v="1.5"/>
  </r>
  <r>
    <d v="2024-03-26T00:00:00"/>
    <x v="11"/>
    <s v="-"/>
    <x v="2"/>
    <x v="5"/>
    <x v="9"/>
    <s v="Limoux"/>
    <s v="J3-7"/>
    <m/>
    <s v="oui"/>
    <m/>
    <n v="2"/>
    <n v="0.75"/>
    <n v="1.5"/>
  </r>
  <r>
    <d v="2024-03-26T00:00:00"/>
    <x v="11"/>
    <s v="-"/>
    <x v="2"/>
    <x v="5"/>
    <x v="9"/>
    <s v="Limoux"/>
    <s v="J2-11"/>
    <m/>
    <s v="oui"/>
    <m/>
    <n v="2"/>
    <n v="0.75"/>
    <n v="1.5"/>
  </r>
  <r>
    <d v="2024-03-27T00:00:00"/>
    <x v="2"/>
    <s v="-"/>
    <x v="0"/>
    <x v="142"/>
    <x v="9"/>
    <s v="vrac"/>
    <s v="D2-08"/>
    <m/>
    <s v="oui"/>
    <s v="&quot;Marsanne lot 1&quot;"/>
    <n v="2"/>
    <n v="0.75"/>
    <n v="1.5"/>
  </r>
  <r>
    <d v="2024-03-27T00:00:00"/>
    <x v="2"/>
    <s v="-"/>
    <x v="0"/>
    <x v="1"/>
    <x v="9"/>
    <s v="classique"/>
    <s v="E1-08"/>
    <m/>
    <s v="oui"/>
    <s v="&quot;Marsanne lot 2&quot;"/>
    <n v="2"/>
    <n v="0.75"/>
    <n v="1.5"/>
  </r>
  <r>
    <d v="2024-03-27T00:00:00"/>
    <x v="119"/>
    <s v="Poujol"/>
    <x v="0"/>
    <x v="142"/>
    <x v="9"/>
    <s v="vrac"/>
    <s v="D2-08"/>
    <m/>
    <s v="oui"/>
    <s v="&quot;Marsanne lot 1&quot;"/>
    <n v="2"/>
    <n v="0.75"/>
    <n v="1.5"/>
  </r>
  <r>
    <d v="2024-04-03T00:00:00"/>
    <x v="65"/>
    <s v="TWS"/>
    <x v="3"/>
    <x v="118"/>
    <x v="9"/>
    <s v="vrac"/>
    <s v="J3-06"/>
    <m/>
    <s v="oui"/>
    <m/>
    <n v="3"/>
    <n v="0.75"/>
    <n v="2.25"/>
  </r>
  <r>
    <d v="2024-04-03T00:00:00"/>
    <x v="65"/>
    <s v="TWS"/>
    <x v="0"/>
    <x v="3"/>
    <x v="9"/>
    <s v="vrac"/>
    <s v="J2-05"/>
    <m/>
    <s v="oui"/>
    <m/>
    <n v="3"/>
    <n v="0.75"/>
    <n v="2.25"/>
  </r>
  <r>
    <d v="2024-04-03T00:00:00"/>
    <x v="65"/>
    <s v="TWS"/>
    <x v="0"/>
    <x v="157"/>
    <x v="9"/>
    <s v="vrac"/>
    <s v="A2-07"/>
    <m/>
    <s v="oui"/>
    <m/>
    <n v="3"/>
    <n v="0.75"/>
    <n v="2.25"/>
  </r>
  <r>
    <d v="2024-04-03T00:00:00"/>
    <x v="65"/>
    <s v="TWS"/>
    <x v="1"/>
    <x v="158"/>
    <x v="9"/>
    <s v="vrac"/>
    <s v="I1-01"/>
    <m/>
    <s v="oui"/>
    <m/>
    <n v="3"/>
    <n v="0.75"/>
    <n v="2.25"/>
  </r>
  <r>
    <d v="2024-04-03T00:00:00"/>
    <x v="65"/>
    <s v="TWS"/>
    <x v="2"/>
    <x v="7"/>
    <x v="9"/>
    <s v="vrac"/>
    <s v="C1-02"/>
    <m/>
    <s v="oui"/>
    <s v="70% C1-02 + 30% D1-05 &quot;Cabernet Sauv Lot 1&quot;"/>
    <n v="3"/>
    <n v="0.75"/>
    <n v="2.25"/>
  </r>
  <r>
    <d v="2024-04-03T00:00:00"/>
    <x v="5"/>
    <s v="-"/>
    <x v="2"/>
    <x v="7"/>
    <x v="9"/>
    <s v="vrac"/>
    <s v="C1-02"/>
    <m/>
    <s v="oui"/>
    <s v="70% C1-02 + 30% D1-05 &quot;Cabernet Sauv Lot 1&quot;"/>
    <n v="2"/>
    <n v="0.75"/>
    <n v="1.5"/>
  </r>
  <r>
    <d v="2024-04-03T00:00:00"/>
    <x v="65"/>
    <s v="TWS"/>
    <x v="2"/>
    <x v="151"/>
    <x v="9"/>
    <s v="vrac"/>
    <s v="F1-04"/>
    <m/>
    <s v="oui"/>
    <s v="75% F1-04 + 25% F1-02 &quot;Cabernet Sauv Lot 2&quot;"/>
    <n v="3"/>
    <n v="0.75"/>
    <n v="2.25"/>
  </r>
  <r>
    <d v="2024-04-03T00:00:00"/>
    <x v="5"/>
    <s v="-"/>
    <x v="2"/>
    <x v="151"/>
    <x v="9"/>
    <s v="vrac"/>
    <s v="F1-04"/>
    <m/>
    <s v="oui"/>
    <s v="75% F1-04 + 25% F1-02 &quot;Cabernet Sauv Lot 2&quot;"/>
    <n v="2"/>
    <n v="0.75"/>
    <n v="1.5"/>
  </r>
  <r>
    <d v="2024-04-03T00:00:00"/>
    <x v="65"/>
    <s v="TWS"/>
    <x v="2"/>
    <x v="159"/>
    <x v="9"/>
    <s v="vrac"/>
    <s v="F1-02"/>
    <m/>
    <s v="oui"/>
    <s v="75% F1-04 + 12,5% F1-02 + 12,5% D1-05  &quot;Cab Sauv lot 2&quot;"/>
    <n v="3"/>
    <n v="0.75"/>
    <n v="2.25"/>
  </r>
  <r>
    <d v="2024-04-03T00:00:00"/>
    <x v="65"/>
    <s v="TWS"/>
    <x v="2"/>
    <x v="159"/>
    <x v="9"/>
    <s v="vrac"/>
    <s v="F1-02"/>
    <m/>
    <s v="oui"/>
    <s v="75% F1-04 + 12,5% F1-02 + 12,5% D1-05  &quot;Cab Sauv lot 2&quot;"/>
    <n v="2"/>
    <n v="0.75"/>
    <n v="1.5"/>
  </r>
  <r>
    <d v="2024-04-06T00:00:00"/>
    <x v="1"/>
    <s v="WSC"/>
    <x v="0"/>
    <x v="2"/>
    <x v="9"/>
    <s v="vrac"/>
    <s v="A1-05"/>
    <m/>
    <s v="oui"/>
    <m/>
    <n v="2"/>
    <n v="0.75"/>
    <n v="1.5"/>
  </r>
  <r>
    <d v="2024-04-06T00:00:00"/>
    <x v="1"/>
    <s v="WSC"/>
    <x v="0"/>
    <x v="0"/>
    <x v="9"/>
    <s v="Variétal"/>
    <s v="G1-03"/>
    <m/>
    <s v="oui"/>
    <m/>
    <n v="2"/>
    <n v="0.75"/>
    <n v="1.5"/>
  </r>
  <r>
    <d v="2024-04-08T00:00:00"/>
    <x v="2"/>
    <s v="-"/>
    <x v="0"/>
    <x v="142"/>
    <x v="9"/>
    <s v="vrac"/>
    <s v="E2-03"/>
    <m/>
    <s v="oui"/>
    <s v="&quot;Marsanne lot 1&quot;"/>
    <n v="3"/>
    <n v="0.75"/>
    <n v="2.25"/>
  </r>
  <r>
    <d v="2024-04-08T00:00:00"/>
    <x v="2"/>
    <s v="-"/>
    <x v="0"/>
    <x v="1"/>
    <x v="9"/>
    <s v="Classique"/>
    <s v="E1-08"/>
    <m/>
    <s v="oui"/>
    <s v="&quot;Marsanne lot 2&quot;"/>
    <n v="3"/>
    <n v="0.75"/>
    <n v="2.25"/>
  </r>
  <r>
    <d v="2024-04-11T00:00:00"/>
    <x v="2"/>
    <s v="-"/>
    <x v="0"/>
    <x v="1"/>
    <x v="9"/>
    <s v="assemblage"/>
    <s v="C2-08"/>
    <m/>
    <s v="oui"/>
    <s v="&quot;Sauvignon lot 1&quot; 50% C2-08 + 50%E1-08&quot;"/>
    <n v="2"/>
    <n v="0.75"/>
    <n v="1.5"/>
  </r>
  <r>
    <d v="2024-04-11T00:00:00"/>
    <x v="2"/>
    <s v="-"/>
    <x v="0"/>
    <x v="1"/>
    <x v="9"/>
    <s v="classique"/>
    <s v="E1-08"/>
    <m/>
    <s v="oui"/>
    <s v="&quot;Sauvignon lot 2&quot; "/>
    <n v="2"/>
    <n v="0.75"/>
    <n v="1.5"/>
  </r>
  <r>
    <d v="2024-04-11T00:00:00"/>
    <x v="1"/>
    <s v="WSC"/>
    <x v="0"/>
    <x v="0"/>
    <x v="9"/>
    <s v="Variétal"/>
    <s v="E1-05"/>
    <m/>
    <s v="oui"/>
    <m/>
    <n v="2"/>
    <n v="0.75"/>
    <n v="1.5"/>
  </r>
  <r>
    <d v="2024-04-11T00:00:00"/>
    <x v="1"/>
    <s v="WSC"/>
    <x v="0"/>
    <x v="2"/>
    <x v="9"/>
    <s v="Vrac"/>
    <s v="A1-05"/>
    <m/>
    <s v="oui"/>
    <m/>
    <n v="2"/>
    <n v="0.75"/>
    <n v="1.5"/>
  </r>
  <r>
    <d v="2024-04-17T00:00:00"/>
    <x v="31"/>
    <s v="-"/>
    <x v="0"/>
    <x v="0"/>
    <x v="9"/>
    <s v="Classique"/>
    <s v="C1-04"/>
    <m/>
    <s v="oui"/>
    <m/>
    <n v="2"/>
    <n v="0.75"/>
    <n v="1.5"/>
  </r>
  <r>
    <d v="2024-04-17T00:00:00"/>
    <x v="31"/>
    <s v="-"/>
    <x v="0"/>
    <x v="0"/>
    <x v="9"/>
    <s v="Petit degré"/>
    <s v="B1-08"/>
    <m/>
    <s v="oui"/>
    <m/>
    <n v="2"/>
    <n v="0.75"/>
    <n v="1.5"/>
  </r>
  <r>
    <d v="2024-04-17T00:00:00"/>
    <x v="138"/>
    <s v="Vargoz"/>
    <x v="0"/>
    <x v="21"/>
    <x v="9"/>
    <s v="vrac"/>
    <s v="-"/>
    <m/>
    <s v="oui"/>
    <s v="50% E1-08 + 50% A1-02"/>
    <n v="3"/>
    <n v="0.75"/>
    <n v="2.25"/>
  </r>
  <r>
    <d v="2024-04-19T00:00:00"/>
    <x v="2"/>
    <s v="-"/>
    <x v="1"/>
    <x v="8"/>
    <x v="9"/>
    <s v="vrac"/>
    <s v="B2-02"/>
    <m/>
    <s v="oui"/>
    <s v="&quot;Rosé lot 1&quot;"/>
    <n v="3"/>
    <n v="0.75"/>
    <n v="2.25"/>
  </r>
  <r>
    <d v="2024-04-19T00:00:00"/>
    <x v="2"/>
    <s v="-"/>
    <x v="1"/>
    <x v="7"/>
    <x v="9"/>
    <s v="vrac"/>
    <s v="H1-02"/>
    <m/>
    <s v="oui"/>
    <s v="&quot;Rosé lot 2&quot;"/>
    <n v="3"/>
    <n v="0.75"/>
    <n v="2.25"/>
  </r>
  <r>
    <d v="2024-04-22T00:00:00"/>
    <x v="2"/>
    <s v="-"/>
    <x v="0"/>
    <x v="0"/>
    <x v="9"/>
    <s v="boisé"/>
    <s v="A2-4"/>
    <m/>
    <s v="oui"/>
    <m/>
    <n v="3"/>
    <n v="0.75"/>
    <n v="2.25"/>
  </r>
  <r>
    <d v="2024-04-25T00:00:00"/>
    <x v="2"/>
    <s v="-"/>
    <x v="1"/>
    <x v="160"/>
    <x v="9"/>
    <s v="vrac "/>
    <s v="B2-02"/>
    <m/>
    <s v="oui"/>
    <s v="&quot;Rosé lot 1&quot;"/>
    <n v="2"/>
    <n v="0.75"/>
    <n v="1.5"/>
  </r>
  <r>
    <d v="2024-04-25T00:00:00"/>
    <x v="2"/>
    <s v="-"/>
    <x v="1"/>
    <x v="7"/>
    <x v="9"/>
    <s v="vrac "/>
    <s v="H1-02"/>
    <m/>
    <s v="oui"/>
    <s v="&quot;Rosé lot 2&quot;"/>
    <n v="2"/>
    <n v="0.75"/>
    <n v="1.5"/>
  </r>
  <r>
    <d v="2024-04-25T00:00:00"/>
    <x v="99"/>
    <s v="Vargoz"/>
    <x v="1"/>
    <x v="161"/>
    <x v="9"/>
    <s v="vrac"/>
    <s v="-"/>
    <m/>
    <s v="oui"/>
    <s v="&quot;Rosé lot 1&quot; 66% H1-02 + 33% D2-02 + 50 g/hL tartrique"/>
    <n v="2"/>
    <n v="0.75"/>
    <n v="1.5"/>
  </r>
  <r>
    <d v="2024-04-25T00:00:00"/>
    <x v="99"/>
    <s v="Vargoz"/>
    <x v="1"/>
    <x v="160"/>
    <x v="9"/>
    <s v="vrac"/>
    <s v="B2-02"/>
    <m/>
    <s v="oui"/>
    <s v="&quot;Lot 2&quot;"/>
    <n v="2"/>
    <n v="0.75"/>
    <n v="1.5"/>
  </r>
  <r>
    <d v="2024-04-25T00:00:00"/>
    <x v="99"/>
    <s v="Vargoz"/>
    <x v="1"/>
    <x v="161"/>
    <x v="9"/>
    <s v="vrac "/>
    <s v="-"/>
    <m/>
    <s v="oui"/>
    <s v="&quot;Lot 3&quot;"/>
    <n v="2"/>
    <n v="0.75"/>
    <n v="1.5"/>
  </r>
  <r>
    <d v="2024-04-25T00:00:00"/>
    <x v="1"/>
    <s v="Jacques Woloviek"/>
    <x v="0"/>
    <x v="1"/>
    <x v="9"/>
    <s v="vrac"/>
    <s v="E1-08"/>
    <m/>
    <s v="oui"/>
    <s v="Thau blanc lot 1"/>
    <n v="2"/>
    <n v="0.75"/>
    <n v="1.5"/>
  </r>
  <r>
    <d v="2024-04-25T00:00:00"/>
    <x v="1"/>
    <s v="Jacques Woloviek"/>
    <x v="0"/>
    <x v="161"/>
    <x v="9"/>
    <s v="vrac"/>
    <s v="-"/>
    <m/>
    <s v="oui"/>
    <s v="&quot;Thau blanc&quot; 66% E1-08 + 33% D2-02 lot 2"/>
    <n v="2"/>
    <n v="0.75"/>
    <n v="1.5"/>
  </r>
  <r>
    <d v="2024-04-25T00:00:00"/>
    <x v="1"/>
    <s v="Jacques Woloviek"/>
    <x v="1"/>
    <x v="8"/>
    <x v="9"/>
    <s v="vrac"/>
    <s v="B2-02"/>
    <m/>
    <s v="oui"/>
    <m/>
    <n v="2"/>
    <n v="0.75"/>
    <n v="1.5"/>
  </r>
  <r>
    <d v="2024-04-25T00:00:00"/>
    <x v="1"/>
    <s v="Jacques Woloviek"/>
    <x v="1"/>
    <x v="7"/>
    <x v="9"/>
    <s v="vrac"/>
    <s v="H1-02"/>
    <m/>
    <s v="oui"/>
    <m/>
    <n v="2"/>
    <n v="0.75"/>
    <n v="1.5"/>
  </r>
  <r>
    <d v="2024-05-02T00:00:00"/>
    <x v="2"/>
    <s v="-"/>
    <x v="1"/>
    <x v="8"/>
    <x v="9"/>
    <s v="vrac"/>
    <s v="B2-02"/>
    <m/>
    <s v="oui"/>
    <m/>
    <n v="1"/>
    <n v="0.75"/>
    <n v="0.75"/>
  </r>
  <r>
    <d v="2024-05-02T00:00:00"/>
    <x v="2"/>
    <s v="-"/>
    <x v="1"/>
    <x v="38"/>
    <x v="9"/>
    <s v="vrac"/>
    <s v="A2-05"/>
    <m/>
    <s v="oui"/>
    <m/>
    <n v="1"/>
    <n v="0.75"/>
    <n v="0.75"/>
  </r>
  <r>
    <d v="2024-05-02T00:00:00"/>
    <x v="2"/>
    <s v="-"/>
    <x v="1"/>
    <x v="7"/>
    <x v="9"/>
    <s v="vrac"/>
    <s v="H1-02"/>
    <m/>
    <s v="oui"/>
    <m/>
    <n v="4"/>
    <n v="0.75"/>
    <n v="3"/>
  </r>
  <r>
    <d v="2024-05-02T00:00:00"/>
    <x v="2"/>
    <s v="-"/>
    <x v="1"/>
    <x v="4"/>
    <x v="9"/>
    <s v="vrac"/>
    <s v="C2-04"/>
    <m/>
    <s v="oui"/>
    <m/>
    <n v="4"/>
    <n v="0.75"/>
    <n v="3"/>
  </r>
  <r>
    <d v="2024-05-13T00:00:00"/>
    <x v="2"/>
    <s v="-"/>
    <x v="1"/>
    <x v="8"/>
    <x v="9"/>
    <s v="vrac"/>
    <s v="B2-02"/>
    <m/>
    <s v="oui"/>
    <s v="&quot;Rosé lot 1&quot;"/>
    <n v="2"/>
    <n v="0.75"/>
    <n v="1.5"/>
  </r>
  <r>
    <d v="2024-05-13T00:00:00"/>
    <x v="2"/>
    <s v="-"/>
    <x v="1"/>
    <x v="7"/>
    <x v="9"/>
    <s v="vrac"/>
    <s v="H1-02"/>
    <m/>
    <s v="oui"/>
    <s v="&quot;Rosé lot 2&quot;"/>
    <n v="4"/>
    <n v="0.75"/>
    <n v="3"/>
  </r>
  <r>
    <d v="2024-05-14T00:00:00"/>
    <x v="1"/>
    <s v="Vargoz"/>
    <x v="1"/>
    <x v="161"/>
    <x v="9"/>
    <s v="vrac"/>
    <s v="-"/>
    <m/>
    <s v="oui"/>
    <s v="&quot;Syrah rosé&quot; C2-04 65,7% + H1-02 34,3%"/>
    <n v="3"/>
    <n v="0.75"/>
    <n v="2.25"/>
  </r>
  <r>
    <d v="2024-05-14T00:00:00"/>
    <x v="1"/>
    <s v="Vargoz"/>
    <x v="1"/>
    <x v="38"/>
    <x v="9"/>
    <s v="vrac"/>
    <s v="A2-05"/>
    <m/>
    <s v="oui"/>
    <s v="&quot;Grenache rosé&quot;"/>
    <n v="3"/>
    <n v="0.75"/>
    <n v="2.25"/>
  </r>
  <r>
    <d v="2024-05-14T00:00:00"/>
    <x v="2"/>
    <s v="-"/>
    <x v="0"/>
    <x v="2"/>
    <x v="9"/>
    <s v="vrac"/>
    <s v="A1-05"/>
    <m/>
    <s v="oui"/>
    <m/>
    <n v="2"/>
    <n v="0.75"/>
    <n v="1.5"/>
  </r>
  <r>
    <d v="2024-05-15T00:00:00"/>
    <x v="86"/>
    <s v="-"/>
    <x v="0"/>
    <x v="0"/>
    <x v="9"/>
    <s v="Supérieur"/>
    <s v="H1-06"/>
    <m/>
    <s v="oui"/>
    <m/>
    <n v="3"/>
    <n v="0.75"/>
    <n v="2.25"/>
  </r>
  <r>
    <d v="2024-05-15T00:00:00"/>
    <x v="86"/>
    <s v="-"/>
    <x v="0"/>
    <x v="0"/>
    <x v="9"/>
    <s v="Classique"/>
    <s v="C1-04"/>
    <m/>
    <s v="oui"/>
    <m/>
    <n v="3"/>
    <n v="0.75"/>
    <n v="2.25"/>
  </r>
  <r>
    <d v="2024-05-15T00:00:00"/>
    <x v="5"/>
    <s v="-"/>
    <x v="1"/>
    <x v="62"/>
    <x v="9"/>
    <s v="vrac"/>
    <s v="E1-04"/>
    <m/>
    <s v="oui"/>
    <s v="&quot;Gros degré&quot;"/>
    <n v="1"/>
    <n v="0.75"/>
    <n v="0.75"/>
  </r>
  <r>
    <d v="2024-05-15T00:00:00"/>
    <x v="5"/>
    <s v="-"/>
    <x v="1"/>
    <x v="62"/>
    <x v="9"/>
    <s v="vrac"/>
    <s v="D2-06"/>
    <m/>
    <s v="oui"/>
    <s v=" "/>
    <n v="1"/>
    <n v="0.75"/>
    <n v="0.75"/>
  </r>
  <r>
    <d v="2024-05-15T00:00:00"/>
    <x v="5"/>
    <s v="-"/>
    <x v="1"/>
    <x v="62"/>
    <x v="9"/>
    <s v="vrac"/>
    <s v="-"/>
    <m/>
    <s v="oui"/>
    <s v="&quot;Lot 1&quot; 70% E1-04 + 30% D2-06"/>
    <n v="1"/>
    <n v="0.75"/>
    <n v="0.75"/>
  </r>
  <r>
    <d v="2024-05-15T00:00:00"/>
    <x v="5"/>
    <s v="-"/>
    <x v="1"/>
    <x v="62"/>
    <x v="9"/>
    <s v="vrac"/>
    <s v="-"/>
    <m/>
    <s v="oui"/>
    <s v="&quot;Lot 2&quot; 80% E1-04 + 20% D2-06"/>
    <n v="1"/>
    <n v="0.75"/>
    <n v="0.75"/>
  </r>
  <r>
    <d v="2024-05-22T00:00:00"/>
    <x v="65"/>
    <s v="TWS"/>
    <x v="0"/>
    <x v="118"/>
    <x v="9"/>
    <s v="vrac"/>
    <s v="J3-06"/>
    <m/>
    <s v="oui"/>
    <m/>
    <n v="3"/>
    <n v="0.75"/>
    <n v="2.25"/>
  </r>
  <r>
    <d v="2024-05-22T00:00:00"/>
    <x v="65"/>
    <s v="TWS"/>
    <x v="0"/>
    <x v="1"/>
    <x v="9"/>
    <s v="Classique"/>
    <s v="E1-08"/>
    <m/>
    <s v="oui"/>
    <m/>
    <n v="3"/>
    <n v="0.75"/>
    <n v="2.25"/>
  </r>
  <r>
    <d v="2024-05-22T00:00:00"/>
    <x v="65"/>
    <s v="TWS"/>
    <x v="0"/>
    <x v="3"/>
    <x v="9"/>
    <s v="vrac"/>
    <s v="J3-10"/>
    <m/>
    <s v="oui"/>
    <m/>
    <n v="3"/>
    <n v="0.75"/>
    <n v="2.25"/>
  </r>
  <r>
    <d v="2024-05-22T00:00:00"/>
    <x v="65"/>
    <s v="TWS"/>
    <x v="0"/>
    <x v="2"/>
    <x v="9"/>
    <s v="vrac"/>
    <s v="A2-03"/>
    <m/>
    <s v="oui"/>
    <m/>
    <n v="3"/>
    <n v="0.75"/>
    <n v="2.25"/>
  </r>
  <r>
    <d v="2024-05-22T00:00:00"/>
    <x v="65"/>
    <s v="TWS"/>
    <x v="1"/>
    <x v="104"/>
    <x v="9"/>
    <s v="vrac"/>
    <s v="H1-02"/>
    <m/>
    <s v="oui"/>
    <s v="&quot;Thau rosé&quot;"/>
    <n v="3"/>
    <n v="0.75"/>
    <n v="2.25"/>
  </r>
  <r>
    <d v="2024-05-22T00:00:00"/>
    <x v="65"/>
    <s v="TWS"/>
    <x v="1"/>
    <x v="38"/>
    <x v="9"/>
    <s v="vrac"/>
    <s v="A2-05"/>
    <m/>
    <s v="oui"/>
    <m/>
    <n v="3"/>
    <n v="0.75"/>
    <n v="2.25"/>
  </r>
  <r>
    <d v="2024-05-22T00:00:00"/>
    <x v="65"/>
    <s v="TWS"/>
    <x v="2"/>
    <x v="4"/>
    <x v="9"/>
    <s v="vrac"/>
    <s v="C1-01"/>
    <m/>
    <s v="oui"/>
    <m/>
    <n v="3"/>
    <n v="0.75"/>
    <n v="2.25"/>
  </r>
  <r>
    <d v="2024-05-22T00:00:00"/>
    <x v="65"/>
    <s v="TWS"/>
    <x v="2"/>
    <x v="98"/>
    <x v="9"/>
    <s v="vrac"/>
    <s v="F1-04"/>
    <m/>
    <s v="oui"/>
    <m/>
    <n v="3"/>
    <n v="0.75"/>
    <n v="2.25"/>
  </r>
  <r>
    <d v="2024-05-22T00:00:00"/>
    <x v="2"/>
    <s v="-"/>
    <x v="0"/>
    <x v="0"/>
    <x v="9"/>
    <s v="Boisé"/>
    <s v="A2-04"/>
    <m/>
    <s v="oui"/>
    <m/>
    <n v="2"/>
    <n v="0.75"/>
    <n v="1.5"/>
  </r>
  <r>
    <d v="2024-05-22T00:00:00"/>
    <x v="2"/>
    <s v="-"/>
    <x v="1"/>
    <x v="7"/>
    <x v="9"/>
    <s v="vrac"/>
    <s v="H1-02"/>
    <m/>
    <s v="oui"/>
    <s v="&quot;Thau rosé&quot;"/>
    <n v="2"/>
    <n v="0.75"/>
    <n v="1.5"/>
  </r>
  <r>
    <d v="2024-05-23T00:00:00"/>
    <x v="128"/>
    <s v="-"/>
    <x v="0"/>
    <x v="1"/>
    <x v="9"/>
    <s v="Supérieur"/>
    <s v="F1-01"/>
    <m/>
    <s v="oui"/>
    <m/>
    <n v="6"/>
    <n v="0.75"/>
    <n v="4.5"/>
  </r>
  <r>
    <d v="2024-05-23T00:00:00"/>
    <x v="128"/>
    <s v="-"/>
    <x v="2"/>
    <x v="4"/>
    <x v="9"/>
    <m/>
    <s v="C1-1"/>
    <m/>
    <s v="oui"/>
    <m/>
    <n v="1"/>
    <n v="0.75"/>
    <n v="0.75"/>
  </r>
  <r>
    <d v="2024-05-23T00:00:00"/>
    <x v="128"/>
    <s v="-"/>
    <x v="2"/>
    <x v="13"/>
    <x v="9"/>
    <m/>
    <s v="F1-4"/>
    <m/>
    <s v="oui"/>
    <m/>
    <n v="1"/>
    <n v="0.75"/>
    <n v="0.75"/>
  </r>
  <r>
    <d v="2024-05-23T00:00:00"/>
    <x v="99"/>
    <s v="Vargoz"/>
    <x v="1"/>
    <x v="38"/>
    <x v="9"/>
    <s v="vrac"/>
    <s v="B2-2"/>
    <m/>
    <s v="oui"/>
    <s v="&quot;Lot 2&quot;"/>
    <n v="3"/>
    <n v="0.75"/>
    <n v="2.25"/>
  </r>
  <r>
    <d v="2024-05-27T00:00:00"/>
    <x v="2"/>
    <s v="-"/>
    <x v="0"/>
    <x v="1"/>
    <x v="9"/>
    <s v="Classique"/>
    <s v="E1-08"/>
    <m/>
    <s v="oui"/>
    <m/>
    <n v="3"/>
    <n v="0.75"/>
    <n v="2.25"/>
  </r>
  <r>
    <d v="2024-05-27T00:00:00"/>
    <x v="65"/>
    <s v="TWS"/>
    <x v="2"/>
    <x v="4"/>
    <x v="9"/>
    <s v="vrac"/>
    <s v="C1-01"/>
    <m/>
    <s v="oui"/>
    <m/>
    <n v="3"/>
    <n v="0.75"/>
    <n v="2.25"/>
  </r>
  <r>
    <d v="2024-05-27T00:00:00"/>
    <x v="65"/>
    <s v="TWS"/>
    <x v="2"/>
    <x v="162"/>
    <x v="9"/>
    <s v="vrac"/>
    <s v="F1-04"/>
    <m/>
    <s v="oui"/>
    <s v="&quot;Merlot rouge&quot;"/>
    <n v="3"/>
    <n v="0.75"/>
    <n v="2.25"/>
  </r>
  <r>
    <d v="2024-05-28T00:00:00"/>
    <x v="2"/>
    <s v="-"/>
    <x v="1"/>
    <x v="7"/>
    <x v="9"/>
    <s v="vrac"/>
    <s v="C2-03"/>
    <m/>
    <s v="oui"/>
    <s v="&quot;Rosé générique lot 1&quot;"/>
    <n v="4"/>
    <n v="0.75"/>
    <n v="3"/>
  </r>
  <r>
    <d v="2024-05-28T00:00:00"/>
    <x v="2"/>
    <s v="-"/>
    <x v="1"/>
    <x v="38"/>
    <x v="9"/>
    <s v="vrac"/>
    <s v="C2-04"/>
    <m/>
    <s v="oui"/>
    <s v="&quot;Rosé générique lot 2&quot;"/>
    <n v="4"/>
    <n v="0.75"/>
    <n v="3"/>
  </r>
  <r>
    <d v="2024-05-28T00:00:00"/>
    <x v="11"/>
    <s v="-"/>
    <x v="2"/>
    <x v="163"/>
    <x v="9"/>
    <s v="vrac"/>
    <s v="C2-01"/>
    <m/>
    <s v="oui"/>
    <m/>
    <n v="2"/>
    <n v="0.75"/>
    <n v="1.5"/>
  </r>
  <r>
    <d v="2024-05-28T00:00:00"/>
    <x v="11"/>
    <s v="-"/>
    <x v="1"/>
    <x v="135"/>
    <x v="9"/>
    <s v="vrac"/>
    <s v="I1-05"/>
    <m/>
    <s v="oui"/>
    <m/>
    <n v="3"/>
    <n v="0.75"/>
    <n v="2.25"/>
  </r>
  <r>
    <d v="2024-05-28T00:00:00"/>
    <x v="11"/>
    <s v="-"/>
    <x v="1"/>
    <x v="38"/>
    <x v="9"/>
    <s v="vrac"/>
    <s v="C2-04"/>
    <m/>
    <s v="oui"/>
    <m/>
    <n v="3"/>
    <n v="0.75"/>
    <n v="2.25"/>
  </r>
  <r>
    <d v="2024-06-03T00:00:00"/>
    <x v="113"/>
    <s v="-"/>
    <x v="0"/>
    <x v="0"/>
    <x v="9"/>
    <s v="supérieur"/>
    <s v="H1-06"/>
    <m/>
    <s v="oui"/>
    <m/>
    <n v="2"/>
    <n v="0.75"/>
    <n v="1.5"/>
  </r>
  <r>
    <d v="2024-06-03T00:00:00"/>
    <x v="113"/>
    <s v="-"/>
    <x v="0"/>
    <x v="0"/>
    <x v="9"/>
    <s v="variétal"/>
    <s v="I1-02"/>
    <m/>
    <s v="oui"/>
    <m/>
    <n v="2"/>
    <n v="0.75"/>
    <n v="1.5"/>
  </r>
  <r>
    <d v="2024-06-03T00:00:00"/>
    <x v="113"/>
    <s v="-"/>
    <x v="0"/>
    <x v="1"/>
    <x v="9"/>
    <s v="variétal"/>
    <s v="A1-07"/>
    <m/>
    <s v="oui"/>
    <m/>
    <n v="2"/>
    <n v="0.75"/>
    <n v="1.5"/>
  </r>
  <r>
    <d v="2024-06-03T00:00:00"/>
    <x v="1"/>
    <s v="Vergne"/>
    <x v="2"/>
    <x v="161"/>
    <x v="9"/>
    <s v="vrac"/>
    <s v="-"/>
    <m/>
    <s v="oui"/>
    <s v="&quot;Rouge générique&quot; 50% B2-07 + 50% F1-02"/>
    <n v="2"/>
    <n v="0.75"/>
    <n v="1.5"/>
  </r>
  <r>
    <d v="2024-06-04T00:00:00"/>
    <x v="99"/>
    <s v="Vargoz"/>
    <x v="1"/>
    <x v="8"/>
    <x v="9"/>
    <s v="vrac"/>
    <s v="B2-02"/>
    <m/>
    <s v="oui"/>
    <m/>
    <n v="2"/>
    <n v="0.75"/>
    <n v="1.5"/>
  </r>
  <r>
    <d v="2024-06-04T00:00:00"/>
    <x v="99"/>
    <s v="Vargoz"/>
    <x v="1"/>
    <x v="161"/>
    <x v="9"/>
    <s v="vrac"/>
    <s v="-"/>
    <m/>
    <s v="oui"/>
    <s v="&quot;Rosé lot 1&quot; 66% D2-04 + 33% C2-04 + 50g/hL acide tartrique"/>
    <n v="3"/>
    <n v="0.75"/>
    <n v="2.25"/>
  </r>
  <r>
    <d v="2024-06-04T00:00:00"/>
    <x v="99"/>
    <s v="Vargoz"/>
    <x v="1"/>
    <x v="7"/>
    <x v="9"/>
    <s v="vrac"/>
    <s v="D2-04"/>
    <m/>
    <s v="oui"/>
    <s v="&quot;Rosé lot 2&quot; 50g/hL acide tartrique"/>
    <n v="3"/>
    <n v="0.75"/>
    <n v="2.25"/>
  </r>
  <r>
    <d v="2024-06-04T00:00:00"/>
    <x v="1"/>
    <s v="René Jeanjean"/>
    <x v="0"/>
    <x v="1"/>
    <x v="9"/>
    <s v="vrac"/>
    <s v="-"/>
    <m/>
    <s v="oui"/>
    <s v="&quot;Lot sauvignon VR2&quot; 55% C2-08 + 45% E1-08"/>
    <n v="2"/>
    <n v="0.75"/>
    <n v="1.5"/>
  </r>
  <r>
    <d v="2024-06-04T00:00:00"/>
    <x v="1"/>
    <s v="René Jeanjean"/>
    <x v="1"/>
    <x v="7"/>
    <x v="9"/>
    <s v="vrac"/>
    <s v="C2-03"/>
    <m/>
    <s v="oui"/>
    <s v="&quot;Cinsault rosé &quot; 50 g/hL acide tartrique"/>
    <n v="2"/>
    <n v="0.75"/>
    <n v="1.5"/>
  </r>
  <r>
    <d v="2024-06-04T00:00:00"/>
    <x v="2"/>
    <s v="-"/>
    <x v="0"/>
    <x v="2"/>
    <x v="9"/>
    <s v="vrac"/>
    <s v="A2-03"/>
    <m/>
    <s v="oui"/>
    <m/>
    <n v="2"/>
    <n v="0.75"/>
    <n v="1.5"/>
  </r>
  <r>
    <d v="2024-06-07T00:00:00"/>
    <x v="2"/>
    <s v="-"/>
    <x v="1"/>
    <x v="4"/>
    <x v="9"/>
    <s v="Skalli"/>
    <s v="I1-5"/>
    <m/>
    <s v="oui"/>
    <m/>
    <n v="3"/>
    <n v="0.75"/>
    <n v="2.25"/>
  </r>
  <r>
    <d v="2024-06-07T00:00:00"/>
    <x v="2"/>
    <s v="-"/>
    <x v="1"/>
    <x v="7"/>
    <x v="9"/>
    <s v="vrac"/>
    <s v="D2-4"/>
    <m/>
    <s v="oui"/>
    <m/>
    <n v="3"/>
    <n v="0.75"/>
    <n v="2.25"/>
  </r>
  <r>
    <d v="2024-06-07T00:00:00"/>
    <x v="2"/>
    <s v="-"/>
    <x v="2"/>
    <x v="4"/>
    <x v="9"/>
    <s v="Thermo"/>
    <s v="C1-1"/>
    <m/>
    <s v="oui"/>
    <m/>
    <n v="1"/>
    <n v="0.75"/>
    <n v="0.75"/>
  </r>
  <r>
    <d v="2024-06-07T00:00:00"/>
    <x v="2"/>
    <s v="-"/>
    <x v="0"/>
    <x v="1"/>
    <x v="9"/>
    <s v="Sauvignon VR2"/>
    <s v="C2-6"/>
    <m/>
    <s v="oui"/>
    <m/>
    <n v="1"/>
    <n v="0.75"/>
    <n v="0.75"/>
  </r>
  <r>
    <d v="2024-06-12T00:00:00"/>
    <x v="2"/>
    <s v="-"/>
    <x v="1"/>
    <x v="4"/>
    <x v="9"/>
    <s v="vrac"/>
    <s v="I1-05"/>
    <m/>
    <s v="oui"/>
    <m/>
    <n v="3"/>
    <n v="0.75"/>
    <n v="2.25"/>
  </r>
  <r>
    <d v="2024-06-12T00:00:00"/>
    <x v="2"/>
    <s v="-"/>
    <x v="1"/>
    <x v="7"/>
    <x v="9"/>
    <s v="vrac"/>
    <s v="B1-00"/>
    <m/>
    <s v="oui"/>
    <m/>
    <n v="3"/>
    <n v="0.75"/>
    <n v="2.25"/>
  </r>
  <r>
    <d v="2024-06-12T00:00:00"/>
    <x v="2"/>
    <s v="-"/>
    <x v="0"/>
    <x v="1"/>
    <x v="9"/>
    <s v="Sauvignon VR2"/>
    <s v="C2-06"/>
    <m/>
    <s v="oui"/>
    <m/>
    <n v="2"/>
    <n v="0.75"/>
    <n v="1.5"/>
  </r>
  <r>
    <d v="2024-06-12T00:00:00"/>
    <x v="11"/>
    <s v="-"/>
    <x v="1"/>
    <x v="4"/>
    <x v="9"/>
    <s v="vrac"/>
    <s v="I1-05"/>
    <m/>
    <s v="oui"/>
    <m/>
    <n v="3"/>
    <n v="0.75"/>
    <n v="2.25"/>
  </r>
  <r>
    <d v="2024-06-17T00:00:00"/>
    <x v="11"/>
    <s v="-"/>
    <x v="1"/>
    <x v="4"/>
    <x v="9"/>
    <s v="vrac"/>
    <s v="I1-05"/>
    <m/>
    <s v="oui"/>
    <m/>
    <n v="1"/>
    <n v="0.75"/>
    <n v="0.75"/>
  </r>
  <r>
    <d v="2024-06-17T00:00:00"/>
    <x v="11"/>
    <s v="-"/>
    <x v="1"/>
    <x v="38"/>
    <x v="9"/>
    <s v="vrac"/>
    <s v="C2-04"/>
    <m/>
    <s v="oui"/>
    <m/>
    <n v="1"/>
    <n v="0.75"/>
    <n v="0.75"/>
  </r>
  <r>
    <d v="2024-06-17T00:00:00"/>
    <x v="11"/>
    <s v="-"/>
    <x v="2"/>
    <x v="164"/>
    <x v="9"/>
    <s v="vrac"/>
    <s v="J3-08"/>
    <m/>
    <s v="oui"/>
    <m/>
    <n v="1"/>
    <n v="0.75"/>
    <n v="0.75"/>
  </r>
  <r>
    <d v="2024-06-18T00:00:00"/>
    <x v="2"/>
    <s v="-"/>
    <x v="1"/>
    <x v="7"/>
    <x v="9"/>
    <s v="vrac"/>
    <s v="B1-00"/>
    <m/>
    <s v="oui"/>
    <m/>
    <n v="3"/>
    <n v="0.75"/>
    <n v="2.25"/>
  </r>
  <r>
    <d v="2024-06-19T00:00:00"/>
    <x v="139"/>
    <s v="-"/>
    <x v="0"/>
    <x v="0"/>
    <x v="9"/>
    <s v="classique"/>
    <s v="C1-04"/>
    <m/>
    <s v="oui"/>
    <m/>
    <n v="2"/>
    <n v="0.75"/>
    <n v="1.5"/>
  </r>
  <r>
    <d v="2024-06-19T00:00:00"/>
    <x v="139"/>
    <s v="-"/>
    <x v="0"/>
    <x v="142"/>
    <x v="9"/>
    <s v="vrac"/>
    <s v="A2-06"/>
    <m/>
    <s v="oui"/>
    <m/>
    <n v="2"/>
    <n v="0.75"/>
    <n v="1.5"/>
  </r>
  <r>
    <d v="2024-06-19T00:00:00"/>
    <x v="139"/>
    <s v="-"/>
    <x v="0"/>
    <x v="137"/>
    <x v="9"/>
    <s v="ass"/>
    <s v="-"/>
    <m/>
    <s v="oui"/>
    <s v="70% A1-06 + 30% J2-03"/>
    <n v="2"/>
    <n v="0.75"/>
    <n v="1.5"/>
  </r>
  <r>
    <d v="2024-06-19T00:00:00"/>
    <x v="65"/>
    <s v="TWS"/>
    <x v="0"/>
    <x v="118"/>
    <x v="9"/>
    <s v="vrac"/>
    <s v="J3-09"/>
    <m/>
    <s v="oui"/>
    <m/>
    <n v="3"/>
    <n v="0.75"/>
    <n v="2.25"/>
  </r>
  <r>
    <d v="2024-06-19T00:00:00"/>
    <x v="65"/>
    <s v="TWS"/>
    <x v="0"/>
    <x v="3"/>
    <x v="9"/>
    <s v="vrac"/>
    <s v="J3-10"/>
    <m/>
    <s v="oui"/>
    <m/>
    <n v="3"/>
    <n v="0.75"/>
    <n v="2.25"/>
  </r>
  <r>
    <d v="2024-06-19T00:00:00"/>
    <x v="65"/>
    <s v="TWS"/>
    <x v="0"/>
    <x v="0"/>
    <x v="9"/>
    <s v="classique"/>
    <s v="C1-04"/>
    <m/>
    <s v="oui"/>
    <s v="&quot;Grenache blanc&quot;"/>
    <n v="3"/>
    <n v="0.75"/>
    <n v="2.25"/>
  </r>
  <r>
    <d v="2024-06-19T00:00:00"/>
    <x v="65"/>
    <s v="TWS"/>
    <x v="0"/>
    <x v="161"/>
    <x v="9"/>
    <s v="-"/>
    <s v="K1-07"/>
    <m/>
    <s v="oui"/>
    <s v="&quot;Viognier&quot;  47% C1-04 + 38% B1-05 + 15% J3-10"/>
    <n v="3"/>
    <n v="0.75"/>
    <n v="2.25"/>
  </r>
  <r>
    <d v="2024-06-19T00:00:00"/>
    <x v="65"/>
    <s v="TWS"/>
    <x v="1"/>
    <x v="38"/>
    <x v="9"/>
    <s v="vrac"/>
    <s v="A2-03"/>
    <m/>
    <s v="oui"/>
    <m/>
    <n v="3"/>
    <n v="0.75"/>
    <n v="2.25"/>
  </r>
  <r>
    <d v="2024-06-19T00:00:00"/>
    <x v="39"/>
    <s v="SP Wines"/>
    <x v="0"/>
    <x v="1"/>
    <x v="9"/>
    <s v="VR2"/>
    <s v="C2-06"/>
    <m/>
    <s v="oui"/>
    <m/>
    <n v="2"/>
    <n v="0.75"/>
    <n v="1.5"/>
  </r>
  <r>
    <d v="2024-06-19T00:00:00"/>
    <x v="1"/>
    <s v="Murphy winecompany"/>
    <x v="0"/>
    <x v="1"/>
    <x v="9"/>
    <s v="VR2"/>
    <s v="C2-06"/>
    <m/>
    <s v="oui"/>
    <m/>
    <n v="2"/>
    <n v="0.75"/>
    <n v="1.5"/>
  </r>
  <r>
    <d v="2024-06-19T00:00:00"/>
    <x v="1"/>
    <s v="Murphy winecompany"/>
    <x v="0"/>
    <x v="0"/>
    <x v="9"/>
    <s v="Blend"/>
    <s v="C2-07"/>
    <m/>
    <s v="oui"/>
    <m/>
    <n v="2"/>
    <n v="0.75"/>
    <n v="1.5"/>
  </r>
  <r>
    <d v="2024-06-19T00:00:00"/>
    <x v="1"/>
    <s v="Murphy winecompany"/>
    <x v="0"/>
    <x v="0"/>
    <x v="9"/>
    <s v="Petit degré"/>
    <s v="C2-07"/>
    <m/>
    <s v="oui"/>
    <s v="&quot;Chardonnay 13&quot;"/>
    <n v="2"/>
    <n v="0.75"/>
    <n v="1.5"/>
  </r>
  <r>
    <d v="2024-06-20T00:00:00"/>
    <x v="2"/>
    <s v="-"/>
    <x v="0"/>
    <x v="165"/>
    <x v="9"/>
    <s v="vrac"/>
    <s v="C2-06"/>
    <m/>
    <s v="oui"/>
    <m/>
    <n v="6"/>
    <n v="0.75"/>
    <n v="4.5"/>
  </r>
  <r>
    <d v="2024-06-20T00:00:00"/>
    <x v="2"/>
    <s v="-"/>
    <x v="1"/>
    <x v="104"/>
    <x v="9"/>
    <s v="vrac"/>
    <s v="A2-03"/>
    <m/>
    <s v="oui"/>
    <m/>
    <n v="4"/>
    <n v="0.75"/>
    <n v="3"/>
  </r>
  <r>
    <d v="2024-06-20T00:00:00"/>
    <x v="2"/>
    <s v="-"/>
    <x v="1"/>
    <x v="38"/>
    <x v="9"/>
    <s v="vrac"/>
    <s v="C2-04"/>
    <m/>
    <s v="oui"/>
    <s v="&quot;Côtes de thau rosé&quot;"/>
    <n v="4"/>
    <n v="0.75"/>
    <n v="3"/>
  </r>
  <r>
    <d v="2024-06-20T00:00:00"/>
    <x v="2"/>
    <s v="-"/>
    <x v="0"/>
    <x v="166"/>
    <x v="9"/>
    <s v="vrac"/>
    <s v="J2-11"/>
    <m/>
    <s v="oui"/>
    <m/>
    <n v="2"/>
    <n v="0.75"/>
    <n v="1.5"/>
  </r>
  <r>
    <d v="2024-06-21T00:00:00"/>
    <x v="140"/>
    <s v="Sauvage"/>
    <x v="0"/>
    <x v="1"/>
    <x v="9"/>
    <s v="VR2"/>
    <s v="C2-08"/>
    <m/>
    <s v="oui"/>
    <m/>
    <n v="2"/>
    <n v="0.75"/>
    <n v="1.5"/>
  </r>
  <r>
    <d v="2024-06-24T00:00:00"/>
    <x v="65"/>
    <s v="TWS"/>
    <x v="0"/>
    <x v="118"/>
    <x v="9"/>
    <s v="-"/>
    <s v="J3-09"/>
    <m/>
    <s v="oui"/>
    <m/>
    <n v="6"/>
    <n v="0.75"/>
    <n v="4.5"/>
  </r>
  <r>
    <d v="2024-06-24T00:00:00"/>
    <x v="65"/>
    <s v="TWS"/>
    <x v="2"/>
    <x v="13"/>
    <x v="9"/>
    <s v="vrac"/>
    <s v="F1-04"/>
    <m/>
    <s v="oui"/>
    <m/>
    <n v="3"/>
    <n v="0.75"/>
    <n v="2.25"/>
  </r>
  <r>
    <d v="2024-06-24T00:00:00"/>
    <x v="65"/>
    <s v="TWS"/>
    <x v="2"/>
    <x v="7"/>
    <x v="9"/>
    <s v="Thermo"/>
    <s v="C2-02"/>
    <m/>
    <s v="oui"/>
    <m/>
    <n v="3"/>
    <n v="0.75"/>
    <n v="2.25"/>
  </r>
  <r>
    <d v="2024-06-24T00:00:00"/>
    <x v="65"/>
    <s v="TWS"/>
    <x v="0"/>
    <x v="0"/>
    <x v="9"/>
    <s v="Boisé blend 11"/>
    <s v="C2-07"/>
    <m/>
    <s v="oui"/>
    <m/>
    <n v="3"/>
    <n v="0.75"/>
    <n v="2.25"/>
  </r>
  <r>
    <d v="2024-06-24T00:00:00"/>
    <x v="65"/>
    <s v="TWS"/>
    <x v="0"/>
    <x v="0"/>
    <x v="9"/>
    <s v="Petit degré"/>
    <s v="A1-06"/>
    <m/>
    <s v="oui"/>
    <m/>
    <n v="3"/>
    <n v="0.75"/>
    <n v="2.25"/>
  </r>
  <r>
    <d v="2024-07-12T00:00:00"/>
    <x v="141"/>
    <s v="-"/>
    <x v="0"/>
    <x v="167"/>
    <x v="9"/>
    <s v="vrac"/>
    <s v="C2-06"/>
    <m/>
    <s v="oui"/>
    <s v="&quot;Sauvignon VR2&quot;"/>
    <n v="3"/>
    <n v="0.75"/>
    <n v="2.25"/>
  </r>
  <r>
    <d v="2024-08-07T00:00:00"/>
    <x v="65"/>
    <s v="TWS"/>
    <x v="2"/>
    <x v="98"/>
    <x v="9"/>
    <s v="vrac"/>
    <s v="B2-08"/>
    <m/>
    <s v="oui"/>
    <m/>
    <n v="3"/>
    <n v="0.75"/>
    <n v="2.25"/>
  </r>
  <r>
    <d v="2024-08-07T00:00:00"/>
    <x v="65"/>
    <s v="TWS"/>
    <x v="2"/>
    <x v="135"/>
    <x v="9"/>
    <s v="vrac"/>
    <s v="C1-01"/>
    <m/>
    <s v="oui"/>
    <m/>
    <n v="3"/>
    <n v="0.75"/>
    <n v="2.25"/>
  </r>
  <r>
    <d v="2024-08-07T00:00:00"/>
    <x v="65"/>
    <s v="TWS"/>
    <x v="2"/>
    <x v="7"/>
    <x v="9"/>
    <s v="vrac"/>
    <s v="C2-02"/>
    <m/>
    <s v="oui"/>
    <m/>
    <n v="3"/>
    <n v="0.75"/>
    <n v="2.25"/>
  </r>
  <r>
    <d v="2024-08-12T00:00:00"/>
    <x v="98"/>
    <s v="Sp wines "/>
    <x v="2"/>
    <x v="135"/>
    <x v="8"/>
    <s v="vrac"/>
    <s v="ass"/>
    <m/>
    <s v="oui"/>
    <s v="&quot;Lot 1&quot; 750 hL C1-01 41% + K1-09 13% + F1-02 28% + C2-02 18% + 4%"/>
    <n v="2"/>
    <n v="0.75"/>
    <n v="1.5"/>
  </r>
  <r>
    <d v="2024-08-12T00:00:00"/>
    <x v="98"/>
    <s v="Sp wines "/>
    <x v="2"/>
    <x v="135"/>
    <x v="8"/>
    <s v="vrac"/>
    <s v="ass"/>
    <m/>
    <s v="oui"/>
    <s v="&quot;Lot 2&quot; 600 hL C1-01 50% + K1-09 16% + F1-02 28% + L1-15 6% + 4% "/>
    <n v="2"/>
    <n v="0.75"/>
    <n v="1.5"/>
  </r>
  <r>
    <d v="2024-08-26T00:00:00"/>
    <x v="113"/>
    <s v="-"/>
    <x v="0"/>
    <x v="1"/>
    <x v="9"/>
    <s v="vrac"/>
    <s v="C1-02"/>
    <m/>
    <s v="oui"/>
    <s v="75 % A1-06 + 25% C1-02"/>
    <n v="3"/>
    <n v="0.75"/>
    <n v="2.25"/>
  </r>
  <r>
    <d v="2024-09-30T00:00:00"/>
    <x v="142"/>
    <s v="-"/>
    <x v="0"/>
    <x v="0"/>
    <x v="10"/>
    <s v="vrac"/>
    <s v="A1-10"/>
    <m/>
    <s v="oui"/>
    <s v="Chardonnay PM"/>
    <n v="3"/>
    <n v="0.75"/>
    <n v="2.25"/>
  </r>
  <r>
    <d v="2024-09-30T00:00:00"/>
    <x v="142"/>
    <s v="-"/>
    <x v="1"/>
    <x v="168"/>
    <x v="10"/>
    <s v="vrac"/>
    <s v="G1-06"/>
    <m/>
    <s v="oui"/>
    <m/>
    <n v="3"/>
    <n v="0.75"/>
    <n v="2.25"/>
  </r>
  <r>
    <d v="2024-09-30T00:00:00"/>
    <x v="142"/>
    <s v="-"/>
    <x v="0"/>
    <x v="169"/>
    <x v="10"/>
    <s v="vrac"/>
    <s v="B1-07"/>
    <m/>
    <s v="oui"/>
    <m/>
    <n v="3"/>
    <n v="0.75"/>
    <n v="2.25"/>
  </r>
  <r>
    <d v="2024-09-30T00:00:00"/>
    <x v="142"/>
    <s v="-"/>
    <x v="0"/>
    <x v="170"/>
    <x v="10"/>
    <s v="vrac"/>
    <s v="D2-05"/>
    <m/>
    <s v="oui"/>
    <m/>
    <n v="3"/>
    <n v="0.75"/>
    <n v="2.25"/>
  </r>
  <r>
    <d v="2024-10-17T00:00:00"/>
    <x v="113"/>
    <s v="-"/>
    <x v="1"/>
    <x v="73"/>
    <x v="10"/>
    <s v="vrac"/>
    <s v="C1-09"/>
    <m/>
    <s v="oui"/>
    <m/>
    <n v="2"/>
    <n v="0.75"/>
    <n v="1.5"/>
  </r>
  <r>
    <d v="2024-10-17T00:00:00"/>
    <x v="113"/>
    <s v="-"/>
    <x v="1"/>
    <x v="131"/>
    <x v="10"/>
    <s v="vrac"/>
    <s v="C1-10"/>
    <m/>
    <s v="oui"/>
    <m/>
    <n v="2"/>
    <n v="0.75"/>
    <n v="1.5"/>
  </r>
  <r>
    <d v="2024-10-17T00:00:00"/>
    <x v="113"/>
    <s v="-"/>
    <x v="1"/>
    <x v="131"/>
    <x v="10"/>
    <s v="vrac"/>
    <s v="B1-08"/>
    <m/>
    <s v="oui"/>
    <m/>
    <n v="2"/>
    <n v="0.75"/>
    <n v="1.5"/>
  </r>
  <r>
    <d v="2024-10-17T00:00:00"/>
    <x v="113"/>
    <s v="-"/>
    <x v="1"/>
    <x v="131"/>
    <x v="10"/>
    <s v="vrac"/>
    <s v="E1-07"/>
    <m/>
    <s v="oui"/>
    <m/>
    <n v="2"/>
    <n v="0.75"/>
    <n v="1.5"/>
  </r>
  <r>
    <d v="2024-10-17T00:00:00"/>
    <x v="65"/>
    <s v="TWS"/>
    <x v="0"/>
    <x v="83"/>
    <x v="10"/>
    <s v="variétal"/>
    <s v="ass"/>
    <m/>
    <s v="oui"/>
    <m/>
    <n v="3"/>
    <n v="0.75"/>
    <n v="2.25"/>
  </r>
  <r>
    <d v="2024-10-17T00:00:00"/>
    <x v="65"/>
    <s v="TWS"/>
    <x v="0"/>
    <x v="83"/>
    <x v="10"/>
    <s v="supérieur"/>
    <s v="ass"/>
    <m/>
    <s v="oui"/>
    <m/>
    <n v="3"/>
    <n v="0.75"/>
    <n v="2.25"/>
  </r>
  <r>
    <d v="2024-10-17T00:00:00"/>
    <x v="65"/>
    <s v="TWS"/>
    <x v="0"/>
    <x v="1"/>
    <x v="10"/>
    <s v="variétal"/>
    <s v="D1-09"/>
    <m/>
    <s v="oui"/>
    <m/>
    <n v="3"/>
    <n v="0.75"/>
    <n v="2.25"/>
  </r>
  <r>
    <d v="2024-10-17T00:00:00"/>
    <x v="65"/>
    <s v="TWS"/>
    <x v="0"/>
    <x v="1"/>
    <x v="10"/>
    <s v="supérieur"/>
    <s v="ass"/>
    <m/>
    <s v="oui"/>
    <m/>
    <n v="3"/>
    <n v="0.75"/>
    <n v="2.25"/>
  </r>
  <r>
    <d v="2024-10-17T00:00:00"/>
    <x v="65"/>
    <s v="TWS"/>
    <x v="0"/>
    <x v="3"/>
    <x v="10"/>
    <s v="vrac"/>
    <s v="ass"/>
    <m/>
    <s v="oui"/>
    <m/>
    <n v="3"/>
    <n v="0.75"/>
    <n v="2.25"/>
  </r>
  <r>
    <d v="2024-10-17T00:00:00"/>
    <x v="65"/>
    <s v="TWS"/>
    <x v="0"/>
    <x v="2"/>
    <x v="10"/>
    <s v="Lot 1 "/>
    <s v="ass"/>
    <m/>
    <s v="oui"/>
    <m/>
    <n v="3"/>
    <n v="0.75"/>
    <n v="2.25"/>
  </r>
  <r>
    <d v="2024-10-17T00:00:00"/>
    <x v="65"/>
    <s v="TWS"/>
    <x v="0"/>
    <x v="2"/>
    <x v="10"/>
    <s v="Lot 2"/>
    <s v="ass"/>
    <m/>
    <s v="oui"/>
    <m/>
    <n v="3"/>
    <n v="0.75"/>
    <n v="2.25"/>
  </r>
  <r>
    <d v="2024-10-17T00:00:00"/>
    <x v="65"/>
    <s v="TWS"/>
    <x v="0"/>
    <x v="19"/>
    <x v="10"/>
    <s v="vrac"/>
    <s v="A2-03"/>
    <m/>
    <s v="oui"/>
    <m/>
    <n v="3"/>
    <n v="0.75"/>
    <n v="2.25"/>
  </r>
  <r>
    <d v="2024-10-17T00:00:00"/>
    <x v="65"/>
    <s v="TWS"/>
    <x v="0"/>
    <x v="19"/>
    <x v="10"/>
    <s v="vrac"/>
    <s v="C1-06"/>
    <m/>
    <s v="oui"/>
    <m/>
    <n v="3"/>
    <n v="0.75"/>
    <n v="2.25"/>
  </r>
  <r>
    <d v="2024-10-17T00:00:00"/>
    <x v="2"/>
    <s v="-"/>
    <x v="0"/>
    <x v="2"/>
    <x v="10"/>
    <s v="Lot 1 "/>
    <s v="ass"/>
    <m/>
    <s v="oui"/>
    <m/>
    <n v="3"/>
    <n v="0.75"/>
    <n v="2.25"/>
  </r>
  <r>
    <d v="2024-10-17T00:00:00"/>
    <x v="2"/>
    <s v="-"/>
    <x v="0"/>
    <x v="2"/>
    <x v="10"/>
    <s v="Lot 2"/>
    <s v="ass"/>
    <m/>
    <s v="oui"/>
    <m/>
    <n v="3"/>
    <n v="0.75"/>
    <n v="2.25"/>
  </r>
  <r>
    <d v="2024-10-17T00:00:00"/>
    <x v="2"/>
    <s v="-"/>
    <x v="0"/>
    <x v="1"/>
    <x v="10"/>
    <s v="variétal"/>
    <s v="D1-09"/>
    <m/>
    <s v="oui"/>
    <m/>
    <n v="3"/>
    <n v="0.75"/>
    <n v="2.25"/>
  </r>
  <r>
    <d v="2024-10-17T00:00:00"/>
    <x v="2"/>
    <s v="-"/>
    <x v="0"/>
    <x v="0"/>
    <x v="10"/>
    <s v="boisé"/>
    <s v="A2-06"/>
    <m/>
    <s v="oui"/>
    <m/>
    <n v="2"/>
    <n v="0.75"/>
    <n v="1.5"/>
  </r>
  <r>
    <d v="2024-10-18T00:00:00"/>
    <x v="132"/>
    <s v="-"/>
    <x v="0"/>
    <x v="83"/>
    <x v="10"/>
    <s v="variétal"/>
    <s v="ass"/>
    <m/>
    <s v="oui"/>
    <m/>
    <n v="3"/>
    <n v="0.75"/>
    <n v="2.25"/>
  </r>
  <r>
    <d v="2024-10-18T00:00:00"/>
    <x v="132"/>
    <s v="-"/>
    <x v="0"/>
    <x v="83"/>
    <x v="10"/>
    <s v="supérieur"/>
    <s v="ass"/>
    <m/>
    <s v="oui"/>
    <m/>
    <n v="3"/>
    <n v="0.75"/>
    <n v="2.25"/>
  </r>
  <r>
    <d v="2024-10-18T00:00:00"/>
    <x v="132"/>
    <s v="-"/>
    <x v="0"/>
    <x v="1"/>
    <x v="10"/>
    <s v="variétal"/>
    <s v="D1-09"/>
    <m/>
    <s v="oui"/>
    <m/>
    <n v="3"/>
    <n v="0.75"/>
    <n v="2.25"/>
  </r>
  <r>
    <d v="2024-10-18T00:00:00"/>
    <x v="132"/>
    <s v="-"/>
    <x v="0"/>
    <x v="1"/>
    <x v="10"/>
    <s v="supérieur"/>
    <s v="ass"/>
    <m/>
    <s v="oui"/>
    <m/>
    <n v="3"/>
    <n v="0.75"/>
    <n v="2.25"/>
  </r>
  <r>
    <d v="2024-10-18T00:00:00"/>
    <x v="132"/>
    <s v="-"/>
    <x v="0"/>
    <x v="2"/>
    <x v="10"/>
    <s v="Lot 1 "/>
    <s v="ass"/>
    <m/>
    <s v="oui"/>
    <m/>
    <n v="3"/>
    <n v="0.75"/>
    <n v="2.25"/>
  </r>
  <r>
    <d v="2024-10-18T00:00:00"/>
    <x v="132"/>
    <s v="-"/>
    <x v="0"/>
    <x v="2"/>
    <x v="10"/>
    <s v="Lot 2"/>
    <s v="ass"/>
    <m/>
    <s v="oui"/>
    <m/>
    <n v="3"/>
    <n v="0.75"/>
    <n v="2.25"/>
  </r>
  <r>
    <d v="2024-10-21T00:00:00"/>
    <x v="1"/>
    <s v="Castillo"/>
    <x v="0"/>
    <x v="1"/>
    <x v="10"/>
    <s v="variétal"/>
    <s v="D1-09"/>
    <m/>
    <s v="oui"/>
    <m/>
    <n v="3"/>
    <n v="0.75"/>
    <n v="2.25"/>
  </r>
  <r>
    <d v="2024-10-21T00:00:00"/>
    <x v="1"/>
    <s v="Castillo"/>
    <x v="0"/>
    <x v="1"/>
    <x v="10"/>
    <s v="supérieur"/>
    <s v="ass"/>
    <m/>
    <s v="oui"/>
    <m/>
    <n v="3"/>
    <n v="0.75"/>
    <n v="2.25"/>
  </r>
  <r>
    <d v="2024-10-21T00:00:00"/>
    <x v="1"/>
    <s v="Castillo"/>
    <x v="0"/>
    <x v="2"/>
    <x v="10"/>
    <s v="Lot 1 "/>
    <s v="ass"/>
    <m/>
    <s v="oui"/>
    <m/>
    <n v="3"/>
    <n v="0.75"/>
    <n v="2.25"/>
  </r>
  <r>
    <d v="2024-10-21T00:00:00"/>
    <x v="1"/>
    <s v="Castillo"/>
    <x v="0"/>
    <x v="2"/>
    <x v="10"/>
    <s v="Lot 2"/>
    <s v="ass"/>
    <m/>
    <s v="oui"/>
    <m/>
    <n v="3"/>
    <n v="0.75"/>
    <n v="2.25"/>
  </r>
  <r>
    <d v="2024-10-23T00:00:00"/>
    <x v="2"/>
    <s v="Castillo"/>
    <x v="0"/>
    <x v="6"/>
    <x v="10"/>
    <s v="Vrac"/>
    <s v="ass"/>
    <m/>
    <s v="oui"/>
    <m/>
    <n v="2"/>
    <n v="0.75"/>
    <n v="1.5"/>
  </r>
  <r>
    <d v="2024-10-23T00:00:00"/>
    <x v="2"/>
    <s v="-"/>
    <x v="0"/>
    <x v="2"/>
    <x v="10"/>
    <s v="vrac"/>
    <s v="ass"/>
    <m/>
    <s v="oui"/>
    <m/>
    <n v="2"/>
    <n v="0.75"/>
    <n v="1.5"/>
  </r>
  <r>
    <d v="2024-10-23T00:00:00"/>
    <x v="2"/>
    <s v="-"/>
    <x v="0"/>
    <x v="1"/>
    <x v="10"/>
    <s v="Variétal"/>
    <s v="ass"/>
    <m/>
    <s v="oui"/>
    <m/>
    <n v="2"/>
    <n v="0.75"/>
    <n v="1.5"/>
  </r>
  <r>
    <d v="2024-10-23T00:00:00"/>
    <x v="2"/>
    <s v="-"/>
    <x v="0"/>
    <x v="1"/>
    <x v="10"/>
    <s v="Supérieur"/>
    <s v="ass"/>
    <m/>
    <s v="oui"/>
    <m/>
    <n v="2"/>
    <n v="0.75"/>
    <n v="1.5"/>
  </r>
  <r>
    <d v="2024-10-23T00:00:00"/>
    <x v="65"/>
    <s v="TWS"/>
    <x v="0"/>
    <x v="1"/>
    <x v="10"/>
    <s v="Variétal"/>
    <s v="ass"/>
    <m/>
    <s v="oui"/>
    <m/>
    <n v="4"/>
    <n v="0.75"/>
    <n v="3"/>
  </r>
  <r>
    <d v="2024-10-23T00:00:00"/>
    <x v="65"/>
    <s v="TWS"/>
    <x v="0"/>
    <x v="83"/>
    <x v="10"/>
    <s v="Supérieur"/>
    <s v="ass"/>
    <m/>
    <s v="oui"/>
    <m/>
    <n v="4"/>
    <n v="0.75"/>
    <n v="3"/>
  </r>
  <r>
    <d v="2024-10-23T00:00:00"/>
    <x v="65"/>
    <s v="TWS"/>
    <x v="0"/>
    <x v="83"/>
    <x v="10"/>
    <s v="Variétal"/>
    <s v="ass"/>
    <m/>
    <s v="oui"/>
    <m/>
    <n v="4"/>
    <n v="0.75"/>
    <n v="3"/>
  </r>
  <r>
    <d v="2024-10-23T00:00:00"/>
    <x v="65"/>
    <s v="TWS"/>
    <x v="0"/>
    <x v="2"/>
    <x v="10"/>
    <s v="Variétal"/>
    <s v="ass"/>
    <m/>
    <s v="oui"/>
    <m/>
    <n v="4"/>
    <n v="0.75"/>
    <n v="3"/>
  </r>
  <r>
    <d v="2024-10-23T00:00:00"/>
    <x v="3"/>
    <s v="-"/>
    <x v="0"/>
    <x v="3"/>
    <x v="10"/>
    <s v="vrac"/>
    <s v="ass"/>
    <m/>
    <s v="oui"/>
    <m/>
    <n v="1"/>
    <n v="10"/>
    <n v="10"/>
  </r>
  <r>
    <d v="2024-10-23T00:00:00"/>
    <x v="3"/>
    <s v="-"/>
    <x v="0"/>
    <x v="0"/>
    <x v="10"/>
    <s v="Supérieur"/>
    <s v="ass"/>
    <m/>
    <s v="oui"/>
    <m/>
    <n v="1"/>
    <n v="10"/>
    <n v="10"/>
  </r>
  <r>
    <d v="2024-10-28T00:00:00"/>
    <x v="2"/>
    <s v="-"/>
    <x v="0"/>
    <x v="9"/>
    <x v="10"/>
    <s v="vrac"/>
    <s v="ass"/>
    <m/>
    <s v="oui"/>
    <s v="Oc terret"/>
    <n v="2"/>
    <n v="0.75"/>
    <n v="1.5"/>
  </r>
  <r>
    <d v="2024-10-28T00:00:00"/>
    <x v="2"/>
    <s v="-"/>
    <x v="0"/>
    <x v="1"/>
    <x v="10"/>
    <s v="variétal"/>
    <s v="ass"/>
    <m/>
    <s v="oui"/>
    <m/>
    <n v="2"/>
    <n v="0.75"/>
    <n v="1.5"/>
  </r>
  <r>
    <d v="2024-10-28T00:00:00"/>
    <x v="2"/>
    <s v="-"/>
    <x v="0"/>
    <x v="1"/>
    <x v="10"/>
    <s v="Supérieur"/>
    <s v="ass"/>
    <m/>
    <s v="oui"/>
    <m/>
    <n v="2"/>
    <n v="0.75"/>
    <n v="1.5"/>
  </r>
  <r>
    <d v="2024-10-28T00:00:00"/>
    <x v="2"/>
    <s v="-"/>
    <x v="0"/>
    <x v="1"/>
    <x v="10"/>
    <s v="Variétal"/>
    <s v="ass"/>
    <m/>
    <s v="oui"/>
    <m/>
    <n v="2"/>
    <n v="0.75"/>
    <n v="1.5"/>
  </r>
  <r>
    <d v="2024-10-28T00:00:00"/>
    <x v="2"/>
    <s v="-"/>
    <x v="0"/>
    <x v="0"/>
    <x v="10"/>
    <s v="Variétal"/>
    <s v="ass"/>
    <m/>
    <s v="oui"/>
    <m/>
    <n v="2"/>
    <n v="0.75"/>
    <n v="1.5"/>
  </r>
  <r>
    <d v="2024-10-28T00:00:00"/>
    <x v="2"/>
    <s v="-"/>
    <x v="0"/>
    <x v="0"/>
    <x v="10"/>
    <s v="Supérieur"/>
    <s v="ass"/>
    <m/>
    <s v="oui"/>
    <m/>
    <n v="2"/>
    <n v="0.75"/>
    <n v="1.5"/>
  </r>
  <r>
    <d v="2024-10-28T00:00:00"/>
    <x v="2"/>
    <s v="-"/>
    <x v="0"/>
    <x v="0"/>
    <x v="10"/>
    <s v="Boisé"/>
    <s v="A2-06"/>
    <m/>
    <s v="oui"/>
    <m/>
    <n v="1"/>
    <n v="0.75"/>
    <n v="0.75"/>
  </r>
  <r>
    <d v="2024-10-28T00:00:00"/>
    <x v="2"/>
    <s v="-"/>
    <x v="0"/>
    <x v="2"/>
    <x v="10"/>
    <s v="vrac"/>
    <s v="ass"/>
    <m/>
    <s v="oui"/>
    <m/>
    <n v="2"/>
    <n v="0.75"/>
    <n v="1.5"/>
  </r>
  <r>
    <d v="2024-10-30T00:00:00"/>
    <x v="65"/>
    <s v="TWS"/>
    <x v="0"/>
    <x v="1"/>
    <x v="10"/>
    <s v="Supérieur"/>
    <s v="ass"/>
    <m/>
    <s v="oui"/>
    <m/>
    <n v="4"/>
    <n v="0.75"/>
    <n v="3"/>
  </r>
  <r>
    <d v="2024-10-30T00:00:00"/>
    <x v="65"/>
    <s v="TWS"/>
    <x v="0"/>
    <x v="3"/>
    <x v="10"/>
    <s v="Variétal"/>
    <s v="ass"/>
    <m/>
    <s v="oui"/>
    <m/>
    <n v="4"/>
    <n v="0.75"/>
    <n v="3"/>
  </r>
  <r>
    <d v="2024-10-30T00:00:00"/>
    <x v="65"/>
    <s v="TWS"/>
    <x v="1"/>
    <x v="7"/>
    <x v="10"/>
    <s v="-"/>
    <s v="A1-8"/>
    <m/>
    <s v="oui"/>
    <m/>
    <n v="4"/>
    <n v="0.75"/>
    <n v="3"/>
  </r>
  <r>
    <d v="2024-10-30T00:00:00"/>
    <x v="65"/>
    <s v="TWS"/>
    <x v="1"/>
    <x v="7"/>
    <x v="10"/>
    <s v="-"/>
    <s v="B1-8"/>
    <m/>
    <s v="oui"/>
    <m/>
    <n v="4"/>
    <n v="0.75"/>
    <n v="3"/>
  </r>
  <r>
    <d v="2024-10-30T00:00:00"/>
    <x v="65"/>
    <s v="TWS"/>
    <x v="1"/>
    <x v="8"/>
    <x v="10"/>
    <s v="-"/>
    <s v="C1-9"/>
    <m/>
    <s v="oui"/>
    <m/>
    <n v="4"/>
    <n v="0.75"/>
    <n v="3"/>
  </r>
  <r>
    <d v="2024-10-30T00:00:00"/>
    <x v="65"/>
    <s v="TWS"/>
    <x v="1"/>
    <x v="7"/>
    <x v="10"/>
    <s v="-"/>
    <s v="E1-7"/>
    <m/>
    <s v="oui"/>
    <m/>
    <n v="4"/>
    <n v="0.75"/>
    <n v="3"/>
  </r>
  <r>
    <d v="2024-10-31T00:00:00"/>
    <x v="5"/>
    <s v="-"/>
    <x v="1"/>
    <x v="56"/>
    <x v="10"/>
    <s v="-"/>
    <s v="G1-6"/>
    <m/>
    <s v="oui"/>
    <m/>
    <n v="2"/>
    <n v="0.75"/>
    <n v="1.5"/>
  </r>
  <r>
    <d v="2024-10-31T00:00:00"/>
    <x v="5"/>
    <s v="-"/>
    <x v="1"/>
    <x v="73"/>
    <x v="10"/>
    <s v="-"/>
    <s v="I1-4"/>
    <m/>
    <s v="oui"/>
    <m/>
    <n v="2"/>
    <n v="0.75"/>
    <n v="1.5"/>
  </r>
  <r>
    <d v="2024-10-31T00:00:00"/>
    <x v="5"/>
    <s v="-"/>
    <x v="1"/>
    <x v="73"/>
    <x v="10"/>
    <s v="-"/>
    <s v="H1-4"/>
    <m/>
    <s v="oui"/>
    <m/>
    <n v="2"/>
    <n v="0.75"/>
    <n v="1.5"/>
  </r>
  <r>
    <d v="2024-10-31T00:00:00"/>
    <x v="5"/>
    <s v="-"/>
    <x v="0"/>
    <x v="20"/>
    <x v="10"/>
    <s v="-"/>
    <s v="H1-6"/>
    <m/>
    <s v="oui"/>
    <m/>
    <n v="2"/>
    <n v="0.75"/>
    <n v="1.5"/>
  </r>
  <r>
    <d v="2024-10-31T00:00:00"/>
    <x v="5"/>
    <s v="-"/>
    <x v="2"/>
    <x v="4"/>
    <x v="10"/>
    <s v="Thermo"/>
    <s v="C1-1"/>
    <m/>
    <s v="oui"/>
    <m/>
    <n v="1"/>
    <n v="0.75"/>
    <n v="0.75"/>
  </r>
  <r>
    <d v="2024-11-04T00:00:00"/>
    <x v="2"/>
    <s v="-"/>
    <x v="0"/>
    <x v="2"/>
    <x v="10"/>
    <s v="vrac"/>
    <s v="ass"/>
    <m/>
    <s v="oui"/>
    <m/>
    <n v="4"/>
    <n v="0.75"/>
    <n v="3"/>
  </r>
  <r>
    <d v="2024-11-04T00:00:00"/>
    <x v="2"/>
    <s v="-"/>
    <x v="1"/>
    <x v="4"/>
    <x v="10"/>
    <s v="vrac"/>
    <s v="ass"/>
    <m/>
    <s v="oui"/>
    <m/>
    <n v="4"/>
    <n v="0.75"/>
    <n v="3"/>
  </r>
  <r>
    <d v="2024-11-04T00:00:00"/>
    <x v="2"/>
    <s v="-"/>
    <x v="1"/>
    <x v="7"/>
    <x v="10"/>
    <s v="-"/>
    <s v="A1-08"/>
    <m/>
    <s v="oui"/>
    <m/>
    <n v="4"/>
    <n v="0.75"/>
    <n v="3"/>
  </r>
  <r>
    <d v="2024-11-04T00:00:00"/>
    <x v="2"/>
    <s v="-"/>
    <x v="1"/>
    <x v="7"/>
    <x v="10"/>
    <s v="-"/>
    <s v="E1-06"/>
    <m/>
    <s v="oui"/>
    <m/>
    <n v="4"/>
    <n v="0.75"/>
    <n v="3"/>
  </r>
  <r>
    <d v="2024-11-04T00:00:00"/>
    <x v="2"/>
    <s v="-"/>
    <x v="1"/>
    <x v="8"/>
    <x v="10"/>
    <s v="-"/>
    <s v="C1-09"/>
    <m/>
    <s v="oui"/>
    <m/>
    <n v="4"/>
    <n v="0.75"/>
    <n v="3"/>
  </r>
  <r>
    <d v="2024-11-04T00:00:00"/>
    <x v="2"/>
    <s v="-"/>
    <x v="1"/>
    <x v="7"/>
    <x v="10"/>
    <s v="-"/>
    <s v="E1-07"/>
    <m/>
    <s v="oui"/>
    <m/>
    <n v="4"/>
    <n v="0.75"/>
    <n v="3"/>
  </r>
  <r>
    <d v="2024-11-05T00:00:00"/>
    <x v="128"/>
    <s v="-"/>
    <x v="0"/>
    <x v="3"/>
    <x v="10"/>
    <s v="-"/>
    <s v="ass"/>
    <m/>
    <s v="oui"/>
    <m/>
    <n v="6"/>
    <n v="0.75"/>
    <n v="4.5"/>
  </r>
  <r>
    <d v="2024-11-05T00:00:00"/>
    <x v="143"/>
    <s v="-"/>
    <x v="0"/>
    <x v="0"/>
    <x v="10"/>
    <s v="Variétal"/>
    <s v="A1-10"/>
    <m/>
    <s v="oui"/>
    <m/>
    <n v="4"/>
    <n v="0.75"/>
    <n v="3"/>
  </r>
  <r>
    <d v="2024-11-12T00:00:00"/>
    <x v="144"/>
    <s v="-"/>
    <x v="1"/>
    <x v="4"/>
    <x v="10"/>
    <m/>
    <s v="ass"/>
    <m/>
    <s v="oui"/>
    <m/>
    <n v="3"/>
    <n v="0.75"/>
    <n v="2.25"/>
  </r>
  <r>
    <d v="2024-11-12T00:00:00"/>
    <x v="144"/>
    <s v="-"/>
    <x v="1"/>
    <x v="19"/>
    <x v="10"/>
    <m/>
    <s v="C1-10"/>
    <m/>
    <s v="oui"/>
    <m/>
    <n v="2"/>
    <n v="0.75"/>
    <n v="1.5"/>
  </r>
  <r>
    <d v="2024-11-12T00:00:00"/>
    <x v="144"/>
    <s v="-"/>
    <x v="0"/>
    <x v="0"/>
    <x v="10"/>
    <s v="variétal"/>
    <s v="C1-07"/>
    <m/>
    <s v="oui"/>
    <m/>
    <n v="2"/>
    <n v="0.75"/>
    <n v="1.5"/>
  </r>
  <r>
    <d v="2024-11-12T00:00:00"/>
    <x v="144"/>
    <s v="-"/>
    <x v="0"/>
    <x v="1"/>
    <x v="10"/>
    <s v="variétal"/>
    <s v="D1-09"/>
    <m/>
    <s v="oui"/>
    <m/>
    <n v="2"/>
    <n v="0.75"/>
    <n v="1.5"/>
  </r>
  <r>
    <d v="2024-11-12T00:00:00"/>
    <x v="144"/>
    <s v="-"/>
    <x v="0"/>
    <x v="1"/>
    <x v="9"/>
    <m/>
    <s v="B1-04"/>
    <m/>
    <s v="oui"/>
    <s v="&quot;lot 1&quot;"/>
    <n v="2"/>
    <n v="0.75"/>
    <n v="1.5"/>
  </r>
  <r>
    <d v="2024-11-12T00:00:00"/>
    <x v="144"/>
    <s v="-"/>
    <x v="0"/>
    <x v="1"/>
    <x v="9"/>
    <m/>
    <s v="C1-03"/>
    <m/>
    <s v="oui"/>
    <s v="&quot;lot 2&quot;"/>
    <n v="2"/>
    <n v="0.75"/>
    <n v="1.5"/>
  </r>
  <r>
    <d v="2024-11-12T00:00:00"/>
    <x v="1"/>
    <s v="Sauvage"/>
    <x v="0"/>
    <x v="1"/>
    <x v="10"/>
    <s v="variétal"/>
    <s v="D1-09"/>
    <m/>
    <s v="oui"/>
    <m/>
    <n v="3"/>
    <n v="0.75"/>
    <n v="2.25"/>
  </r>
  <r>
    <d v="2024-11-12T00:00:00"/>
    <x v="2"/>
    <s v="-"/>
    <x v="0"/>
    <x v="1"/>
    <x v="10"/>
    <s v="variétal"/>
    <s v="D1-09"/>
    <m/>
    <s v="oui"/>
    <m/>
    <n v="6"/>
    <n v="0.75"/>
    <n v="4.5"/>
  </r>
  <r>
    <d v="2024-11-12T00:00:00"/>
    <x v="2"/>
    <s v="-"/>
    <x v="0"/>
    <x v="1"/>
    <x v="10"/>
    <s v="supérieur"/>
    <s v="ass"/>
    <m/>
    <s v="oui"/>
    <m/>
    <n v="6"/>
    <n v="0.75"/>
    <n v="4.5"/>
  </r>
  <r>
    <d v="2024-11-12T00:00:00"/>
    <x v="2"/>
    <s v="-"/>
    <x v="0"/>
    <x v="6"/>
    <x v="10"/>
    <s v="-"/>
    <s v="ass"/>
    <m/>
    <s v="oui"/>
    <m/>
    <n v="3"/>
    <n v="0.75"/>
    <n v="2.25"/>
  </r>
  <r>
    <d v="2024-11-12T00:00:00"/>
    <x v="2"/>
    <s v="-"/>
    <x v="0"/>
    <x v="0"/>
    <x v="10"/>
    <s v="boisé"/>
    <s v="A2-06"/>
    <m/>
    <s v="oui"/>
    <m/>
    <n v="3"/>
    <n v="0.75"/>
    <n v="2.25"/>
  </r>
  <r>
    <d v="2024-11-12T00:00:00"/>
    <x v="2"/>
    <s v="-"/>
    <x v="0"/>
    <x v="0"/>
    <x v="10"/>
    <s v="supérieur"/>
    <s v="G1-04"/>
    <m/>
    <s v="oui"/>
    <m/>
    <n v="3"/>
    <n v="0.75"/>
    <n v="2.25"/>
  </r>
  <r>
    <d v="2024-11-12T00:00:00"/>
    <x v="2"/>
    <s v="-"/>
    <x v="0"/>
    <x v="2"/>
    <x v="10"/>
    <s v="-"/>
    <s v="ass"/>
    <m/>
    <s v="oui"/>
    <m/>
    <n v="3"/>
    <n v="0.75"/>
    <n v="2.25"/>
  </r>
  <r>
    <d v="2024-11-12T00:00:00"/>
    <x v="143"/>
    <s v="-"/>
    <x v="1"/>
    <x v="4"/>
    <x v="10"/>
    <s v="-"/>
    <s v="ass"/>
    <m/>
    <s v="oui"/>
    <m/>
    <n v="3"/>
    <n v="0.75"/>
    <n v="2.25"/>
  </r>
  <r>
    <d v="2024-11-12T00:00:00"/>
    <x v="5"/>
    <s v="-"/>
    <x v="1"/>
    <x v="46"/>
    <x v="10"/>
    <s v="-"/>
    <s v="G1-06"/>
    <m/>
    <s v="oui"/>
    <m/>
    <n v="2"/>
    <n v="0.75"/>
    <n v="1.5"/>
  </r>
  <r>
    <d v="2024-11-12T00:00:00"/>
    <x v="5"/>
    <s v="-"/>
    <x v="1"/>
    <x v="17"/>
    <x v="10"/>
    <s v="-"/>
    <s v="ass"/>
    <m/>
    <s v="oui"/>
    <m/>
    <n v="2"/>
    <n v="0.75"/>
    <n v="1.5"/>
  </r>
  <r>
    <d v="2024-11-13T00:00:00"/>
    <x v="1"/>
    <s v="Castillo"/>
    <x v="0"/>
    <x v="1"/>
    <x v="10"/>
    <m/>
    <s v="D1-09"/>
    <m/>
    <s v="oui"/>
    <m/>
    <n v="3"/>
    <n v="0.75"/>
    <n v="2.25"/>
  </r>
  <r>
    <d v="2024-11-15T00:00:00"/>
    <x v="5"/>
    <s v="-"/>
    <x v="0"/>
    <x v="17"/>
    <x v="10"/>
    <m/>
    <s v="ass"/>
    <m/>
    <s v="oui"/>
    <m/>
    <n v="5"/>
    <n v="0.75"/>
    <n v="3.75"/>
  </r>
  <r>
    <d v="2024-11-15T00:00:00"/>
    <x v="5"/>
    <s v="-"/>
    <x v="1"/>
    <x v="46"/>
    <x v="10"/>
    <m/>
    <s v="G1-06"/>
    <m/>
    <s v="oui"/>
    <m/>
    <n v="4"/>
    <n v="0.75"/>
    <n v="3"/>
  </r>
  <r>
    <d v="2024-11-15T00:00:00"/>
    <x v="5"/>
    <s v="-"/>
    <x v="0"/>
    <x v="49"/>
    <x v="10"/>
    <m/>
    <s v="ass"/>
    <m/>
    <s v="oui"/>
    <m/>
    <n v="3"/>
    <n v="0.75"/>
    <n v="2.25"/>
  </r>
  <r>
    <d v="2024-11-15T00:00:00"/>
    <x v="65"/>
    <s v="TWS"/>
    <x v="1"/>
    <x v="7"/>
    <x v="10"/>
    <m/>
    <s v="E1-07"/>
    <m/>
    <s v="oui"/>
    <m/>
    <n v="3"/>
    <n v="0.75"/>
    <n v="2.25"/>
  </r>
  <r>
    <d v="2024-11-15T00:00:00"/>
    <x v="65"/>
    <s v="TWS"/>
    <x v="1"/>
    <x v="7"/>
    <x v="10"/>
    <m/>
    <s v="A1-08"/>
    <m/>
    <s v="oui"/>
    <m/>
    <n v="3"/>
    <n v="0.75"/>
    <n v="2.25"/>
  </r>
  <r>
    <d v="2024-11-15T00:00:00"/>
    <x v="65"/>
    <s v="TWS"/>
    <x v="0"/>
    <x v="152"/>
    <x v="10"/>
    <m/>
    <s v="A1-01"/>
    <m/>
    <s v="oui"/>
    <m/>
    <n v="3"/>
    <n v="0.75"/>
    <n v="2.25"/>
  </r>
  <r>
    <d v="2024-11-15T00:00:00"/>
    <x v="65"/>
    <s v="TWS"/>
    <x v="0"/>
    <x v="152"/>
    <x v="10"/>
    <m/>
    <s v="D2-03"/>
    <m/>
    <s v="oui"/>
    <m/>
    <n v="3"/>
    <n v="0.75"/>
    <n v="2.25"/>
  </r>
  <r>
    <d v="2024-11-15T00:00:00"/>
    <x v="65"/>
    <s v="TWS"/>
    <x v="0"/>
    <x v="152"/>
    <x v="10"/>
    <m/>
    <s v="J1-09"/>
    <m/>
    <s v="oui"/>
    <m/>
    <n v="3"/>
    <n v="0.75"/>
    <n v="2.25"/>
  </r>
  <r>
    <d v="2024-11-18T00:00:00"/>
    <x v="1"/>
    <s v="Vargoz"/>
    <x v="0"/>
    <x v="152"/>
    <x v="10"/>
    <s v="-"/>
    <s v="ass"/>
    <m/>
    <s v="oui"/>
    <s v="32% A1-01 + 48% D2-03 + 20% J1-09"/>
    <n v="2"/>
    <n v="0.75"/>
    <n v="1.5"/>
  </r>
  <r>
    <d v="2024-11-18T00:00:00"/>
    <x v="1"/>
    <s v="Vargoz"/>
    <x v="1"/>
    <x v="8"/>
    <x v="10"/>
    <s v="petit degré"/>
    <s v="E2-02"/>
    <m/>
    <s v="oui"/>
    <m/>
    <n v="2"/>
    <n v="0.75"/>
    <n v="1.5"/>
  </r>
  <r>
    <d v="2024-11-18T00:00:00"/>
    <x v="132"/>
    <s v="-"/>
    <x v="0"/>
    <x v="6"/>
    <x v="10"/>
    <s v="-"/>
    <s v="ass"/>
    <m/>
    <s v="oui"/>
    <m/>
    <n v="4"/>
    <n v="0.75"/>
    <n v="3"/>
  </r>
  <r>
    <d v="2024-11-18T00:00:00"/>
    <x v="132"/>
    <s v="-"/>
    <x v="1"/>
    <x v="8"/>
    <x v="10"/>
    <s v="-"/>
    <s v="B1-08"/>
    <m/>
    <s v="oui"/>
    <m/>
    <n v="4"/>
    <n v="0.75"/>
    <n v="3"/>
  </r>
  <r>
    <d v="2024-11-18T00:00:00"/>
    <x v="132"/>
    <s v="-"/>
    <x v="1"/>
    <x v="8"/>
    <x v="10"/>
    <s v="-"/>
    <s v="H1-04"/>
    <m/>
    <s v="oui"/>
    <m/>
    <n v="4"/>
    <n v="0.75"/>
    <n v="3"/>
  </r>
  <r>
    <d v="2024-11-18T00:00:00"/>
    <x v="132"/>
    <s v="-"/>
    <x v="1"/>
    <x v="7"/>
    <x v="10"/>
    <s v="-"/>
    <s v="A1-08"/>
    <m/>
    <s v="oui"/>
    <m/>
    <n v="4"/>
    <n v="0.75"/>
    <n v="3"/>
  </r>
  <r>
    <d v="2024-11-18T00:00:00"/>
    <x v="2"/>
    <s v="-"/>
    <x v="0"/>
    <x v="1"/>
    <x v="10"/>
    <s v="-"/>
    <s v="ass"/>
    <m/>
    <s v="oui"/>
    <m/>
    <n v="4"/>
    <n v="0.75"/>
    <n v="3"/>
  </r>
  <r>
    <d v="2024-11-18T00:00:00"/>
    <x v="2"/>
    <s v="-"/>
    <x v="0"/>
    <x v="1"/>
    <x v="10"/>
    <m/>
    <s v="D1-09"/>
    <m/>
    <s v="oui"/>
    <m/>
    <n v="4"/>
    <n v="0.75"/>
    <n v="3"/>
  </r>
  <r>
    <d v="2024-11-18T00:00:00"/>
    <x v="2"/>
    <s v="-"/>
    <x v="1"/>
    <x v="7"/>
    <x v="10"/>
    <m/>
    <s v="A1-08"/>
    <m/>
    <s v="oui"/>
    <m/>
    <n v="4"/>
    <n v="0.75"/>
    <n v="3"/>
  </r>
  <r>
    <d v="2024-11-18T00:00:00"/>
    <x v="2"/>
    <s v="-"/>
    <x v="1"/>
    <x v="8"/>
    <x v="10"/>
    <m/>
    <s v="H1-04"/>
    <m/>
    <s v="oui"/>
    <m/>
    <n v="4"/>
    <n v="0.75"/>
    <n v="3"/>
  </r>
  <r>
    <d v="2024-11-18T00:00:00"/>
    <x v="2"/>
    <s v="-"/>
    <x v="1"/>
    <x v="8"/>
    <x v="10"/>
    <m/>
    <s v="B1-08"/>
    <m/>
    <s v="oui"/>
    <m/>
    <n v="4"/>
    <n v="0.75"/>
    <n v="3"/>
  </r>
  <r>
    <d v="2024-11-18T00:00:00"/>
    <x v="2"/>
    <s v="-"/>
    <x v="0"/>
    <x v="0"/>
    <x v="10"/>
    <s v="Supérieur"/>
    <s v="G1-04"/>
    <m/>
    <s v="oui"/>
    <m/>
    <n v="4"/>
    <n v="0.75"/>
    <n v="3"/>
  </r>
  <r>
    <d v="2024-11-18T00:00:00"/>
    <x v="2"/>
    <s v="-"/>
    <x v="0"/>
    <x v="9"/>
    <x v="10"/>
    <m/>
    <s v="ass"/>
    <m/>
    <s v="oui"/>
    <s v="&quot;Lot 1&quot;  ass Oc terret + cuivre"/>
    <n v="2"/>
    <n v="0.75"/>
    <n v="1.5"/>
  </r>
  <r>
    <d v="2024-11-18T00:00:00"/>
    <x v="2"/>
    <s v="-"/>
    <x v="0"/>
    <x v="9"/>
    <x v="10"/>
    <m/>
    <s v="B1-10"/>
    <m/>
    <s v="oui"/>
    <s v="&quot;Lot 2&quot;"/>
    <n v="2"/>
    <n v="0.75"/>
    <n v="1.5"/>
  </r>
  <r>
    <d v="2024-11-18T00:00:00"/>
    <x v="2"/>
    <s v="-"/>
    <x v="0"/>
    <x v="6"/>
    <x v="10"/>
    <m/>
    <s v="ass"/>
    <m/>
    <s v="oui"/>
    <m/>
    <n v="4"/>
    <n v="0.75"/>
    <n v="3"/>
  </r>
  <r>
    <d v="2024-11-22T00:00:00"/>
    <x v="65"/>
    <s v="TWS"/>
    <x v="0"/>
    <x v="118"/>
    <x v="10"/>
    <m/>
    <s v="A1-01"/>
    <m/>
    <s v="oui"/>
    <m/>
    <n v="6"/>
    <n v="0.75"/>
    <n v="4.5"/>
  </r>
  <r>
    <d v="2024-11-22T00:00:00"/>
    <x v="65"/>
    <s v="TWS"/>
    <x v="0"/>
    <x v="118"/>
    <x v="10"/>
    <m/>
    <s v="D2-03"/>
    <m/>
    <s v="oui"/>
    <m/>
    <n v="6"/>
    <n v="0.75"/>
    <n v="4.5"/>
  </r>
  <r>
    <d v="2024-11-22T00:00:00"/>
    <x v="65"/>
    <s v="TWS"/>
    <x v="0"/>
    <x v="118"/>
    <x v="10"/>
    <m/>
    <s v="J1-09"/>
    <m/>
    <s v="oui"/>
    <m/>
    <n v="6"/>
    <n v="0.75"/>
    <n v="4.5"/>
  </r>
  <r>
    <d v="2024-11-22T00:00:00"/>
    <x v="65"/>
    <s v="TWS"/>
    <x v="0"/>
    <x v="3"/>
    <x v="10"/>
    <m/>
    <s v="B1-07"/>
    <m/>
    <s v="oui"/>
    <m/>
    <n v="4"/>
    <n v="0.75"/>
    <n v="3"/>
  </r>
  <r>
    <d v="2024-11-22T00:00:00"/>
    <x v="65"/>
    <s v="TWS"/>
    <x v="0"/>
    <x v="19"/>
    <x v="10"/>
    <m/>
    <s v="G1-01"/>
    <m/>
    <s v="oui"/>
    <m/>
    <n v="4"/>
    <n v="0.75"/>
    <n v="3"/>
  </r>
  <r>
    <d v="2024-11-22T00:00:00"/>
    <x v="65"/>
    <s v="TWS"/>
    <x v="1"/>
    <x v="7"/>
    <x v="10"/>
    <m/>
    <s v="E1-07"/>
    <m/>
    <s v="oui"/>
    <m/>
    <n v="4"/>
    <n v="0.75"/>
    <n v="3"/>
  </r>
  <r>
    <d v="2024-11-22T00:00:00"/>
    <x v="65"/>
    <s v="TWS"/>
    <x v="1"/>
    <x v="7"/>
    <x v="10"/>
    <m/>
    <s v="G1-05"/>
    <m/>
    <s v="oui"/>
    <m/>
    <n v="4"/>
    <n v="0.75"/>
    <n v="3"/>
  </r>
  <r>
    <d v="2024-11-22T00:00:00"/>
    <x v="65"/>
    <s v="TWS"/>
    <x v="0"/>
    <x v="0"/>
    <x v="10"/>
    <s v="Supérieur"/>
    <s v="G1-04"/>
    <m/>
    <s v="oui"/>
    <m/>
    <n v="3"/>
    <n v="0.75"/>
    <n v="2.25"/>
  </r>
  <r>
    <d v="2024-11-22T00:00:00"/>
    <x v="65"/>
    <s v="TWS"/>
    <x v="0"/>
    <x v="0"/>
    <x v="10"/>
    <s v="Variétal"/>
    <s v="A1-10"/>
    <m/>
    <s v="oui"/>
    <m/>
    <n v="3"/>
    <n v="0.75"/>
    <n v="2.25"/>
  </r>
  <r>
    <d v="2024-11-22T00:00:00"/>
    <x v="98"/>
    <s v="-"/>
    <x v="0"/>
    <x v="37"/>
    <x v="10"/>
    <m/>
    <s v="ass"/>
    <m/>
    <s v="oui"/>
    <s v="&quot;Lot 1&quot;"/>
    <n v="1"/>
    <n v="0.75"/>
    <n v="0.75"/>
  </r>
  <r>
    <d v="2024-11-22T00:00:00"/>
    <x v="98"/>
    <s v="-"/>
    <x v="0"/>
    <x v="37"/>
    <x v="10"/>
    <m/>
    <s v="ass"/>
    <m/>
    <s v="oui"/>
    <s v="&quot;Lot 2&quot;"/>
    <n v="1"/>
    <n v="0.75"/>
    <n v="0.75"/>
  </r>
  <r>
    <d v="2024-11-26T00:00:00"/>
    <x v="142"/>
    <s v="-"/>
    <x v="0"/>
    <x v="0"/>
    <x v="10"/>
    <s v="Supérieur"/>
    <s v="G1-04"/>
    <m/>
    <s v="oui"/>
    <m/>
    <n v="3"/>
    <n v="0.75"/>
    <n v="2.25"/>
  </r>
  <r>
    <d v="2024-11-26T00:00:00"/>
    <x v="142"/>
    <s v="-"/>
    <x v="0"/>
    <x v="1"/>
    <x v="10"/>
    <s v="Végétal"/>
    <s v="C1-05"/>
    <m/>
    <s v="oui"/>
    <m/>
    <n v="3"/>
    <n v="0.75"/>
    <n v="2.25"/>
  </r>
  <r>
    <d v="2024-11-26T00:00:00"/>
    <x v="142"/>
    <s v="-"/>
    <x v="1"/>
    <x v="149"/>
    <x v="10"/>
    <m/>
    <s v="I1-04"/>
    <m/>
    <s v="oui"/>
    <m/>
    <n v="3"/>
    <n v="0.75"/>
    <n v="2.25"/>
  </r>
  <r>
    <d v="2024-11-26T00:00:00"/>
    <x v="142"/>
    <s v="-"/>
    <x v="1"/>
    <x v="131"/>
    <x v="10"/>
    <m/>
    <s v="C1-10"/>
    <m/>
    <s v="oui"/>
    <m/>
    <n v="3"/>
    <n v="0.75"/>
    <n v="2.25"/>
  </r>
  <r>
    <d v="2024-11-27T00:00:00"/>
    <x v="17"/>
    <s v="-"/>
    <x v="1"/>
    <x v="73"/>
    <x v="10"/>
    <m/>
    <s v="B1-08"/>
    <m/>
    <s v="oui"/>
    <m/>
    <n v="2"/>
    <n v="0.75"/>
    <n v="1.5"/>
  </r>
  <r>
    <d v="2024-11-27T00:00:00"/>
    <x v="17"/>
    <s v="-"/>
    <x v="1"/>
    <x v="119"/>
    <x v="10"/>
    <m/>
    <s v="D2-08"/>
    <m/>
    <s v="oui"/>
    <m/>
    <n v="2"/>
    <n v="0.75"/>
    <n v="1.5"/>
  </r>
  <r>
    <d v="2024-11-27T00:00:00"/>
    <x v="17"/>
    <s v="-"/>
    <x v="1"/>
    <x v="171"/>
    <x v="10"/>
    <m/>
    <s v="E2-02"/>
    <m/>
    <s v="oui"/>
    <m/>
    <n v="2"/>
    <n v="0.75"/>
    <n v="1.5"/>
  </r>
  <r>
    <d v="2024-11-27T00:00:00"/>
    <x v="17"/>
    <s v="-"/>
    <x v="1"/>
    <x v="7"/>
    <x v="10"/>
    <m/>
    <s v="G1-05"/>
    <m/>
    <s v="oui"/>
    <m/>
    <n v="2"/>
    <n v="0.75"/>
    <n v="1.5"/>
  </r>
  <r>
    <d v="2024-11-27T00:00:00"/>
    <x v="17"/>
    <s v="-"/>
    <x v="0"/>
    <x v="6"/>
    <x v="10"/>
    <m/>
    <s v="ass"/>
    <m/>
    <s v="oui"/>
    <m/>
    <n v="2"/>
    <n v="0.75"/>
    <n v="1.5"/>
  </r>
  <r>
    <d v="2024-11-27T00:00:00"/>
    <x v="17"/>
    <s v="-"/>
    <x v="0"/>
    <x v="17"/>
    <x v="10"/>
    <m/>
    <s v="ass"/>
    <m/>
    <s v="oui"/>
    <m/>
    <n v="2"/>
    <n v="0.75"/>
    <n v="1.5"/>
  </r>
  <r>
    <d v="2024-12-06T00:00:00"/>
    <x v="2"/>
    <s v="-"/>
    <x v="1"/>
    <x v="8"/>
    <x v="10"/>
    <m/>
    <s v="B1-08"/>
    <m/>
    <s v="oui"/>
    <m/>
    <n v="4"/>
    <n v="0.75"/>
    <n v="3"/>
  </r>
  <r>
    <d v="2024-12-06T00:00:00"/>
    <x v="145"/>
    <s v="-"/>
    <x v="0"/>
    <x v="0"/>
    <x v="10"/>
    <s v="Supérieur"/>
    <s v="G1-04"/>
    <m/>
    <s v="oui"/>
    <m/>
    <n v="6"/>
    <n v="0.75"/>
    <n v="4.5"/>
  </r>
  <r>
    <d v="2024-12-06T00:00:00"/>
    <x v="1"/>
    <s v="Vargoz"/>
    <x v="0"/>
    <x v="2"/>
    <x v="10"/>
    <m/>
    <s v="H1-04"/>
    <m/>
    <s v="oui"/>
    <m/>
    <n v="3"/>
    <n v="0.75"/>
    <n v="2.25"/>
  </r>
  <r>
    <d v="2024-12-06T00:00:00"/>
    <x v="1"/>
    <s v="Vargoz"/>
    <x v="0"/>
    <x v="0"/>
    <x v="10"/>
    <s v="Boisé"/>
    <s v="A2-06"/>
    <m/>
    <s v="oui"/>
    <m/>
    <n v="3"/>
    <n v="0.75"/>
    <n v="2.25"/>
  </r>
  <r>
    <d v="2024-12-06T00:00:00"/>
    <x v="1"/>
    <s v="Vargoz"/>
    <x v="0"/>
    <x v="1"/>
    <x v="10"/>
    <s v="Végétale"/>
    <s v="C1-05"/>
    <m/>
    <s v="oui"/>
    <m/>
    <n v="3"/>
    <n v="0.75"/>
    <n v="2.25"/>
  </r>
  <r>
    <d v="2024-12-06T00:00:00"/>
    <x v="1"/>
    <s v="Vargoz"/>
    <x v="1"/>
    <x v="98"/>
    <x v="10"/>
    <m/>
    <s v="IQ1-04"/>
    <m/>
    <s v="oui"/>
    <m/>
    <n v="3"/>
    <n v="0.75"/>
    <n v="2.25"/>
  </r>
  <r>
    <d v="2024-12-06T00:00:00"/>
    <x v="1"/>
    <s v="Vargoz"/>
    <x v="1"/>
    <x v="119"/>
    <x v="10"/>
    <m/>
    <s v="D2-08"/>
    <m/>
    <s v="oui"/>
    <m/>
    <n v="3"/>
    <n v="0.75"/>
    <n v="2.25"/>
  </r>
  <r>
    <d v="2024-12-06T00:00:00"/>
    <x v="1"/>
    <s v="Vargoz"/>
    <x v="1"/>
    <x v="7"/>
    <x v="10"/>
    <m/>
    <s v="G1-05"/>
    <m/>
    <s v="oui"/>
    <m/>
    <n v="3"/>
    <n v="0.75"/>
    <n v="2.25"/>
  </r>
  <r>
    <d v="2024-12-06T00:00:00"/>
    <x v="1"/>
    <s v="Vargoz"/>
    <x v="1"/>
    <x v="8"/>
    <x v="10"/>
    <m/>
    <s v="E2-08"/>
    <m/>
    <s v="oui"/>
    <m/>
    <n v="3"/>
    <n v="0.75"/>
    <n v="2.25"/>
  </r>
  <r>
    <d v="2024-12-05T00:00:00"/>
    <x v="5"/>
    <s v="-"/>
    <x v="0"/>
    <x v="1"/>
    <x v="10"/>
    <s v="Variétal"/>
    <s v="D1-09"/>
    <m/>
    <s v="oui"/>
    <m/>
    <n v="1"/>
    <n v="0.75"/>
    <n v="0.75"/>
  </r>
  <r>
    <d v="2024-12-05T00:00:00"/>
    <x v="5"/>
    <s v="-"/>
    <x v="0"/>
    <x v="1"/>
    <x v="10"/>
    <s v="Supérieur"/>
    <s v="I1-07"/>
    <m/>
    <s v="oui"/>
    <m/>
    <n v="1"/>
    <n v="0.75"/>
    <n v="0.75"/>
  </r>
  <r>
    <d v="2024-12-05T00:00:00"/>
    <x v="5"/>
    <s v="-"/>
    <x v="0"/>
    <x v="49"/>
    <x v="10"/>
    <m/>
    <s v="ass"/>
    <m/>
    <s v="oui"/>
    <m/>
    <n v="1"/>
    <n v="0.75"/>
    <n v="0.75"/>
  </r>
  <r>
    <d v="2024-12-05T00:00:00"/>
    <x v="5"/>
    <s v="-"/>
    <x v="0"/>
    <x v="17"/>
    <x v="10"/>
    <m/>
    <s v="ass"/>
    <m/>
    <s v="oui"/>
    <m/>
    <n v="1"/>
    <n v="0.75"/>
    <n v="0.75"/>
  </r>
  <r>
    <d v="2024-12-04T00:00:00"/>
    <x v="1"/>
    <s v="JCS"/>
    <x v="0"/>
    <x v="172"/>
    <x v="10"/>
    <m/>
    <s v="D1-04"/>
    <m/>
    <s v="oui"/>
    <m/>
    <n v="1"/>
    <n v="0.75"/>
    <n v="0.75"/>
  </r>
  <r>
    <d v="2024-12-04T00:00:00"/>
    <x v="1"/>
    <s v="JCS"/>
    <x v="0"/>
    <x v="2"/>
    <x v="10"/>
    <m/>
    <s v="ass"/>
    <m/>
    <s v="oui"/>
    <m/>
    <n v="1"/>
    <n v="0.75"/>
    <n v="0.75"/>
  </r>
  <r>
    <d v="2024-12-03T00:00:00"/>
    <x v="146"/>
    <s v="-"/>
    <x v="0"/>
    <x v="21"/>
    <x v="10"/>
    <m/>
    <s v="I1-06"/>
    <m/>
    <s v="oui"/>
    <m/>
    <n v="2"/>
    <n v="0.75"/>
    <n v="1.5"/>
  </r>
  <r>
    <d v="2024-12-03T00:00:00"/>
    <x v="146"/>
    <s v="-"/>
    <x v="0"/>
    <x v="2"/>
    <x v="10"/>
    <m/>
    <s v="ass"/>
    <m/>
    <s v="oui"/>
    <m/>
    <n v="2"/>
    <n v="0.75"/>
    <n v="1.5"/>
  </r>
  <r>
    <d v="2024-12-03T00:00:00"/>
    <x v="146"/>
    <s v="-"/>
    <x v="1"/>
    <x v="4"/>
    <x v="10"/>
    <m/>
    <s v="ass"/>
    <m/>
    <s v="oui"/>
    <m/>
    <n v="2"/>
    <n v="0.75"/>
    <n v="1.5"/>
  </r>
  <r>
    <d v="2024-12-02T00:00:00"/>
    <x v="147"/>
    <s v="-"/>
    <x v="0"/>
    <x v="21"/>
    <x v="10"/>
    <m/>
    <s v="I1-06"/>
    <m/>
    <s v="oui"/>
    <m/>
    <n v="2"/>
    <n v="0.75"/>
    <n v="1.5"/>
  </r>
  <r>
    <d v="2024-12-02T00:00:00"/>
    <x v="147"/>
    <s v="-"/>
    <x v="0"/>
    <x v="6"/>
    <x v="10"/>
    <m/>
    <s v="B1-10"/>
    <m/>
    <s v="oui"/>
    <m/>
    <n v="2"/>
    <n v="0.75"/>
    <n v="1.5"/>
  </r>
  <r>
    <d v="2024-12-02T00:00:00"/>
    <x v="147"/>
    <s v="-"/>
    <x v="0"/>
    <x v="6"/>
    <x v="10"/>
    <m/>
    <s v="F1-01"/>
    <m/>
    <s v="oui"/>
    <m/>
    <n v="2"/>
    <n v="0.75"/>
    <n v="1.5"/>
  </r>
  <r>
    <d v="2024-12-02T00:00:00"/>
    <x v="147"/>
    <s v="-"/>
    <x v="0"/>
    <x v="6"/>
    <x v="10"/>
    <m/>
    <s v="D1-10"/>
    <m/>
    <s v="oui"/>
    <m/>
    <n v="2"/>
    <n v="0.75"/>
    <n v="1.5"/>
  </r>
  <r>
    <d v="2024-12-02T00:00:00"/>
    <x v="147"/>
    <s v="-"/>
    <x v="1"/>
    <x v="8"/>
    <x v="10"/>
    <m/>
    <s v="B1-08"/>
    <m/>
    <s v="oui"/>
    <m/>
    <n v="2"/>
    <n v="0.75"/>
    <n v="1.5"/>
  </r>
  <r>
    <d v="2024-12-13T00:00:00"/>
    <x v="5"/>
    <s v="-"/>
    <x v="0"/>
    <x v="0"/>
    <x v="10"/>
    <m/>
    <s v="ass"/>
    <m/>
    <s v="oui"/>
    <s v="80% var + 20% sup"/>
    <n v="2"/>
    <n v="0.75"/>
    <n v="1.5"/>
  </r>
  <r>
    <d v="2024-12-13T00:00:00"/>
    <x v="5"/>
    <s v="-"/>
    <x v="0"/>
    <x v="17"/>
    <x v="10"/>
    <m/>
    <s v="ass"/>
    <m/>
    <s v="oui"/>
    <m/>
    <n v="2"/>
    <n v="0.75"/>
    <n v="1.5"/>
  </r>
  <r>
    <d v="2024-12-13T00:00:00"/>
    <x v="5"/>
    <s v="-"/>
    <x v="0"/>
    <x v="49"/>
    <x v="10"/>
    <m/>
    <s v="ass"/>
    <m/>
    <s v="oui"/>
    <m/>
    <n v="2"/>
    <n v="0.75"/>
    <n v="1.5"/>
  </r>
  <r>
    <d v="2024-12-13T00:00:00"/>
    <x v="5"/>
    <s v="-"/>
    <x v="1"/>
    <x v="46"/>
    <x v="10"/>
    <m/>
    <s v="C1-09"/>
    <m/>
    <s v="oui"/>
    <m/>
    <n v="2"/>
    <n v="0.75"/>
    <n v="1.5"/>
  </r>
  <r>
    <d v="2024-12-18T00:00:00"/>
    <x v="148"/>
    <s v="-"/>
    <x v="0"/>
    <x v="21"/>
    <x v="10"/>
    <m/>
    <s v="I1-06"/>
    <m/>
    <s v="oui"/>
    <m/>
    <n v="2"/>
    <n v="0.75"/>
    <n v="1.5"/>
  </r>
  <r>
    <d v="2024-12-18T00:00:00"/>
    <x v="65"/>
    <s v="TWS"/>
    <x v="0"/>
    <x v="3"/>
    <x v="10"/>
    <m/>
    <s v="B1-06"/>
    <m/>
    <s v="oui"/>
    <m/>
    <n v="2"/>
    <n v="0.75"/>
    <n v="1.5"/>
  </r>
  <r>
    <d v="2024-12-18T00:00:00"/>
    <x v="5"/>
    <s v="-"/>
    <x v="1"/>
    <x v="7"/>
    <x v="10"/>
    <m/>
    <s v="G1-05"/>
    <m/>
    <s v="oui"/>
    <m/>
    <n v="2"/>
    <n v="0.75"/>
    <n v="1.5"/>
  </r>
  <r>
    <d v="2025-01-06T00:00:00"/>
    <x v="65"/>
    <s v="TWS"/>
    <x v="0"/>
    <x v="173"/>
    <x v="10"/>
    <m/>
    <s v="A1-01"/>
    <m/>
    <s v="oui"/>
    <m/>
    <n v="6"/>
    <n v="0.75"/>
    <n v="4.5"/>
  </r>
  <r>
    <d v="2025-01-06T00:00:00"/>
    <x v="65"/>
    <s v="TWS"/>
    <x v="0"/>
    <x v="173"/>
    <x v="10"/>
    <m/>
    <s v="D2-03"/>
    <m/>
    <s v="oui"/>
    <m/>
    <n v="6"/>
    <n v="0.75"/>
    <n v="4.5"/>
  </r>
  <r>
    <d v="2025-01-06T00:00:00"/>
    <x v="65"/>
    <s v="TWS"/>
    <x v="0"/>
    <x v="173"/>
    <x v="10"/>
    <m/>
    <s v="J1-09"/>
    <m/>
    <s v="oui"/>
    <m/>
    <n v="6"/>
    <n v="0.75"/>
    <n v="4.5"/>
  </r>
  <r>
    <d v="2025-01-06T00:00:00"/>
    <x v="65"/>
    <s v="TWS"/>
    <x v="0"/>
    <x v="154"/>
    <x v="10"/>
    <m/>
    <s v="F1-06"/>
    <m/>
    <s v="oui"/>
    <m/>
    <n v="6"/>
    <n v="0.75"/>
    <n v="4.5"/>
  </r>
  <r>
    <d v="2025-01-06T00:00:00"/>
    <x v="65"/>
    <s v="TWS"/>
    <x v="0"/>
    <x v="3"/>
    <x v="10"/>
    <m/>
    <s v="B1-06"/>
    <m/>
    <s v="oui"/>
    <m/>
    <n v="6"/>
    <n v="0.75"/>
    <n v="4.5"/>
  </r>
  <r>
    <d v="2025-01-06T00:00:00"/>
    <x v="65"/>
    <s v="TWS"/>
    <x v="1"/>
    <x v="131"/>
    <x v="10"/>
    <m/>
    <s v="G1-03"/>
    <m/>
    <s v="oui"/>
    <m/>
    <n v="6"/>
    <n v="0.75"/>
    <n v="4.5"/>
  </r>
  <r>
    <d v="2025-01-06T00:00:00"/>
    <x v="65"/>
    <s v="TWS"/>
    <x v="1"/>
    <x v="156"/>
    <x v="10"/>
    <m/>
    <s v="G1-05"/>
    <m/>
    <s v="oui"/>
    <m/>
    <n v="6"/>
    <n v="0.75"/>
    <n v="4.5"/>
  </r>
  <r>
    <d v="2025-01-06T00:00:00"/>
    <x v="100"/>
    <s v="Vargoz"/>
    <x v="0"/>
    <x v="2"/>
    <x v="10"/>
    <m/>
    <s v="H1-04"/>
    <m/>
    <s v="oui"/>
    <m/>
    <n v="2"/>
    <n v="0.75"/>
    <n v="1.5"/>
  </r>
  <r>
    <d v="2024-01-06T00:00:00"/>
    <x v="2"/>
    <s v="-"/>
    <x v="0"/>
    <x v="1"/>
    <x v="10"/>
    <s v="Supérieur"/>
    <s v="D1-04"/>
    <m/>
    <s v="oui"/>
    <m/>
    <n v="3"/>
    <n v="0.75"/>
    <n v="2.25"/>
  </r>
  <r>
    <d v="2024-01-06T00:00:00"/>
    <x v="2"/>
    <s v="-"/>
    <x v="0"/>
    <x v="1"/>
    <x v="10"/>
    <s v="Variétal"/>
    <s v="B1-05"/>
    <m/>
    <s v="oui"/>
    <m/>
    <n v="3"/>
    <n v="0.75"/>
    <n v="2.25"/>
  </r>
  <r>
    <d v="2024-01-07T00:00:00"/>
    <x v="5"/>
    <s v="-"/>
    <x v="0"/>
    <x v="17"/>
    <x v="10"/>
    <m/>
    <s v="F2-06"/>
    <m/>
    <s v="oui"/>
    <m/>
    <n v="2"/>
    <n v="0.75"/>
    <n v="1.5"/>
  </r>
  <r>
    <d v="2024-01-07T00:00:00"/>
    <x v="5"/>
    <s v="-"/>
    <x v="0"/>
    <x v="3"/>
    <x v="10"/>
    <m/>
    <s v="B1-06"/>
    <m/>
    <s v="oui"/>
    <m/>
    <n v="2"/>
    <n v="0.75"/>
    <n v="1.5"/>
  </r>
  <r>
    <d v="2024-01-07T00:00:00"/>
    <x v="5"/>
    <s v="-"/>
    <x v="0"/>
    <x v="0"/>
    <x v="10"/>
    <m/>
    <s v="ass"/>
    <m/>
    <s v="oui"/>
    <s v="80% chardonnay variétal + 20% chardonnay supérieur"/>
    <n v="1"/>
    <n v="0.75"/>
    <n v="0.75"/>
  </r>
  <r>
    <d v="2024-01-07T00:00:00"/>
    <x v="5"/>
    <s v="-"/>
    <x v="0"/>
    <x v="49"/>
    <x v="10"/>
    <m/>
    <s v="ass"/>
    <m/>
    <s v="oui"/>
    <m/>
    <n v="1"/>
    <n v="0.75"/>
    <n v="0.75"/>
  </r>
  <r>
    <d v="2024-01-08T00:00:00"/>
    <x v="149"/>
    <s v="-"/>
    <x v="0"/>
    <x v="0"/>
    <x v="10"/>
    <m/>
    <s v="ass"/>
    <m/>
    <s v="oui"/>
    <m/>
    <n v="4"/>
    <n v="0.75"/>
    <n v="3"/>
  </r>
  <r>
    <d v="2024-01-09T00:00:00"/>
    <x v="132"/>
    <s v="-"/>
    <x v="0"/>
    <x v="0"/>
    <x v="10"/>
    <s v="Variétal"/>
    <s v="C1-07"/>
    <m/>
    <s v="oui"/>
    <m/>
    <n v="6"/>
    <n v="0.75"/>
    <n v="4.5"/>
  </r>
  <r>
    <d v="2024-01-09T00:00:00"/>
    <x v="132"/>
    <s v="-"/>
    <x v="0"/>
    <x v="2"/>
    <x v="10"/>
    <m/>
    <s v="H1-04"/>
    <m/>
    <s v="oui"/>
    <m/>
    <n v="6"/>
    <n v="0.75"/>
    <n v="4.5"/>
  </r>
  <r>
    <d v="2024-01-10T00:00:00"/>
    <x v="5"/>
    <s v="-"/>
    <x v="1"/>
    <x v="7"/>
    <x v="10"/>
    <m/>
    <s v="G1-05"/>
    <m/>
    <s v="oui"/>
    <m/>
    <n v="1"/>
    <n v="0.75"/>
    <n v="0.75"/>
  </r>
  <r>
    <d v="2024-01-10T00:00:00"/>
    <x v="2"/>
    <s v="-"/>
    <x v="1"/>
    <x v="174"/>
    <x v="10"/>
    <m/>
    <s v="G1-03"/>
    <m/>
    <s v="oui"/>
    <s v="&quot;Thau rosé&quot;"/>
    <n v="2"/>
    <n v="0.75"/>
    <n v="1.5"/>
  </r>
  <r>
    <d v="2024-01-10T00:00:00"/>
    <x v="2"/>
    <s v="-"/>
    <x v="1"/>
    <x v="160"/>
    <x v="10"/>
    <m/>
    <s v="H1-05"/>
    <m/>
    <s v="oui"/>
    <s v="&quot;Thau rosé&quot;"/>
    <n v="2"/>
    <n v="0.75"/>
    <n v="1.5"/>
  </r>
  <r>
    <d v="2024-01-10T00:00:00"/>
    <x v="2"/>
    <s v="-"/>
    <x v="2"/>
    <x v="175"/>
    <x v="10"/>
    <m/>
    <s v="G1-00"/>
    <m/>
    <s v="oui"/>
    <s v="&quot;Cabernet rouge&quot;"/>
    <n v="2"/>
    <n v="0.75"/>
    <n v="1.5"/>
  </r>
  <r>
    <d v="2024-01-10T00:00:00"/>
    <x v="2"/>
    <s v="-"/>
    <x v="2"/>
    <x v="176"/>
    <x v="10"/>
    <m/>
    <s v="H1-10"/>
    <m/>
    <s v="oui"/>
    <s v="&quot;Cabernet rouge&quot;"/>
    <n v="2"/>
    <n v="0.75"/>
    <n v="1.5"/>
  </r>
  <r>
    <d v="2025-01-23T00:00:00"/>
    <x v="11"/>
    <s v="-"/>
    <x v="2"/>
    <x v="13"/>
    <x v="10"/>
    <s v="thermo"/>
    <s v="C1-6"/>
    <m/>
    <s v="oui"/>
    <m/>
    <n v="1"/>
    <n v="0.75"/>
    <n v="0.75"/>
  </r>
  <r>
    <d v="2025-01-23T00:00:00"/>
    <x v="11"/>
    <s v="-"/>
    <x v="2"/>
    <x v="13"/>
    <x v="10"/>
    <s v="trad"/>
    <s v="J2-9"/>
    <m/>
    <s v="oui"/>
    <m/>
    <n v="1"/>
    <n v="0.75"/>
    <n v="0.75"/>
  </r>
  <r>
    <d v="2025-01-23T00:00:00"/>
    <x v="11"/>
    <s v="-"/>
    <x v="2"/>
    <x v="13"/>
    <x v="10"/>
    <s v="thermo"/>
    <s v="J3-3"/>
    <m/>
    <s v="oui"/>
    <m/>
    <n v="1"/>
    <n v="0.75"/>
    <n v="0.75"/>
  </r>
  <r>
    <d v="2025-02-13T00:00:00"/>
    <x v="65"/>
    <s v="TWS"/>
    <x v="0"/>
    <x v="1"/>
    <x v="10"/>
    <s v="Supérieur"/>
    <s v="B1-04"/>
    <m/>
    <s v="oui"/>
    <m/>
    <n v="3"/>
    <n v="0.75"/>
    <n v="2.25"/>
  </r>
  <r>
    <d v="2025-02-13T00:00:00"/>
    <x v="65"/>
    <s v="TWS"/>
    <x v="0"/>
    <x v="0"/>
    <x v="10"/>
    <s v="Variétal"/>
    <s v="C1-07"/>
    <m/>
    <s v="oui"/>
    <m/>
    <n v="3"/>
    <n v="0.75"/>
    <n v="2.25"/>
  </r>
  <r>
    <d v="2025-02-13T00:00:00"/>
    <x v="65"/>
    <s v="TWS"/>
    <x v="0"/>
    <x v="2"/>
    <x v="10"/>
    <m/>
    <s v="A1-06"/>
    <m/>
    <s v="oui"/>
    <m/>
    <n v="3"/>
    <n v="0.75"/>
    <n v="2.25"/>
  </r>
  <r>
    <d v="2025-02-13T00:00:00"/>
    <x v="65"/>
    <s v="TWS"/>
    <x v="1"/>
    <x v="19"/>
    <x v="10"/>
    <m/>
    <s v="G1-03"/>
    <m/>
    <s v="oui"/>
    <m/>
    <n v="3"/>
    <n v="0.75"/>
    <n v="2.25"/>
  </r>
  <r>
    <d v="2025-02-13T00:00:00"/>
    <x v="65"/>
    <s v="TWS"/>
    <x v="1"/>
    <x v="8"/>
    <x v="10"/>
    <m/>
    <s v="H1-05"/>
    <m/>
    <s v="oui"/>
    <m/>
    <n v="3"/>
    <n v="0.75"/>
    <n v="2.25"/>
  </r>
  <r>
    <d v="2025-02-13T00:00:00"/>
    <x v="65"/>
    <s v="TWS"/>
    <x v="1"/>
    <x v="7"/>
    <x v="10"/>
    <m/>
    <s v="G1-05"/>
    <m/>
    <s v="oui"/>
    <m/>
    <n v="3"/>
    <n v="0.75"/>
    <n v="2.25"/>
  </r>
  <r>
    <d v="2025-02-13T00:00:00"/>
    <x v="65"/>
    <s v="TWS"/>
    <x v="0"/>
    <x v="3"/>
    <x v="10"/>
    <m/>
    <s v="H1-01"/>
    <m/>
    <s v="oui"/>
    <m/>
    <n v="3"/>
    <n v="0.75"/>
    <n v="2.25"/>
  </r>
  <r>
    <d v="2025-02-17T00:00:00"/>
    <x v="2"/>
    <s v="-"/>
    <x v="0"/>
    <x v="9"/>
    <x v="10"/>
    <m/>
    <s v="I1-06"/>
    <m/>
    <s v="oui"/>
    <s v="&quot;Marsanne Lot 1&quot;"/>
    <n v="3"/>
    <n v="0.75"/>
    <n v="2.25"/>
  </r>
  <r>
    <d v="2025-02-17T00:00:00"/>
    <x v="2"/>
    <s v="-"/>
    <x v="0"/>
    <x v="9"/>
    <x v="10"/>
    <m/>
    <s v="C2-07"/>
    <m/>
    <s v="oui"/>
    <s v="&quot;Marsanne Lot 2&quot;"/>
    <n v="3"/>
    <n v="0.75"/>
    <n v="2.25"/>
  </r>
  <r>
    <d v="2025-02-19T00:00:00"/>
    <x v="5"/>
    <s v="-"/>
    <x v="0"/>
    <x v="17"/>
    <x v="10"/>
    <m/>
    <s v="A1-08"/>
    <m/>
    <s v="oui"/>
    <m/>
    <n v="13"/>
    <n v="0.75"/>
    <n v="9.75"/>
  </r>
  <r>
    <d v="2025-02-19T00:00:00"/>
    <x v="5"/>
    <s v="-"/>
    <x v="0"/>
    <x v="49"/>
    <x v="10"/>
    <m/>
    <s v="B1-08"/>
    <m/>
    <s v="oui"/>
    <m/>
    <n v="1"/>
    <n v="0.75"/>
    <n v="0.75"/>
  </r>
  <r>
    <d v="2025-02-19T00:00:00"/>
    <x v="1"/>
    <s v="WSC"/>
    <x v="0"/>
    <x v="2"/>
    <x v="10"/>
    <m/>
    <s v="D2-04"/>
    <m/>
    <s v="oui"/>
    <m/>
    <n v="8"/>
    <n v="0.75"/>
    <n v="6"/>
  </r>
  <r>
    <d v="2025-02-19T00:00:00"/>
    <x v="1"/>
    <s v="WSC"/>
    <x v="0"/>
    <x v="0"/>
    <x v="10"/>
    <m/>
    <s v="C1-07"/>
    <m/>
    <s v="oui"/>
    <m/>
    <n v="8"/>
    <n v="0.75"/>
    <n v="6"/>
  </r>
  <r>
    <d v="2025-02-20T00:00:00"/>
    <x v="65"/>
    <s v="TWS"/>
    <x v="0"/>
    <x v="118"/>
    <x v="10"/>
    <m/>
    <s v="D1-04"/>
    <m/>
    <s v="oui"/>
    <m/>
    <n v="4"/>
    <n v="0.75"/>
    <n v="3"/>
  </r>
  <r>
    <d v="2025-02-21T00:00:00"/>
    <x v="2"/>
    <s v="-"/>
    <x v="0"/>
    <x v="1"/>
    <x v="10"/>
    <s v="Variétal"/>
    <s v="D1-03"/>
    <m/>
    <s v="oui"/>
    <m/>
    <n v="3"/>
    <n v="0.75"/>
    <n v="2.25"/>
  </r>
  <r>
    <d v="2025-02-21T00:00:00"/>
    <x v="2"/>
    <s v="-"/>
    <x v="0"/>
    <x v="1"/>
    <x v="10"/>
    <s v="Supérieur"/>
    <s v="B1-04"/>
    <m/>
    <s v="oui"/>
    <m/>
    <n v="3"/>
    <n v="0.75"/>
    <n v="2.25"/>
  </r>
  <r>
    <d v="2025-02-21T00:00:00"/>
    <x v="2"/>
    <s v="-"/>
    <x v="2"/>
    <x v="177"/>
    <x v="10"/>
    <m/>
    <s v="A1-09"/>
    <m/>
    <s v="oui"/>
    <s v="Cabernet Sauvignon H1-10&quot;"/>
    <n v="2"/>
    <n v="0.75"/>
    <n v="1.5"/>
  </r>
  <r>
    <d v="2025-03-06T00:00:00"/>
    <x v="99"/>
    <s v="Vargoz"/>
    <x v="1"/>
    <x v="178"/>
    <x v="10"/>
    <m/>
    <s v="D2-08"/>
    <m/>
    <s v="oui"/>
    <s v="Rosé Lot 1"/>
    <n v="2"/>
    <n v="0.75"/>
    <n v="1.5"/>
  </r>
  <r>
    <d v="2025-03-06T00:00:00"/>
    <x v="99"/>
    <s v="Vargoz"/>
    <x v="1"/>
    <x v="179"/>
    <x v="10"/>
    <m/>
    <s v="I1-04"/>
    <m/>
    <s v="oui"/>
    <s v="Rosé Lot 2"/>
    <n v="3"/>
    <n v="0.75"/>
    <n v="2.25"/>
  </r>
  <r>
    <d v="2025-03-06T00:00:00"/>
    <x v="99"/>
    <s v="Vargoz"/>
    <x v="1"/>
    <x v="73"/>
    <x v="10"/>
    <m/>
    <s v="F2-01"/>
    <m/>
    <s v="oui"/>
    <s v="Rosé Lot 3"/>
    <n v="3"/>
    <n v="0.75"/>
    <n v="2.25"/>
  </r>
  <r>
    <d v="2025-03-10T00:00:00"/>
    <x v="99"/>
    <s v="Vargoz"/>
    <x v="1"/>
    <x v="38"/>
    <x v="10"/>
    <m/>
    <s v="H1-05"/>
    <m/>
    <s v="oui"/>
    <s v="Contrat rosé "/>
    <n v="2"/>
    <n v="0.75"/>
    <n v="1.5"/>
  </r>
  <r>
    <d v="2025-03-12T00:00:00"/>
    <x v="1"/>
    <s v="Vargoz"/>
    <x v="0"/>
    <x v="21"/>
    <x v="10"/>
    <m/>
    <s v="I1-06"/>
    <m/>
    <s v="oui"/>
    <s v="Vermentino lot 1"/>
    <n v="2"/>
    <n v="0.75"/>
    <n v="1.5"/>
  </r>
  <r>
    <d v="2025-03-12T00:00:00"/>
    <x v="1"/>
    <s v="Vargoz"/>
    <x v="0"/>
    <x v="180"/>
    <x v="10"/>
    <m/>
    <s v="ass"/>
    <m/>
    <s v="oui"/>
    <s v="Vermentino lot 2 85% I1-06 + 15% C2-07 "/>
    <n v="2"/>
    <n v="0.75"/>
    <n v="1.5"/>
  </r>
  <r>
    <d v="2025-03-13T00:00:00"/>
    <x v="81"/>
    <s v="DDM"/>
    <x v="0"/>
    <x v="181"/>
    <x v="10"/>
    <m/>
    <s v="I1-06"/>
    <m/>
    <s v="oui"/>
    <m/>
    <n v="2"/>
    <n v="0.75"/>
    <n v="1.5"/>
  </r>
  <r>
    <d v="2025-03-13T00:00:00"/>
    <x v="81"/>
    <s v="DDM"/>
    <x v="0"/>
    <x v="3"/>
    <x v="10"/>
    <m/>
    <s v="E1-03"/>
    <m/>
    <s v="oui"/>
    <m/>
    <n v="2"/>
    <n v="0.75"/>
    <n v="1.5"/>
  </r>
  <r>
    <d v="2025-03-13T00:00:00"/>
    <x v="81"/>
    <s v="DDM"/>
    <x v="1"/>
    <x v="131"/>
    <x v="10"/>
    <m/>
    <s v="E2-03"/>
    <m/>
    <s v="oui"/>
    <m/>
    <n v="2"/>
    <n v="0.75"/>
    <n v="1.5"/>
  </r>
  <r>
    <d v="2025-03-13T00:00:00"/>
    <x v="81"/>
    <s v="DDM"/>
    <x v="1"/>
    <x v="73"/>
    <x v="10"/>
    <m/>
    <s v="H1-05"/>
    <m/>
    <s v="oui"/>
    <m/>
    <n v="2"/>
    <n v="0.75"/>
    <n v="1.5"/>
  </r>
  <r>
    <d v="2025-03-13T00:00:00"/>
    <x v="81"/>
    <s v="DDM"/>
    <x v="1"/>
    <x v="156"/>
    <x v="10"/>
    <m/>
    <s v="G1-05"/>
    <m/>
    <s v="oui"/>
    <m/>
    <n v="2"/>
    <n v="0.75"/>
    <n v="1.5"/>
  </r>
  <r>
    <d v="2025-03-24T00:00:00"/>
    <x v="99"/>
    <s v="Vargoz"/>
    <x v="1"/>
    <x v="38"/>
    <x v="10"/>
    <m/>
    <s v="H1-05"/>
    <m/>
    <s v="oui"/>
    <s v="Contrat rosé "/>
    <n v="2"/>
    <n v="0.75"/>
    <n v="1.5"/>
  </r>
  <r>
    <d v="2025-05-14T00:00:00"/>
    <x v="99"/>
    <s v="Vargoz"/>
    <x v="1"/>
    <x v="178"/>
    <x v="10"/>
    <m/>
    <s v="D2-08"/>
    <m/>
    <s v="oui"/>
    <s v="Rosé Lot 1"/>
    <n v="2"/>
    <n v="0.75"/>
    <n v="1.5"/>
  </r>
  <r>
    <d v="2025-03-06T00:00:00"/>
    <x v="99"/>
    <s v="Vargoz"/>
    <x v="1"/>
    <x v="179"/>
    <x v="10"/>
    <m/>
    <s v="B1-06"/>
    <m/>
    <s v="oui"/>
    <s v="Rosé Lot 2"/>
    <n v="3"/>
    <n v="0.75"/>
    <n v="2.25"/>
  </r>
  <r>
    <d v="2025-03-06T00:00:00"/>
    <x v="99"/>
    <s v="Vargoz"/>
    <x v="1"/>
    <x v="73"/>
    <x v="10"/>
    <m/>
    <s v="F2-01"/>
    <m/>
    <s v="oui"/>
    <s v="Rosé Lot 3"/>
    <n v="3"/>
    <n v="0.75"/>
    <n v="2.25"/>
  </r>
  <r>
    <d v="2025-05-26T00:00:00"/>
    <x v="113"/>
    <s v="-"/>
    <x v="1"/>
    <x v="131"/>
    <x v="10"/>
    <m/>
    <s v="D2-01"/>
    <m/>
    <s v="oui"/>
    <s v="Marselan rosé"/>
    <n v="2"/>
    <n v="0.75"/>
    <n v="1.5"/>
  </r>
  <r>
    <d v="2025-05-26T00:00:00"/>
    <x v="113"/>
    <s v="-"/>
    <x v="1"/>
    <x v="131"/>
    <x v="10"/>
    <m/>
    <s v="A2-05"/>
    <m/>
    <s v="oui"/>
    <s v="Francine rosé"/>
    <n v="2"/>
    <n v="0.75"/>
    <n v="1.5"/>
  </r>
  <r>
    <d v="2025-05-26T00:00:00"/>
    <x v="113"/>
    <s v="-"/>
    <x v="1"/>
    <x v="131"/>
    <x v="10"/>
    <m/>
    <s v="D1-05"/>
    <m/>
    <s v="oui"/>
    <s v="Marselan rosé Puimisson"/>
    <n v="2"/>
    <n v="0.75"/>
    <n v="1.5"/>
  </r>
  <r>
    <d v="2025-05-26T00:00:00"/>
    <x v="113"/>
    <s v="-"/>
    <x v="1"/>
    <x v="131"/>
    <x v="10"/>
    <m/>
    <s v="E2-05"/>
    <m/>
    <s v="oui"/>
    <s v="65% Nielluccio + 35% Cabernet rosé "/>
    <n v="2"/>
    <n v="0.75"/>
    <n v="1.5"/>
  </r>
  <r>
    <d v="2025-05-26T00:00:00"/>
    <x v="150"/>
    <s v="-"/>
    <x v="0"/>
    <x v="6"/>
    <x v="10"/>
    <m/>
    <s v="C2-06"/>
    <m/>
    <s v="oui"/>
    <m/>
    <n v="2"/>
    <n v="0.75"/>
    <n v="1.5"/>
  </r>
  <r>
    <d v="2025-05-26T00:00:00"/>
    <x v="150"/>
    <s v="-"/>
    <x v="0"/>
    <x v="182"/>
    <x v="10"/>
    <m/>
    <s v="C2-02"/>
    <m/>
    <s v="oui"/>
    <s v="Colombard"/>
    <n v="2"/>
    <n v="0.75"/>
    <n v="1.5"/>
  </r>
  <r>
    <d v="2025-05-26T00:00:00"/>
    <x v="150"/>
    <s v="-"/>
    <x v="0"/>
    <x v="3"/>
    <x v="10"/>
    <m/>
    <s v="D1-06"/>
    <m/>
    <s v="oui"/>
    <m/>
    <n v="2"/>
    <n v="0.75"/>
    <n v="1.5"/>
  </r>
  <r>
    <d v="2025-07-18T00:00:00"/>
    <x v="5"/>
    <s v="-"/>
    <x v="0"/>
    <x v="17"/>
    <x v="10"/>
    <m/>
    <s v="C1-5"/>
    <m/>
    <s v="oui"/>
    <m/>
    <n v="3"/>
    <n v="0.75"/>
    <n v="2.25"/>
  </r>
  <r>
    <d v="2025-07-18T00:00:00"/>
    <x v="65"/>
    <s v="TWS"/>
    <x v="0"/>
    <x v="1"/>
    <x v="10"/>
    <s v="Variétal"/>
    <s v="A1-8"/>
    <m/>
    <s v="oui"/>
    <m/>
    <n v="3"/>
    <n v="0.75"/>
    <n v="2.25"/>
  </r>
  <r>
    <d v="2025-07-21T00:00:00"/>
    <x v="11"/>
    <s v="-"/>
    <x v="0"/>
    <x v="6"/>
    <x v="10"/>
    <s v="Oc Blanc"/>
    <s v="E2-8"/>
    <m/>
    <s v="oui"/>
    <m/>
    <n v="6"/>
    <n v="0.75"/>
    <n v="4.5"/>
  </r>
  <r>
    <d v="2025-08-07T00:00:00"/>
    <x v="65"/>
    <s v="TWS"/>
    <x v="1"/>
    <x v="183"/>
    <x v="10"/>
    <s v="Générique"/>
    <s v="D2-08"/>
    <m/>
    <s v="oui"/>
    <s v="Lot 1"/>
    <n v="2"/>
    <n v="0.75"/>
    <n v="1.5"/>
  </r>
  <r>
    <d v="2025-08-07T00:00:00"/>
    <x v="65"/>
    <s v="TWS"/>
    <x v="1"/>
    <x v="155"/>
    <x v="10"/>
    <s v="Générique"/>
    <s v="D1-06"/>
    <m/>
    <s v="oui"/>
    <s v="Lot 2"/>
    <n v="2"/>
    <n v="0.75"/>
    <n v="1.5"/>
  </r>
  <r>
    <d v="2025-08-07T00:00:00"/>
    <x v="65"/>
    <s v="TWS"/>
    <x v="1"/>
    <x v="179"/>
    <x v="10"/>
    <s v="Générique"/>
    <s v="J3-07"/>
    <m/>
    <s v="oui"/>
    <s v="Lot 3"/>
    <n v="2"/>
    <n v="0.75"/>
    <n v="1.5"/>
  </r>
  <r>
    <d v="2025-08-07T00:00:00"/>
    <x v="65"/>
    <s v="TWS"/>
    <x v="1"/>
    <x v="184"/>
    <x v="10"/>
    <s v="Générique"/>
    <s v="A1-04"/>
    <m/>
    <s v="oui"/>
    <s v="Lot 4"/>
    <n v="2"/>
    <n v="0.75"/>
    <n v="1.5"/>
  </r>
  <r>
    <d v="2025-08-07T00:00:00"/>
    <x v="65"/>
    <s v="TWS"/>
    <x v="1"/>
    <x v="89"/>
    <x v="10"/>
    <s v="Générique"/>
    <s v="C1-03"/>
    <m/>
    <s v="oui"/>
    <s v="Lot 5"/>
    <n v="2"/>
    <n v="0.75"/>
    <n v="1.5"/>
  </r>
  <r>
    <d v="2025-08-07T00:00:00"/>
    <x v="65"/>
    <s v="TWS"/>
    <x v="1"/>
    <x v="185"/>
    <x v="10"/>
    <s v="Générique"/>
    <s v="C1-01"/>
    <m/>
    <s v="oui"/>
    <s v="Lot 6"/>
    <n v="2"/>
    <n v="0.75"/>
    <n v="1.5"/>
  </r>
  <r>
    <d v="2025-08-11T00:00:00"/>
    <x v="151"/>
    <s v="-"/>
    <x v="0"/>
    <x v="186"/>
    <x v="10"/>
    <m/>
    <s v="ass"/>
    <m/>
    <s v="oui"/>
    <s v="&quot;Lot 1&quot; B1-08 13% + A1-06 31%  + 47% A1-07 + 9% J1-10"/>
    <n v="2"/>
    <n v="0.75"/>
    <n v="1.5"/>
  </r>
  <r>
    <d v="2025-08-11T00:00:00"/>
    <x v="151"/>
    <s v="-"/>
    <x v="0"/>
    <x v="186"/>
    <x v="10"/>
    <m/>
    <s v="ass"/>
    <m/>
    <s v="oui"/>
    <s v="&quot;Lot 2&quot;  B1-08 13% + A1-06 31%  + 47% A1-07 + 9% A1-05"/>
    <n v="2"/>
    <n v="0.75"/>
    <n v="1.5"/>
  </r>
  <r>
    <d v="2025-08-12T00:00:00"/>
    <x v="65"/>
    <s v="-"/>
    <x v="4"/>
    <x v="187"/>
    <x v="11"/>
    <m/>
    <s v="A1-04"/>
    <m/>
    <m/>
    <s v="Lot 1"/>
    <n v="2"/>
    <n v="0.75"/>
    <n v="1.5"/>
  </r>
  <r>
    <d v="2025-08-12T00:00:00"/>
    <x v="65"/>
    <s v="-"/>
    <x v="4"/>
    <x v="187"/>
    <x v="11"/>
    <m/>
    <s v="D1-06"/>
    <m/>
    <m/>
    <s v="Lot 2"/>
    <n v="2"/>
    <n v="0.75"/>
    <n v="1.5"/>
  </r>
  <r>
    <d v="2025-10-01T00:00:00"/>
    <x v="152"/>
    <s v="Vargoz"/>
    <x v="0"/>
    <x v="3"/>
    <x v="12"/>
    <m/>
    <s v="ass"/>
    <m/>
    <s v="oui"/>
    <s v="&quot;Lot 1 50%C2-06 + 50% G1-01&quot;"/>
    <n v="4"/>
    <n v="0.75"/>
    <n v="3"/>
  </r>
  <r>
    <d v="2025-10-01T00:00:00"/>
    <x v="152"/>
    <s v="Vargoz"/>
    <x v="1"/>
    <x v="104"/>
    <x v="12"/>
    <m/>
    <s v="G1-06"/>
    <m/>
    <s v="oui"/>
    <s v="&quot;Rosé lot 1&quot;"/>
    <n v="3"/>
    <n v="0.75"/>
    <n v="2.25"/>
  </r>
  <r>
    <d v="2025-10-01T00:00:00"/>
    <x v="152"/>
    <s v="Vargoz"/>
    <x v="1"/>
    <x v="188"/>
    <x v="12"/>
    <m/>
    <s v="B1-10"/>
    <m/>
    <s v="oui"/>
    <s v="&quot;Rosé lot 2&quot;"/>
    <n v="3"/>
    <n v="0.75"/>
    <n v="2.25"/>
  </r>
  <r>
    <d v="2025-10-04T00:00:00"/>
    <x v="153"/>
    <s v="-"/>
    <x v="1"/>
    <x v="104"/>
    <x v="12"/>
    <m/>
    <s v="G1-06"/>
    <m/>
    <m/>
    <m/>
    <n v="3"/>
    <n v="0.75"/>
    <n v="2.25"/>
  </r>
  <r>
    <d v="2025-10-04T00:00:00"/>
    <x v="153"/>
    <s v="-"/>
    <x v="1"/>
    <x v="188"/>
    <x v="12"/>
    <m/>
    <m/>
    <m/>
    <m/>
    <m/>
    <n v="3"/>
    <n v="0.75"/>
    <n v="2.25"/>
  </r>
  <r>
    <d v="2025-10-04T00:00:00"/>
    <x v="153"/>
    <s v="-"/>
    <x v="1"/>
    <x v="188"/>
    <x v="12"/>
    <m/>
    <m/>
    <m/>
    <m/>
    <m/>
    <n v="3"/>
    <n v="0.75"/>
    <n v="2.25"/>
  </r>
  <r>
    <d v="2025-10-08T00:00:00"/>
    <x v="113"/>
    <s v="-"/>
    <x v="0"/>
    <x v="0"/>
    <x v="12"/>
    <m/>
    <n v="3009"/>
    <m/>
    <s v="oui"/>
    <s v="&quot;Chardo 3010&quot;"/>
    <n v="2"/>
    <n v="0.75"/>
    <n v="1.5"/>
  </r>
  <r>
    <d v="2025-10-13T00:00:00"/>
    <x v="113"/>
    <s v="-"/>
    <x v="1"/>
    <x v="174"/>
    <x v="12"/>
    <m/>
    <s v="C1-09"/>
    <m/>
    <s v="oui"/>
    <m/>
    <n v="2"/>
    <n v="0.75"/>
    <n v="1.5"/>
  </r>
  <r>
    <d v="2025-10-13T00:00:00"/>
    <x v="113"/>
    <s v="-"/>
    <x v="1"/>
    <x v="19"/>
    <x v="12"/>
    <m/>
    <s v="G1-06"/>
    <m/>
    <s v="oui"/>
    <m/>
    <n v="2"/>
    <n v="0.75"/>
    <n v="1.5"/>
  </r>
  <r>
    <d v="2025-10-13T00:00:00"/>
    <x v="113"/>
    <s v="-"/>
    <x v="1"/>
    <x v="8"/>
    <x v="12"/>
    <m/>
    <s v="D1-00"/>
    <m/>
    <s v="oui"/>
    <m/>
    <n v="2"/>
    <n v="0.75"/>
    <n v="1.5"/>
  </r>
  <r>
    <d v="2025-10-13T00:00:00"/>
    <x v="113"/>
    <s v="-"/>
    <x v="1"/>
    <x v="160"/>
    <x v="12"/>
    <m/>
    <s v="H1-05"/>
    <m/>
    <s v="oui"/>
    <m/>
    <n v="2"/>
    <n v="0.75"/>
    <n v="1.5"/>
  </r>
  <r>
    <d v="2025-10-13T00:00:00"/>
    <x v="113"/>
    <s v="-"/>
    <x v="1"/>
    <x v="174"/>
    <x v="12"/>
    <m/>
    <s v="C1-08"/>
    <m/>
    <s v="oui"/>
    <m/>
    <n v="2"/>
    <n v="0.75"/>
    <n v="1.5"/>
  </r>
  <r>
    <d v="2025-10-13T00:00:00"/>
    <x v="113"/>
    <s v="-"/>
    <x v="1"/>
    <x v="174"/>
    <x v="12"/>
    <m/>
    <s v="D1-07"/>
    <m/>
    <s v="oui"/>
    <m/>
    <n v="2"/>
    <n v="0.75"/>
    <n v="1.5"/>
  </r>
  <r>
    <d v="2025-10-13T00:00:00"/>
    <x v="113"/>
    <s v="-"/>
    <x v="1"/>
    <x v="19"/>
    <x v="12"/>
    <m/>
    <s v="H1-07"/>
    <m/>
    <s v="oui"/>
    <m/>
    <n v="2"/>
    <n v="0.75"/>
    <n v="1.5"/>
  </r>
  <r>
    <d v="2025-10-14T00:00:00"/>
    <x v="1"/>
    <s v="WSC"/>
    <x v="1"/>
    <x v="174"/>
    <x v="12"/>
    <m/>
    <s v="C1-09"/>
    <m/>
    <s v="oui"/>
    <s v="&quot;Grenache rosé&quot;"/>
    <n v="3"/>
    <n v="0.75"/>
    <n v="2.25"/>
  </r>
  <r>
    <d v="2025-10-14T00:00:00"/>
    <x v="1"/>
    <s v="WSC"/>
    <x v="1"/>
    <x v="189"/>
    <x v="12"/>
    <m/>
    <s v="C1-10"/>
    <m/>
    <s v="oui"/>
    <s v="&quot;Grenache rosé&quot;"/>
    <n v="3"/>
    <n v="0.75"/>
    <n v="2.25"/>
  </r>
  <r>
    <d v="2025-10-14T00:00:00"/>
    <x v="1"/>
    <s v="WSC"/>
    <x v="1"/>
    <x v="4"/>
    <x v="12"/>
    <m/>
    <s v="A1-07"/>
    <m/>
    <s v="oui"/>
    <m/>
    <n v="3"/>
    <n v="0.75"/>
    <n v="2.25"/>
  </r>
  <r>
    <d v="2025-10-14T00:00:00"/>
    <x v="1"/>
    <s v="WSC"/>
    <x v="1"/>
    <x v="8"/>
    <x v="12"/>
    <m/>
    <s v="D1-00"/>
    <m/>
    <s v="oui"/>
    <m/>
    <n v="3"/>
    <n v="0.75"/>
    <n v="2.25"/>
  </r>
  <r>
    <d v="2025-10-20T00:00:00"/>
    <x v="154"/>
    <s v="Vargoz"/>
    <x v="1"/>
    <x v="119"/>
    <x v="12"/>
    <m/>
    <s v="ass"/>
    <m/>
    <s v="oui"/>
    <s v="  +3% &quot;Oc générique Rosé 1&quot;"/>
    <n v="3"/>
    <n v="0.75"/>
    <n v="2.25"/>
  </r>
  <r>
    <d v="2025-10-20T00:00:00"/>
    <x v="154"/>
    <s v="Vargoz"/>
    <x v="1"/>
    <x v="13"/>
    <x v="12"/>
    <m/>
    <s v="ass"/>
    <m/>
    <s v="oui"/>
    <s v=" +3 % &quot;Oc générique Rosé 2&quot;"/>
    <n v="3"/>
    <n v="0.75"/>
    <n v="2.25"/>
  </r>
  <r>
    <d v="2025-10-20T00:00:00"/>
    <x v="99"/>
    <s v="Vargoz"/>
    <x v="0"/>
    <x v="0"/>
    <x v="12"/>
    <m/>
    <n v="3010"/>
    <m/>
    <s v="oui"/>
    <m/>
    <n v="3"/>
    <n v="0.75"/>
    <n v="2.25"/>
  </r>
  <r>
    <d v="2025-10-20T00:00:00"/>
    <x v="155"/>
    <s v="-"/>
    <x v="1"/>
    <x v="19"/>
    <x v="12"/>
    <m/>
    <s v="G1-06"/>
    <m/>
    <s v="oui"/>
    <s v="&quot;Oc générique Rosé&quot;"/>
    <n v="1"/>
    <n v="0.75"/>
    <n v="0.75"/>
  </r>
  <r>
    <d v="2025-10-20T00:00:00"/>
    <x v="155"/>
    <s v="-"/>
    <x v="1"/>
    <x v="22"/>
    <x v="12"/>
    <m/>
    <s v="H1-07"/>
    <m/>
    <s v="oui"/>
    <s v="&quot;Oc générique Rosé 1&quot;"/>
    <n v="1"/>
    <n v="0.75"/>
    <n v="0.75"/>
  </r>
  <r>
    <d v="2025-10-20T00:00:00"/>
    <x v="155"/>
    <s v="-"/>
    <x v="1"/>
    <x v="22"/>
    <x v="12"/>
    <m/>
    <s v="D1-07"/>
    <m/>
    <s v="oui"/>
    <s v="&quot;Oc générique Rosé 2&quot;"/>
    <n v="1"/>
    <n v="0.75"/>
    <n v="0.75"/>
  </r>
  <r>
    <d v="2025-10-20T00:00:00"/>
    <x v="155"/>
    <s v="-"/>
    <x v="1"/>
    <x v="8"/>
    <x v="12"/>
    <m/>
    <s v="H1-03"/>
    <m/>
    <s v="oui"/>
    <s v="&quot;Oc cinsault Rosé&quot;"/>
    <n v="1"/>
    <n v="0.75"/>
    <n v="0.75"/>
  </r>
  <r>
    <d v="2025-10-20T00:00:00"/>
    <x v="2"/>
    <s v="-"/>
    <x v="2"/>
    <x v="190"/>
    <x v="10"/>
    <m/>
    <s v="A2-02"/>
    <m/>
    <m/>
    <s v="&quot;Merlot rouge&quot;"/>
    <n v="2"/>
    <n v="0.75"/>
    <n v="1.5"/>
  </r>
  <r>
    <d v="2025-10-20T00:00:00"/>
    <x v="2"/>
    <s v="-"/>
    <x v="2"/>
    <x v="191"/>
    <x v="10"/>
    <m/>
    <s v="D2-08"/>
    <m/>
    <m/>
    <s v="&quot;Merlot rouge&quot;"/>
    <n v="2"/>
    <n v="0.75"/>
    <n v="1.5"/>
  </r>
  <r>
    <d v="2025-10-20T00:00:00"/>
    <x v="2"/>
    <s v="-"/>
    <x v="2"/>
    <x v="192"/>
    <x v="10"/>
    <m/>
    <s v="F1-02"/>
    <m/>
    <m/>
    <s v="&quot;Merlot rouge&quot;"/>
    <n v="2"/>
    <n v="0.75"/>
    <n v="1.5"/>
  </r>
  <r>
    <d v="2025-10-20T00:00:00"/>
    <x v="2"/>
    <s v="-"/>
    <x v="2"/>
    <x v="193"/>
    <x v="10"/>
    <m/>
    <s v="D2-07"/>
    <m/>
    <m/>
    <s v="&quot;Cabernet rouge&quot;"/>
    <n v="2"/>
    <n v="0.75"/>
    <n v="1.5"/>
  </r>
  <r>
    <d v="2025-10-20T00:00:00"/>
    <x v="2"/>
    <s v="-"/>
    <x v="2"/>
    <x v="194"/>
    <x v="10"/>
    <m/>
    <s v="E2-02"/>
    <m/>
    <m/>
    <s v="&quot;Cabernet rouge&quot;"/>
    <n v="2"/>
    <n v="0.75"/>
    <n v="1.5"/>
  </r>
  <r>
    <d v="2025-10-20T00:00:00"/>
    <x v="2"/>
    <s v="-"/>
    <x v="1"/>
    <x v="178"/>
    <x v="12"/>
    <m/>
    <s v="ass"/>
    <m/>
    <m/>
    <m/>
    <n v="2"/>
    <n v="0.75"/>
    <n v="1.5"/>
  </r>
  <r>
    <d v="2025-10-20T00:00:00"/>
    <x v="2"/>
    <s v="-"/>
    <x v="1"/>
    <x v="195"/>
    <x v="12"/>
    <m/>
    <s v="ass"/>
    <m/>
    <m/>
    <s v="&quot;Lot 1&quot;"/>
    <n v="2"/>
    <n v="0.75"/>
    <n v="1.5"/>
  </r>
  <r>
    <d v="2025-10-20T00:00:00"/>
    <x v="2"/>
    <s v="-"/>
    <x v="1"/>
    <x v="196"/>
    <x v="12"/>
    <m/>
    <s v="ass"/>
    <m/>
    <m/>
    <s v="&quot;Lot 2&quot;"/>
    <n v="2"/>
    <n v="0.75"/>
    <n v="1.5"/>
  </r>
  <r>
    <d v="2025-10-20T00:00:00"/>
    <x v="2"/>
    <s v="-"/>
    <x v="1"/>
    <x v="73"/>
    <x v="12"/>
    <m/>
    <s v="ass"/>
    <m/>
    <m/>
    <m/>
    <n v="2"/>
    <n v="0.75"/>
    <n v="1.5"/>
  </r>
  <r>
    <d v="2025-10-20T00:00:00"/>
    <x v="2"/>
    <s v="-"/>
    <x v="1"/>
    <x v="156"/>
    <x v="12"/>
    <m/>
    <s v="G1-06"/>
    <m/>
    <m/>
    <m/>
    <n v="2"/>
    <n v="0.75"/>
    <n v="1.5"/>
  </r>
  <r>
    <d v="2025-10-20T00:00:00"/>
    <x v="2"/>
    <s v="-"/>
    <x v="1"/>
    <x v="130"/>
    <x v="12"/>
    <m/>
    <s v="ass"/>
    <m/>
    <m/>
    <m/>
    <n v="2"/>
    <n v="0.75"/>
    <n v="1.5"/>
  </r>
  <r>
    <d v="2025-10-20T00:00:00"/>
    <x v="156"/>
    <s v="Vargoz"/>
    <x v="1"/>
    <x v="119"/>
    <x v="12"/>
    <m/>
    <s v="ass"/>
    <m/>
    <m/>
    <m/>
    <n v="2"/>
    <n v="0.75"/>
    <n v="1.5"/>
  </r>
  <r>
    <d v="2025-10-20T00:00:00"/>
    <x v="156"/>
    <s v="Vargoz"/>
    <x v="1"/>
    <x v="8"/>
    <x v="12"/>
    <m/>
    <s v="ass"/>
    <m/>
    <m/>
    <m/>
    <n v="2"/>
    <n v="0.75"/>
    <n v="1.5"/>
  </r>
  <r>
    <d v="2025-10-20T00:00:00"/>
    <x v="156"/>
    <s v="Vargoz"/>
    <x v="1"/>
    <x v="196"/>
    <x v="12"/>
    <m/>
    <s v="ass"/>
    <m/>
    <m/>
    <m/>
    <n v="2"/>
    <n v="0.75"/>
    <n v="1.5"/>
  </r>
  <r>
    <d v="2025-10-20T00:00:00"/>
    <x v="156"/>
    <s v="Vargoz"/>
    <x v="1"/>
    <x v="7"/>
    <x v="12"/>
    <m/>
    <s v="G1-06"/>
    <m/>
    <m/>
    <m/>
    <n v="2"/>
    <n v="0.75"/>
    <n v="1.5"/>
  </r>
  <r>
    <d v="2025-10-21T00:00:00"/>
    <x v="1"/>
    <s v="WSC"/>
    <x v="1"/>
    <x v="131"/>
    <x v="12"/>
    <m/>
    <s v="C1-09"/>
    <m/>
    <m/>
    <m/>
    <n v="6"/>
    <n v="0.75"/>
    <n v="4.5"/>
  </r>
  <r>
    <d v="2025-10-21T00:00:00"/>
    <x v="1"/>
    <s v="WSC"/>
    <x v="1"/>
    <x v="131"/>
    <x v="12"/>
    <m/>
    <s v="C1-10"/>
    <m/>
    <m/>
    <m/>
    <n v="6"/>
    <n v="0.75"/>
    <n v="4.5"/>
  </r>
  <r>
    <d v="2025-10-21T00:00:00"/>
    <x v="1"/>
    <s v="WSC"/>
    <x v="1"/>
    <x v="130"/>
    <x v="12"/>
    <m/>
    <s v="A1-07"/>
    <m/>
    <m/>
    <m/>
    <n v="6"/>
    <n v="0.75"/>
    <n v="4.5"/>
  </r>
  <r>
    <d v="2025-10-22T00:00:00"/>
    <x v="1"/>
    <s v="TWS"/>
    <x v="0"/>
    <x v="3"/>
    <x v="12"/>
    <m/>
    <s v="H1-10"/>
    <m/>
    <m/>
    <m/>
    <n v="4"/>
    <n v="0.75"/>
    <n v="3"/>
  </r>
  <r>
    <d v="2025-10-22T00:00:00"/>
    <x v="1"/>
    <s v="TWS"/>
    <x v="0"/>
    <x v="3"/>
    <x v="12"/>
    <m/>
    <s v="B2-02"/>
    <m/>
    <m/>
    <m/>
    <n v="4"/>
    <n v="0.75"/>
    <n v="3"/>
  </r>
  <r>
    <d v="2025-10-24T00:00:00"/>
    <x v="5"/>
    <m/>
    <x v="1"/>
    <x v="187"/>
    <x v="12"/>
    <m/>
    <s v="D1-9"/>
    <m/>
    <m/>
    <s v="Cap Rosé Petit Degré "/>
    <n v="3"/>
    <n v="0.75"/>
    <n v="2.25"/>
  </r>
  <r>
    <d v="2025-10-24T00:00:00"/>
    <x v="5"/>
    <m/>
    <x v="1"/>
    <x v="187"/>
    <x v="12"/>
    <m/>
    <s v="G1-4"/>
    <m/>
    <m/>
    <s v="Cap d'Agde Gros Degré "/>
    <n v="3"/>
    <n v="0.75"/>
    <n v="2.25"/>
  </r>
  <r>
    <d v="2025-10-24T00:00:00"/>
    <x v="5"/>
    <m/>
    <x v="0"/>
    <x v="0"/>
    <x v="12"/>
    <m/>
    <s v="E1-2"/>
    <m/>
    <m/>
    <s v="Chardonnay Casher "/>
    <n v="3"/>
    <n v="0.75"/>
    <n v="2.25"/>
  </r>
  <r>
    <d v="2025-10-24T00:00:00"/>
    <x v="5"/>
    <m/>
    <x v="2"/>
    <x v="149"/>
    <x v="12"/>
    <m/>
    <s v="J1-1"/>
    <m/>
    <m/>
    <s v="Cabernet Casher "/>
    <n v="3"/>
    <n v="0.75"/>
    <n v="2.25"/>
  </r>
  <r>
    <d v="2025-10-24T00:00:00"/>
    <x v="5"/>
    <m/>
    <x v="1"/>
    <x v="160"/>
    <x v="12"/>
    <m/>
    <s v="C1-5"/>
    <m/>
    <m/>
    <s v="Cinsault Rosé Casher"/>
    <n v="3"/>
    <n v="0.75"/>
    <n v="2.25"/>
  </r>
  <r>
    <d v="2025-10-24T00:00:00"/>
    <x v="5"/>
    <m/>
    <x v="1"/>
    <x v="160"/>
    <x v="12"/>
    <m/>
    <s v="C1-5"/>
    <m/>
    <m/>
    <s v="Cap d'Agde Rosé Casher "/>
    <n v="3"/>
    <n v="0.75"/>
    <n v="2.25"/>
  </r>
  <r>
    <d v="2025-10-28T00:00:00"/>
    <x v="145"/>
    <m/>
    <x v="0"/>
    <x v="83"/>
    <x v="12"/>
    <m/>
    <s v="ass"/>
    <m/>
    <m/>
    <s v="Chardonnay Supérieur "/>
    <n v="6"/>
    <n v="0.75"/>
    <n v="4.5"/>
  </r>
  <r>
    <d v="2025-10-28T00:00:00"/>
    <x v="145"/>
    <m/>
    <x v="1"/>
    <x v="160"/>
    <x v="12"/>
    <m/>
    <s v="ass "/>
    <m/>
    <m/>
    <s v="Cinsault Rosé "/>
    <n v="6"/>
    <n v="0.75"/>
    <n v="4.5"/>
  </r>
  <r>
    <d v="2025-10-28T00:00:00"/>
    <x v="145"/>
    <m/>
    <x v="1"/>
    <x v="174"/>
    <x v="12"/>
    <m/>
    <s v="ass "/>
    <m/>
    <m/>
    <s v="Grenache Rosé"/>
    <n v="6"/>
    <n v="0.75"/>
    <n v="4.5"/>
  </r>
  <r>
    <d v="2025-10-28T00:00:00"/>
    <x v="145"/>
    <m/>
    <x v="1"/>
    <x v="135"/>
    <x v="12"/>
    <m/>
    <s v="ass"/>
    <m/>
    <m/>
    <s v="Syrah Rosé "/>
    <n v="6"/>
    <n v="0.75"/>
    <n v="4.5"/>
  </r>
  <r>
    <d v="2025-10-28T00:00:00"/>
    <x v="157"/>
    <m/>
    <x v="0"/>
    <x v="1"/>
    <x v="12"/>
    <m/>
    <s v="ass"/>
    <m/>
    <m/>
    <s v="Sauvignon Supérieur "/>
    <n v="2"/>
    <n v="0.75"/>
    <n v="1.5"/>
  </r>
  <r>
    <d v="2025-10-28T00:00:00"/>
    <x v="158"/>
    <m/>
    <x v="0"/>
    <x v="167"/>
    <x v="12"/>
    <m/>
    <s v="ass"/>
    <m/>
    <m/>
    <s v="Sauvignon Supérieur "/>
    <n v="3"/>
    <n v="0.75"/>
    <n v="2.25"/>
  </r>
  <r>
    <d v="2025-10-28T00:00:00"/>
    <x v="158"/>
    <m/>
    <x v="0"/>
    <x v="167"/>
    <x v="12"/>
    <m/>
    <s v="ass"/>
    <m/>
    <m/>
    <s v="Sauvignon Variétal"/>
    <n v="3"/>
    <n v="0.75"/>
    <n v="2.25"/>
  </r>
  <r>
    <d v="2025-10-28T00:00:00"/>
    <x v="122"/>
    <m/>
    <x v="1"/>
    <x v="8"/>
    <x v="12"/>
    <m/>
    <s v="ass "/>
    <m/>
    <m/>
    <s v="Cinsault Rosé"/>
    <n v="3"/>
    <n v="0.75"/>
    <n v="2.25"/>
  </r>
  <r>
    <d v="2025-10-28T00:00:00"/>
    <x v="122"/>
    <m/>
    <x v="1"/>
    <x v="19"/>
    <x v="12"/>
    <m/>
    <s v="ass "/>
    <m/>
    <m/>
    <s v="Grenache Rosé +"/>
    <n v="3"/>
    <n v="0.75"/>
    <n v="2.25"/>
  </r>
  <r>
    <d v="2025-10-28T00:00:00"/>
    <x v="122"/>
    <m/>
    <x v="1"/>
    <x v="19"/>
    <x v="12"/>
    <m/>
    <s v="ass "/>
    <m/>
    <m/>
    <s v="Grenache Rosé "/>
    <n v="3"/>
    <n v="0.75"/>
    <n v="2.25"/>
  </r>
  <r>
    <d v="2025-10-28T00:00:00"/>
    <x v="122"/>
    <m/>
    <x v="1"/>
    <x v="135"/>
    <x v="12"/>
    <m/>
    <s v="ass "/>
    <m/>
    <m/>
    <s v="Syrah Rosé"/>
    <n v="3"/>
    <n v="0.75"/>
    <n v="2.25"/>
  </r>
  <r>
    <d v="2025-10-28T00:00:00"/>
    <x v="159"/>
    <m/>
    <x v="0"/>
    <x v="83"/>
    <x v="12"/>
    <m/>
    <s v="ass "/>
    <m/>
    <m/>
    <s v="Chardonnay Variétal "/>
    <n v="4"/>
    <n v="0.75"/>
    <n v="3"/>
  </r>
  <r>
    <d v="2025-10-28T00:00:00"/>
    <x v="159"/>
    <m/>
    <x v="0"/>
    <x v="83"/>
    <x v="12"/>
    <m/>
    <s v="ass "/>
    <m/>
    <m/>
    <s v="Chardonnay Supérieur "/>
    <n v="4"/>
    <n v="0.75"/>
    <n v="3"/>
  </r>
  <r>
    <d v="2025-10-28T00:00:00"/>
    <x v="159"/>
    <m/>
    <x v="0"/>
    <x v="103"/>
    <x v="12"/>
    <m/>
    <s v="ass "/>
    <m/>
    <m/>
    <s v="Viognier vrac "/>
    <n v="4"/>
    <n v="0.75"/>
    <n v="3"/>
  </r>
  <r>
    <d v="2025-10-28T00:00:00"/>
    <x v="159"/>
    <m/>
    <x v="0"/>
    <x v="197"/>
    <x v="12"/>
    <m/>
    <s v="ass "/>
    <m/>
    <m/>
    <s v="Générique blanc "/>
    <n v="4"/>
    <n v="0.75"/>
    <n v="3"/>
  </r>
  <r>
    <d v="2025-10-30T00:00:00"/>
    <x v="81"/>
    <m/>
    <x v="0"/>
    <x v="83"/>
    <x v="12"/>
    <m/>
    <s v="ass"/>
    <m/>
    <m/>
    <s v="Chardonnay Supérieur "/>
    <n v="4"/>
    <n v="0.75"/>
    <n v="3"/>
  </r>
  <r>
    <d v="2025-10-30T00:00:00"/>
    <x v="81"/>
    <m/>
    <x v="0"/>
    <x v="167"/>
    <x v="12"/>
    <m/>
    <s v="ass"/>
    <m/>
    <m/>
    <s v="Sauvignon Supérieur "/>
    <n v="4"/>
    <n v="0.75"/>
    <n v="3"/>
  </r>
  <r>
    <d v="2025-10-30T00:00:00"/>
    <x v="81"/>
    <m/>
    <x v="0"/>
    <x v="167"/>
    <x v="12"/>
    <m/>
    <s v="ass "/>
    <m/>
    <m/>
    <s v="Sauvignon Variétal "/>
    <n v="4"/>
    <n v="0.75"/>
    <n v="3"/>
  </r>
  <r>
    <d v="2025-10-30T00:00:00"/>
    <x v="81"/>
    <m/>
    <x v="0"/>
    <x v="198"/>
    <x v="12"/>
    <m/>
    <s v="F1-8"/>
    <m/>
    <m/>
    <s v="Oc Orange "/>
    <n v="3"/>
    <n v="0.75"/>
    <n v="2.25"/>
  </r>
  <r>
    <d v="2025-10-30T00:00:00"/>
    <x v="81"/>
    <m/>
    <x v="5"/>
    <x v="199"/>
    <x v="12"/>
    <m/>
    <s v="K1-2"/>
    <m/>
    <m/>
    <s v="Oc Orange "/>
    <n v="3"/>
    <n v="0.75"/>
    <n v="2.25"/>
  </r>
  <r>
    <d v="2025-10-30T00:00:00"/>
    <x v="81"/>
    <m/>
    <x v="5"/>
    <x v="200"/>
    <x v="12"/>
    <m/>
    <s v="A1-2"/>
    <m/>
    <m/>
    <s v="Orange "/>
    <n v="3"/>
    <n v="0.75"/>
    <n v="2.25"/>
  </r>
  <r>
    <d v="2025-10-30T00:00:00"/>
    <x v="81"/>
    <m/>
    <x v="5"/>
    <x v="200"/>
    <x v="12"/>
    <m/>
    <s v="J2-10"/>
    <m/>
    <m/>
    <s v="Orange "/>
    <n v="3"/>
    <n v="0.75"/>
    <n v="2.25"/>
  </r>
  <r>
    <d v="2025-10-30T00:00:00"/>
    <x v="160"/>
    <m/>
    <x v="0"/>
    <x v="103"/>
    <x v="12"/>
    <m/>
    <s v="ass"/>
    <m/>
    <m/>
    <s v="Viognier vrac"/>
    <n v="4"/>
    <n v="0.75"/>
    <n v="3"/>
  </r>
  <r>
    <d v="2025-10-30T00:00:00"/>
    <x v="160"/>
    <m/>
    <x v="0"/>
    <x v="1"/>
    <x v="12"/>
    <m/>
    <s v="ass"/>
    <m/>
    <m/>
    <s v="Sauvignon Supérieur "/>
    <n v="4"/>
    <n v="0.75"/>
    <n v="3"/>
  </r>
  <r>
    <d v="2025-10-30T00:00:00"/>
    <x v="160"/>
    <m/>
    <x v="0"/>
    <x v="167"/>
    <x v="12"/>
    <m/>
    <s v="ass"/>
    <m/>
    <m/>
    <s v="Sauvignon Variétal "/>
    <n v="4"/>
    <n v="0.75"/>
    <n v="3"/>
  </r>
  <r>
    <d v="2025-10-30T00:00:00"/>
    <x v="160"/>
    <m/>
    <x v="0"/>
    <x v="83"/>
    <x v="12"/>
    <m/>
    <s v="ass"/>
    <m/>
    <m/>
    <s v="Chardonnay Supérieur "/>
    <n v="4"/>
    <n v="0.75"/>
    <n v="3"/>
  </r>
  <r>
    <d v="2025-10-30T00:00:00"/>
    <x v="160"/>
    <m/>
    <x v="0"/>
    <x v="83"/>
    <x v="12"/>
    <m/>
    <s v="ass"/>
    <m/>
    <m/>
    <s v="Chardonnay Variétal "/>
    <n v="4"/>
    <n v="0.75"/>
    <n v="3"/>
  </r>
  <r>
    <d v="2025-10-30T00:00:00"/>
    <x v="161"/>
    <m/>
    <x v="0"/>
    <x v="20"/>
    <x v="12"/>
    <m/>
    <s v="B1-10"/>
    <m/>
    <m/>
    <s v="Colombard "/>
    <n v="3"/>
    <n v="0.75"/>
    <n v="2.25"/>
  </r>
  <r>
    <d v="2025-10-30T00:00:00"/>
    <x v="161"/>
    <m/>
    <x v="0"/>
    <x v="21"/>
    <x v="12"/>
    <m/>
    <s v="ass"/>
    <m/>
    <m/>
    <s v="Vermentino"/>
    <n v="3"/>
    <n v="0.75"/>
    <n v="2.25"/>
  </r>
  <r>
    <d v="2025-10-30T00:00:00"/>
    <x v="161"/>
    <m/>
    <x v="0"/>
    <x v="83"/>
    <x v="12"/>
    <m/>
    <s v="ass"/>
    <m/>
    <m/>
    <s v="Chardonnay Variétal "/>
    <n v="3"/>
    <n v="0.75"/>
    <n v="2.25"/>
  </r>
  <r>
    <d v="2025-10-30T00:00:00"/>
    <x v="161"/>
    <m/>
    <x v="0"/>
    <x v="83"/>
    <x v="12"/>
    <m/>
    <s v="ass"/>
    <m/>
    <m/>
    <s v="Chardonnay Supérieur "/>
    <n v="3"/>
    <n v="0.75"/>
    <n v="2.25"/>
  </r>
  <r>
    <d v="2025-10-30T00:00:00"/>
    <x v="161"/>
    <m/>
    <x v="0"/>
    <x v="167"/>
    <x v="12"/>
    <m/>
    <s v="ass"/>
    <m/>
    <m/>
    <s v="Sauvignon Variétal &quot;D1-10&quot;"/>
    <n v="3"/>
    <n v="0.75"/>
    <n v="2.25"/>
  </r>
  <r>
    <d v="2025-10-30T00:00:00"/>
    <x v="161"/>
    <m/>
    <x v="0"/>
    <x v="167"/>
    <x v="12"/>
    <m/>
    <s v="ass"/>
    <m/>
    <m/>
    <s v="Sauvignon Supérieur &quot;C1-7&quot;"/>
    <n v="3"/>
    <n v="0.75"/>
    <n v="2.25"/>
  </r>
  <r>
    <d v="2025-10-30T00:00:00"/>
    <x v="162"/>
    <m/>
    <x v="1"/>
    <x v="56"/>
    <x v="12"/>
    <m/>
    <s v="B1-9"/>
    <m/>
    <m/>
    <s v="Cap d'Agde Rosé Gros degré "/>
    <n v="1"/>
    <n v="0.75"/>
    <n v="0.75"/>
  </r>
  <r>
    <d v="2025-10-30T00:00:00"/>
    <x v="162"/>
    <m/>
    <x v="1"/>
    <x v="56"/>
    <x v="12"/>
    <m/>
    <s v="G1-4"/>
    <m/>
    <m/>
    <s v="Cap d'Agde Rosé Petit degré "/>
    <n v="1"/>
    <n v="0.75"/>
    <n v="0.75"/>
  </r>
  <r>
    <d v="2025-10-30T00:00:00"/>
    <x v="163"/>
    <m/>
    <x v="1"/>
    <x v="188"/>
    <x v="12"/>
    <m/>
    <s v="ass"/>
    <m/>
    <m/>
    <s v="Grenache Rosé +"/>
    <n v="2"/>
    <n v="0.75"/>
    <n v="1.5"/>
  </r>
  <r>
    <d v="2025-10-30T00:00:00"/>
    <x v="163"/>
    <m/>
    <x v="1"/>
    <x v="188"/>
    <x v="12"/>
    <m/>
    <s v="ass"/>
    <m/>
    <m/>
    <s v="Grenache Rosé "/>
    <n v="2"/>
    <n v="0.75"/>
    <n v="1.5"/>
  </r>
  <r>
    <d v="2025-10-30T00:00:00"/>
    <x v="164"/>
    <m/>
    <x v="0"/>
    <x v="0"/>
    <x v="12"/>
    <m/>
    <n v="3010"/>
    <m/>
    <m/>
    <s v="Chardonnay "/>
    <n v="2"/>
    <n v="0.75"/>
    <n v="1.5"/>
  </r>
  <r>
    <d v="2025-10-30T00:00:00"/>
    <x v="142"/>
    <m/>
    <x v="0"/>
    <x v="167"/>
    <x v="12"/>
    <m/>
    <s v="D1-10"/>
    <m/>
    <m/>
    <s v="Sauvignon Variétal "/>
    <n v="3"/>
    <n v="0.75"/>
    <n v="2.25"/>
  </r>
  <r>
    <d v="2025-10-30T00:00:00"/>
    <x v="159"/>
    <m/>
    <x v="1"/>
    <x v="201"/>
    <x v="12"/>
    <m/>
    <s v="ass "/>
    <m/>
    <m/>
    <s v="Nielluccio Rosé"/>
    <n v="3"/>
    <n v="0.75"/>
    <n v="2.25"/>
  </r>
  <r>
    <d v="2025-11-04T00:00:00"/>
    <x v="165"/>
    <m/>
    <x v="1"/>
    <x v="188"/>
    <x v="12"/>
    <m/>
    <s v="D1-7"/>
    <m/>
    <m/>
    <s v="Grenache Rosé  "/>
    <n v="2"/>
    <m/>
    <m/>
  </r>
  <r>
    <d v="2025-11-04T00:00:00"/>
    <x v="165"/>
    <m/>
    <x v="1"/>
    <x v="188"/>
    <x v="12"/>
    <m/>
    <s v="E1-8 ex C1-8"/>
    <m/>
    <m/>
    <s v="Grenache Rosé   "/>
    <n v="2"/>
    <m/>
    <m/>
  </r>
  <r>
    <d v="2025-11-04T00:00:00"/>
    <x v="165"/>
    <m/>
    <x v="1"/>
    <x v="202"/>
    <x v="12"/>
    <m/>
    <s v="H1-7"/>
    <m/>
    <m/>
    <m/>
    <m/>
    <m/>
    <m/>
  </r>
  <r>
    <d v="2025-11-04T00:00:00"/>
    <x v="165"/>
    <m/>
    <x v="1"/>
    <x v="202"/>
    <x v="12"/>
    <m/>
    <s v="H1-5"/>
    <m/>
    <m/>
    <m/>
    <m/>
    <m/>
    <m/>
  </r>
  <r>
    <d v="2025-11-04T00:00:00"/>
    <x v="165"/>
    <m/>
    <x v="0"/>
    <x v="126"/>
    <x v="12"/>
    <m/>
    <s v="D1-10 "/>
    <m/>
    <m/>
    <s v="Sauvignon Variétal"/>
    <m/>
    <m/>
    <m/>
  </r>
  <r>
    <d v="2025-11-04T00:00:00"/>
    <x v="165"/>
    <m/>
    <x v="0"/>
    <x v="203"/>
    <x v="12"/>
    <m/>
    <s v="C1-7"/>
    <m/>
    <m/>
    <s v="Sauvignon Supérieur "/>
    <m/>
    <m/>
    <m/>
  </r>
  <r>
    <d v="2025-11-05T00:00:00"/>
    <x v="166"/>
    <m/>
    <x v="0"/>
    <x v="83"/>
    <x v="12"/>
    <m/>
    <s v="ass"/>
    <m/>
    <m/>
    <s v="Chardonnay variétal "/>
    <n v="3"/>
    <n v="0.75"/>
    <n v="2.25"/>
  </r>
  <r>
    <d v="2025-11-05T00:00:00"/>
    <x v="166"/>
    <m/>
    <x v="0"/>
    <x v="83"/>
    <x v="12"/>
    <m/>
    <s v="ass"/>
    <m/>
    <m/>
    <s v="Chardonnay supérieur "/>
    <n v="3"/>
    <n v="0.75"/>
    <n v="2.25"/>
  </r>
  <r>
    <d v="2025-11-05T00:00:00"/>
    <x v="167"/>
    <s v="SP Wines "/>
    <x v="1"/>
    <x v="135"/>
    <x v="12"/>
    <m/>
    <s v="ass "/>
    <m/>
    <m/>
    <s v="Syrah rosé "/>
    <n v="2"/>
    <n v="0.75"/>
    <n v="1.5"/>
  </r>
  <r>
    <d v="2025-11-05T00:00:00"/>
    <x v="167"/>
    <s v="SP Wines "/>
    <x v="1"/>
    <x v="174"/>
    <x v="12"/>
    <m/>
    <s v="ass "/>
    <m/>
    <m/>
    <s v="Grenache rosé "/>
    <n v="2"/>
    <n v="0.75"/>
    <n v="1.5"/>
  </r>
  <r>
    <d v="2025-11-05T00:00:00"/>
    <x v="167"/>
    <s v="SP Wines "/>
    <x v="0"/>
    <x v="103"/>
    <x v="12"/>
    <m/>
    <s v="ass "/>
    <m/>
    <m/>
    <s v="Viognier vrac "/>
    <n v="2"/>
    <n v="0.75"/>
    <n v="1.5"/>
  </r>
  <r>
    <d v="2025-11-05T00:00:00"/>
    <x v="167"/>
    <s v="SP Wines "/>
    <x v="0"/>
    <x v="204"/>
    <x v="12"/>
    <m/>
    <s v="ass "/>
    <m/>
    <m/>
    <s v="Chardonnay Variétal "/>
    <n v="2"/>
    <n v="0.75"/>
    <n v="1.5"/>
  </r>
  <r>
    <d v="2025-11-05T00:00:00"/>
    <x v="168"/>
    <s v="SP Wines "/>
    <x v="0"/>
    <x v="134"/>
    <x v="12"/>
    <m/>
    <s v="ass"/>
    <m/>
    <m/>
    <s v="Chardonnay Viognier 12,8% Lot 1"/>
    <n v="2"/>
    <n v="0.75"/>
    <n v="1.5"/>
  </r>
  <r>
    <d v="2025-11-05T00:00:00"/>
    <x v="168"/>
    <s v="SP Wines "/>
    <x v="0"/>
    <x v="134"/>
    <x v="12"/>
    <m/>
    <s v="ass"/>
    <m/>
    <m/>
    <s v="Chardonnay Viognier 12,8% Lot 1"/>
    <n v="2"/>
    <n v="0.75"/>
    <n v="1.5"/>
  </r>
  <r>
    <d v="2025-11-05T00:00:00"/>
    <x v="169"/>
    <m/>
    <x v="0"/>
    <x v="1"/>
    <x v="12"/>
    <m/>
    <s v="D1-8"/>
    <m/>
    <m/>
    <s v="Sauvignon Bouteille "/>
    <n v="1"/>
    <n v="0.75"/>
    <n v="0.75"/>
  </r>
  <r>
    <d v="2025-11-05T00:00:00"/>
    <x v="170"/>
    <m/>
    <x v="0"/>
    <x v="1"/>
    <x v="12"/>
    <m/>
    <s v="ass "/>
    <m/>
    <m/>
    <s v="Sauvignon Variétal"/>
    <n v="4"/>
    <n v="0.75"/>
    <n v="3"/>
  </r>
  <r>
    <d v="2025-11-05T00:00:00"/>
    <x v="170"/>
    <m/>
    <x v="0"/>
    <x v="167"/>
    <x v="12"/>
    <m/>
    <s v="C1-7"/>
    <m/>
    <m/>
    <s v="Sauvignon Supérieur "/>
    <n v="4"/>
    <n v="0.75"/>
    <n v="3"/>
  </r>
  <r>
    <d v="2025-11-05T00:00:00"/>
    <x v="170"/>
    <m/>
    <x v="0"/>
    <x v="83"/>
    <x v="12"/>
    <m/>
    <s v="ass"/>
    <m/>
    <m/>
    <s v="Chardonnay Variétal "/>
    <n v="2"/>
    <n v="0.75"/>
    <n v="1.5"/>
  </r>
  <r>
    <d v="2025-11-05T00:00:00"/>
    <x v="2"/>
    <m/>
    <x v="1"/>
    <x v="201"/>
    <x v="12"/>
    <m/>
    <s v="ass "/>
    <m/>
    <m/>
    <s v="Nielluccio "/>
    <n v="4"/>
    <n v="0.75"/>
    <n v="3"/>
  </r>
  <r>
    <d v="2025-11-05T00:00:00"/>
    <x v="170"/>
    <m/>
    <x v="1"/>
    <x v="174"/>
    <x v="12"/>
    <m/>
    <s v="ass"/>
    <m/>
    <m/>
    <s v="Grenache "/>
    <n v="4"/>
    <n v="0.75"/>
    <n v="3"/>
  </r>
  <r>
    <d v="2025-11-05T00:00:00"/>
    <x v="170"/>
    <m/>
    <x v="1"/>
    <x v="205"/>
    <x v="12"/>
    <m/>
    <s v="ass"/>
    <m/>
    <m/>
    <s v="Grenache +"/>
    <n v="4"/>
    <n v="0.75"/>
    <n v="3"/>
  </r>
  <r>
    <d v="2025-11-05T00:00:00"/>
    <x v="170"/>
    <m/>
    <x v="1"/>
    <x v="135"/>
    <x v="12"/>
    <m/>
    <s v="ass"/>
    <m/>
    <m/>
    <s v="Syrah "/>
    <n v="4"/>
    <n v="0.75"/>
    <n v="3"/>
  </r>
  <r>
    <d v="2025-11-05T00:00:00"/>
    <x v="170"/>
    <m/>
    <x v="1"/>
    <x v="104"/>
    <x v="12"/>
    <m/>
    <s v="G1-6"/>
    <m/>
    <m/>
    <s v="Merlot "/>
    <n v="4"/>
    <n v="0.75"/>
    <n v="3"/>
  </r>
  <r>
    <d v="2025-11-05T00:00:00"/>
    <x v="171"/>
    <m/>
    <x v="0"/>
    <x v="3"/>
    <x v="10"/>
    <m/>
    <s v="I1-5"/>
    <m/>
    <m/>
    <s v="Muscat vrac 2024"/>
    <n v="2"/>
    <n v="0.75"/>
    <n v="1.5"/>
  </r>
  <r>
    <d v="2025-11-05T00:00:00"/>
    <x v="171"/>
    <m/>
    <x v="0"/>
    <x v="3"/>
    <x v="12"/>
    <m/>
    <s v="ass"/>
    <m/>
    <m/>
    <s v="Muscat "/>
    <n v="2"/>
    <n v="0.75"/>
    <n v="1.5"/>
  </r>
  <r>
    <d v="2025-11-05T00:00:00"/>
    <x v="172"/>
    <s v="Vincent "/>
    <x v="1"/>
    <x v="206"/>
    <x v="12"/>
    <m/>
    <s v="ass"/>
    <m/>
    <m/>
    <s v="Francine Lot 2"/>
    <n v="1"/>
    <n v="0.75"/>
    <n v="0.75"/>
  </r>
  <r>
    <d v="2025-11-05T00:00:00"/>
    <x v="172"/>
    <s v="Vincent "/>
    <x v="1"/>
    <x v="207"/>
    <x v="12"/>
    <m/>
    <s v="ass"/>
    <m/>
    <m/>
    <s v="Francine Lot 1"/>
    <n v="1"/>
    <n v="0.75"/>
    <n v="0.75"/>
  </r>
  <r>
    <d v="2025-11-05T00:00:00"/>
    <x v="172"/>
    <s v="Vincent "/>
    <x v="1"/>
    <x v="208"/>
    <x v="12"/>
    <m/>
    <s v="ass"/>
    <m/>
    <m/>
    <s v="Arc-en-Ciel Lot 1"/>
    <n v="1"/>
    <n v="0.75"/>
    <n v="0.75"/>
  </r>
  <r>
    <d v="2025-11-05T00:00:00"/>
    <x v="172"/>
    <s v="Vincent "/>
    <x v="1"/>
    <x v="209"/>
    <x v="12"/>
    <m/>
    <s v="ass"/>
    <m/>
    <m/>
    <s v="Arc-en-Ciel Lot 2"/>
    <n v="1"/>
    <n v="0.75"/>
    <n v="0.75"/>
  </r>
  <r>
    <d v="2025-11-05T00:00:00"/>
    <x v="173"/>
    <s v="Vincent"/>
    <x v="2"/>
    <x v="135"/>
    <x v="12"/>
    <m/>
    <s v="C2-7"/>
    <m/>
    <m/>
    <s v="Grenouille Sauvage Lot 1 (7,2mL MCR, 3mL sorbate, 1,5mL Sweet)"/>
    <n v="4"/>
    <n v="0.75"/>
    <n v="3"/>
  </r>
  <r>
    <d v="2025-11-05T00:00:00"/>
    <x v="173"/>
    <s v="Vincent"/>
    <x v="2"/>
    <x v="4"/>
    <x v="12"/>
    <m/>
    <s v="C2-7"/>
    <m/>
    <m/>
    <s v="Grenouille Sauvage Lot 2 (7,2mL MCR, 3mL sorbate, 1,5mL Sweet, 4 gouttes tanins)"/>
    <n v="4"/>
    <n v="0.75"/>
    <n v="3"/>
  </r>
  <r>
    <d v="2025-11-05T00:00:00"/>
    <x v="174"/>
    <m/>
    <x v="0"/>
    <x v="210"/>
    <x v="12"/>
    <m/>
    <s v="G1-5"/>
    <m/>
    <m/>
    <s v="Piquepoul "/>
    <n v="8"/>
    <n v="0.75"/>
    <n v="6"/>
  </r>
  <r>
    <d v="2025-11-05T00:00:00"/>
    <x v="174"/>
    <m/>
    <x v="5"/>
    <x v="211"/>
    <x v="12"/>
    <m/>
    <s v="ass"/>
    <m/>
    <m/>
    <s v="Orange  +8g/l MCR"/>
    <n v="8"/>
    <n v="0.75"/>
    <n v="6"/>
  </r>
  <r>
    <d v="2025-11-05T00:00:00"/>
    <x v="174"/>
    <m/>
    <x v="1"/>
    <x v="201"/>
    <x v="12"/>
    <m/>
    <s v="ass "/>
    <m/>
    <m/>
    <s v="Nielluccio "/>
    <n v="8"/>
    <n v="0.75"/>
    <n v="6"/>
  </r>
  <r>
    <d v="2025-11-05T00:00:00"/>
    <x v="174"/>
    <m/>
    <x v="0"/>
    <x v="212"/>
    <x v="12"/>
    <m/>
    <s v="ass"/>
    <m/>
    <m/>
    <s v="Vermentino "/>
    <n v="2"/>
    <n v="0.75"/>
    <n v="1.5"/>
  </r>
  <r>
    <d v="2025-11-05T00:00:00"/>
    <x v="174"/>
    <m/>
    <x v="0"/>
    <x v="3"/>
    <x v="12"/>
    <m/>
    <s v="ass "/>
    <m/>
    <m/>
    <s v="Muscat "/>
    <n v="2"/>
    <n v="0.75"/>
    <n v="1.5"/>
  </r>
  <r>
    <d v="2025-11-05T00:00:00"/>
    <x v="174"/>
    <m/>
    <x v="0"/>
    <x v="37"/>
    <x v="12"/>
    <m/>
    <s v="ass "/>
    <m/>
    <m/>
    <s v="Lot 1"/>
    <n v="1"/>
    <n v="0.75"/>
    <n v="0.75"/>
  </r>
  <r>
    <d v="2025-11-05T00:00:00"/>
    <x v="174"/>
    <m/>
    <x v="0"/>
    <x v="37"/>
    <x v="12"/>
    <m/>
    <s v="ass "/>
    <m/>
    <m/>
    <s v="Lot 2"/>
    <n v="1"/>
    <n v="0.75"/>
    <n v="0.75"/>
  </r>
  <r>
    <d v="2025-11-05T00:00:00"/>
    <x v="174"/>
    <m/>
    <x v="0"/>
    <x v="83"/>
    <x v="12"/>
    <m/>
    <s v="ass"/>
    <m/>
    <m/>
    <s v="Chardonnay Variétal"/>
    <n v="2"/>
    <n v="0.75"/>
    <n v="1.5"/>
  </r>
  <r>
    <d v="2025-11-05T00:00:00"/>
    <x v="174"/>
    <m/>
    <x v="0"/>
    <x v="83"/>
    <x v="12"/>
    <m/>
    <s v="ass "/>
    <m/>
    <m/>
    <s v="Chardonnay Supérieur "/>
    <n v="2"/>
    <n v="0.75"/>
    <n v="1.5"/>
  </r>
  <r>
    <d v="2025-11-05T00:00:00"/>
    <x v="174"/>
    <m/>
    <x v="1"/>
    <x v="160"/>
    <x v="12"/>
    <m/>
    <s v="ass"/>
    <m/>
    <m/>
    <s v="Cinsault rosé "/>
    <n v="2"/>
    <n v="0.75"/>
    <n v="1.5"/>
  </r>
  <r>
    <d v="2025-11-05T00:00:00"/>
    <x v="174"/>
    <m/>
    <x v="1"/>
    <x v="174"/>
    <x v="12"/>
    <m/>
    <s v="ass "/>
    <m/>
    <m/>
    <s v="Grenache rosé "/>
    <n v="2"/>
    <n v="0.75"/>
    <n v="1.5"/>
  </r>
  <r>
    <d v="2025-11-05T00:00:00"/>
    <x v="174"/>
    <m/>
    <x v="1"/>
    <x v="174"/>
    <x v="12"/>
    <m/>
    <s v="ass"/>
    <m/>
    <m/>
    <s v="Grenache rosé +"/>
    <n v="2"/>
    <n v="0.75"/>
    <n v="1.5"/>
  </r>
  <r>
    <d v="2025-11-05T00:00:00"/>
    <x v="174"/>
    <m/>
    <x v="1"/>
    <x v="135"/>
    <x v="12"/>
    <m/>
    <s v="ass"/>
    <m/>
    <m/>
    <s v="Syrah Rosé "/>
    <n v="2"/>
    <n v="0.75"/>
    <n v="1.5"/>
  </r>
  <r>
    <d v="2025-11-05T00:00:00"/>
    <x v="174"/>
    <m/>
    <x v="1"/>
    <x v="104"/>
    <x v="12"/>
    <m/>
    <s v="G1-6"/>
    <m/>
    <m/>
    <s v="Merlot Rosé "/>
    <n v="2"/>
    <n v="0.75"/>
    <n v="1.5"/>
  </r>
  <r>
    <d v="2025-11-05T00:00:00"/>
    <x v="174"/>
    <m/>
    <x v="2"/>
    <x v="104"/>
    <x v="10"/>
    <m/>
    <s v="ass"/>
    <m/>
    <m/>
    <s v="Merlot Rouge 24 (70% F1-2, 30% B1-5 + 2g/L MCR)"/>
    <n v="2"/>
    <n v="0.75"/>
    <n v="1.5"/>
  </r>
  <r>
    <d v="2025-11-05T00:00:00"/>
    <x v="174"/>
    <m/>
    <x v="2"/>
    <x v="149"/>
    <x v="10"/>
    <m/>
    <s v="ass"/>
    <m/>
    <m/>
    <s v="Cabernet 24 (60% E2-2, 40% D2-7)"/>
    <n v="2"/>
    <n v="0.75"/>
    <n v="1.5"/>
  </r>
  <r>
    <d v="2025-11-12T00:00:00"/>
    <x v="5"/>
    <m/>
    <x v="0"/>
    <x v="213"/>
    <x v="12"/>
    <m/>
    <s v="ass"/>
    <m/>
    <m/>
    <s v="Thau Blanc "/>
    <n v="1"/>
    <n v="0.75"/>
    <n v="0.75"/>
  </r>
  <r>
    <d v="2025-11-12T00:00:00"/>
    <x v="5"/>
    <m/>
    <x v="0"/>
    <x v="213"/>
    <x v="12"/>
    <m/>
    <s v="ass"/>
    <m/>
    <m/>
    <s v="Cap d'Agde Blanc "/>
    <n v="1"/>
    <n v="0.75"/>
    <n v="0.75"/>
  </r>
  <r>
    <d v="2025-11-12T00:00:00"/>
    <x v="175"/>
    <m/>
    <x v="0"/>
    <x v="213"/>
    <x v="12"/>
    <m/>
    <s v="ass"/>
    <m/>
    <m/>
    <s v="Muscat "/>
    <n v="1"/>
    <n v="0.75"/>
    <n v="0.75"/>
  </r>
  <r>
    <d v="2025-11-12T00:00:00"/>
    <x v="176"/>
    <m/>
    <x v="1"/>
    <x v="213"/>
    <x v="12"/>
    <m/>
    <s v="ass"/>
    <m/>
    <m/>
    <s v="Arc-en-Ciel Lot 1 nommé lot 2"/>
    <n v="2"/>
    <n v="0.75"/>
    <n v="1.5"/>
  </r>
  <r>
    <d v="2025-11-12T00:00:00"/>
    <x v="176"/>
    <m/>
    <x v="1"/>
    <x v="213"/>
    <x v="12"/>
    <m/>
    <s v="ass"/>
    <m/>
    <m/>
    <s v="Arc-en-Ciel Lot 2 nommé Merlot Rosé"/>
    <n v="2"/>
    <n v="0.75"/>
    <n v="1.5"/>
  </r>
  <r>
    <d v="2025-11-13T00:00:00"/>
    <x v="165"/>
    <m/>
    <x v="1"/>
    <x v="174"/>
    <x v="12"/>
    <m/>
    <s v="D1-7"/>
    <m/>
    <m/>
    <s v="1250 hL"/>
    <n v="2"/>
    <n v="0.75"/>
    <n v="1.5"/>
  </r>
  <r>
    <d v="2025-11-13T00:00:00"/>
    <x v="165"/>
    <m/>
    <x v="1"/>
    <x v="174"/>
    <x v="12"/>
    <m/>
    <s v="G1-0 ex E1-8 ex C1-8"/>
    <m/>
    <m/>
    <s v="1000 hL"/>
    <n v="2"/>
    <n v="0.75"/>
    <n v="1.5"/>
  </r>
  <r>
    <d v="2025-11-13T00:00:00"/>
    <x v="165"/>
    <m/>
    <x v="0"/>
    <x v="126"/>
    <x v="12"/>
    <m/>
    <s v="D1-10"/>
    <m/>
    <m/>
    <s v="Pas de volume indiqué "/>
    <n v="2"/>
    <n v="0.75"/>
    <n v="1.5"/>
  </r>
  <r>
    <d v="2025-11-13T00:00:00"/>
    <x v="177"/>
    <m/>
    <x v="1"/>
    <x v="8"/>
    <x v="12"/>
    <m/>
    <s v="H1-3"/>
    <m/>
    <m/>
    <s v="Cinsault Rosé"/>
    <n v="2"/>
    <n v="0.75"/>
    <n v="1.5"/>
  </r>
  <r>
    <d v="2025-11-13T00:00:00"/>
    <x v="177"/>
    <m/>
    <x v="1"/>
    <x v="7"/>
    <x v="12"/>
    <m/>
    <s v="G1-6"/>
    <m/>
    <m/>
    <s v="Merlot Rosé"/>
    <n v="2"/>
    <n v="0.75"/>
    <n v="1.5"/>
  </r>
  <r>
    <d v="2025-11-13T00:00:00"/>
    <x v="9"/>
    <m/>
    <x v="0"/>
    <x v="128"/>
    <x v="12"/>
    <m/>
    <s v="ass"/>
    <m/>
    <m/>
    <s v="Muscat "/>
    <n v="6"/>
    <n v="0.75"/>
    <n v="4.5"/>
  </r>
  <r>
    <d v="2025-11-13T00:00:00"/>
    <x v="97"/>
    <m/>
    <x v="1"/>
    <x v="4"/>
    <x v="12"/>
    <m/>
    <s v="ass"/>
    <m/>
    <m/>
    <s v="Syrah Rosé &quot;Lot 1&quot;"/>
    <n v="1"/>
    <n v="0.75"/>
    <n v="0.75"/>
  </r>
  <r>
    <d v="2025-11-13T00:00:00"/>
    <x v="97"/>
    <m/>
    <x v="1"/>
    <x v="174"/>
    <x v="12"/>
    <m/>
    <s v="ass"/>
    <m/>
    <m/>
    <s v="Grenache &quot;Lot 2&quot;"/>
    <n v="1"/>
    <n v="0.75"/>
    <n v="0.75"/>
  </r>
  <r>
    <d v="2025-11-13T00:00:00"/>
    <x v="97"/>
    <m/>
    <x v="1"/>
    <x v="214"/>
    <x v="12"/>
    <m/>
    <s v="ass"/>
    <m/>
    <m/>
    <s v="Assemblage 50% Lot 1 et 50% Lot 2 &quot;Lot 3&quot;"/>
    <n v="1"/>
    <n v="0.75"/>
    <n v="0.75"/>
  </r>
  <r>
    <d v="2025-11-14T00:00:00"/>
    <x v="154"/>
    <m/>
    <x v="1"/>
    <x v="188"/>
    <x v="12"/>
    <m/>
    <s v="ass"/>
    <m/>
    <m/>
    <m/>
    <n v="2"/>
    <n v="0.75"/>
    <n v="1.5"/>
  </r>
  <r>
    <d v="2025-11-14T00:00:00"/>
    <x v="154"/>
    <m/>
    <x v="1"/>
    <x v="195"/>
    <x v="12"/>
    <m/>
    <s v="ass"/>
    <m/>
    <m/>
    <m/>
    <n v="2"/>
    <n v="0.75"/>
    <n v="1.5"/>
  </r>
  <r>
    <d v="2025-11-14T00:00:00"/>
    <x v="99"/>
    <m/>
    <x v="1"/>
    <x v="215"/>
    <x v="12"/>
    <m/>
    <s v="ass"/>
    <m/>
    <m/>
    <m/>
    <n v="2"/>
    <n v="0.75"/>
    <n v="1.5"/>
  </r>
  <r>
    <d v="2025-11-17T00:00:00"/>
    <x v="178"/>
    <s v="Cathala"/>
    <x v="0"/>
    <x v="0"/>
    <x v="12"/>
    <s v="Variétal"/>
    <s v="C1-9"/>
    <m/>
    <m/>
    <s v="30 g/hl tartrique + 30 g/hl malique - Nommé Lot 1"/>
    <n v="3"/>
    <n v="0.75"/>
    <n v="2.25"/>
  </r>
  <r>
    <d v="2025-11-17T00:00:00"/>
    <x v="178"/>
    <s v="Cathala"/>
    <x v="0"/>
    <x v="0"/>
    <x v="12"/>
    <s v="supérieur"/>
    <s v="-"/>
    <m/>
    <m/>
    <s v="Nommé Lot 2"/>
    <n v="3"/>
    <n v="0.75"/>
    <n v="2.25"/>
  </r>
  <r>
    <d v="2025-11-17T00:00:00"/>
    <x v="178"/>
    <s v="Cathala"/>
    <x v="0"/>
    <x v="0"/>
    <x v="12"/>
    <s v="-"/>
    <s v="-"/>
    <m/>
    <m/>
    <s v="30 % supérieur + 70 % var + 30 g/hl tartrique + 30 g/hl malique - Nommé Lot 3"/>
    <n v="3"/>
    <n v="0.75"/>
    <n v="2.25"/>
  </r>
  <r>
    <d v="2025-11-17T00:00:00"/>
    <x v="178"/>
    <s v="Cathala"/>
    <x v="0"/>
    <x v="103"/>
    <x v="12"/>
    <s v="vrac"/>
    <s v="I1-6"/>
    <m/>
    <m/>
    <m/>
    <n v="3"/>
    <n v="0.75"/>
    <n v="2.25"/>
  </r>
  <r>
    <d v="2025-11-17T00:00:00"/>
    <x v="178"/>
    <s v="Cathala"/>
    <x v="0"/>
    <x v="216"/>
    <x v="12"/>
    <s v="-"/>
    <s v="-"/>
    <m/>
    <m/>
    <s v="25 % Vermentino + 75 % Grenache"/>
    <n v="3"/>
    <n v="0.75"/>
    <n v="2.25"/>
  </r>
  <r>
    <d v="2025-11-17T00:00:00"/>
    <x v="178"/>
    <s v="Cathala"/>
    <x v="1"/>
    <x v="73"/>
    <x v="12"/>
    <s v="lot vrac"/>
    <s v="-"/>
    <m/>
    <m/>
    <m/>
    <n v="3"/>
    <n v="0.75"/>
    <n v="2.25"/>
  </r>
  <r>
    <d v="2025-11-17T00:00:00"/>
    <x v="178"/>
    <s v="Cathala"/>
    <x v="1"/>
    <x v="217"/>
    <x v="12"/>
    <s v="Grenache Gris"/>
    <s v="E1-5"/>
    <m/>
    <m/>
    <m/>
    <n v="3"/>
    <n v="0.75"/>
    <n v="2.25"/>
  </r>
  <r>
    <d v="2025-11-17T00:00:00"/>
    <x v="178"/>
    <s v="Cathala"/>
    <x v="1"/>
    <x v="218"/>
    <x v="12"/>
    <s v="-"/>
    <s v="-"/>
    <m/>
    <m/>
    <s v="25% Caladoc Rosé C1-10 + 25% Syrah Rosé A1-7 + 50% Rosé trad D1-7"/>
    <n v="3"/>
    <n v="0.75"/>
    <n v="2.25"/>
  </r>
  <r>
    <d v="2025-11-17T00:00:00"/>
    <x v="165"/>
    <s v="-"/>
    <x v="1"/>
    <x v="131"/>
    <x v="12"/>
    <m/>
    <s v="H1-7"/>
    <m/>
    <m/>
    <s v="Rosé trad"/>
    <n v="3"/>
    <n v="0.75"/>
    <n v="2.25"/>
  </r>
  <r>
    <d v="2025-11-17T00:00:00"/>
    <x v="2"/>
    <s v="-"/>
    <x v="0"/>
    <x v="103"/>
    <x v="12"/>
    <s v="vrac"/>
    <s v="I1-6"/>
    <m/>
    <m/>
    <m/>
    <n v="4"/>
    <n v="0.75"/>
    <n v="3"/>
  </r>
  <r>
    <d v="2025-11-17T00:00:00"/>
    <x v="2"/>
    <s v="-"/>
    <x v="0"/>
    <x v="0"/>
    <x v="12"/>
    <s v="Variétal"/>
    <s v="C1-9"/>
    <m/>
    <m/>
    <s v="30 g/hl tartrique + 30 g/hl malique"/>
    <n v="4"/>
    <n v="0.75"/>
    <n v="3"/>
  </r>
  <r>
    <d v="2025-11-17T00:00:00"/>
    <x v="2"/>
    <s v="-"/>
    <x v="0"/>
    <x v="0"/>
    <x v="12"/>
    <s v="supérieur"/>
    <s v="-"/>
    <m/>
    <m/>
    <m/>
    <n v="4"/>
    <n v="0.75"/>
    <n v="3"/>
  </r>
  <r>
    <d v="2025-11-17T00:00:00"/>
    <x v="2"/>
    <s v="-"/>
    <x v="0"/>
    <x v="0"/>
    <x v="12"/>
    <s v="Boisé"/>
    <s v="E2-4"/>
    <m/>
    <m/>
    <m/>
    <n v="4"/>
    <n v="0.75"/>
    <n v="3"/>
  </r>
  <r>
    <d v="2025-11-17T00:00:00"/>
    <x v="2"/>
    <s v="-"/>
    <x v="0"/>
    <x v="1"/>
    <x v="12"/>
    <s v="Variétal"/>
    <s v="D1-10"/>
    <m/>
    <m/>
    <m/>
    <n v="4"/>
    <n v="0.75"/>
    <n v="3"/>
  </r>
  <r>
    <d v="2025-11-17T00:00:00"/>
    <x v="2"/>
    <s v="-"/>
    <x v="1"/>
    <x v="7"/>
    <x v="12"/>
    <s v="Vrac"/>
    <s v="G1-6"/>
    <m/>
    <m/>
    <s v="30 g/hl tartrique + 30 g/hl malique"/>
    <n v="4"/>
    <n v="0.75"/>
    <n v="3"/>
  </r>
  <r>
    <d v="2025-11-17T00:00:00"/>
    <x v="2"/>
    <s v="-"/>
    <x v="1"/>
    <x v="201"/>
    <x v="12"/>
    <s v="vrac"/>
    <s v="-"/>
    <m/>
    <m/>
    <m/>
    <n v="4"/>
    <n v="0.75"/>
    <n v="3"/>
  </r>
  <r>
    <d v="2025-11-17T00:00:00"/>
    <x v="2"/>
    <s v="-"/>
    <x v="1"/>
    <x v="131"/>
    <x v="12"/>
    <s v="vrac + "/>
    <s v="-"/>
    <m/>
    <m/>
    <s v="Nommé Lot 1"/>
    <n v="4"/>
    <n v="0.75"/>
    <n v="3"/>
  </r>
  <r>
    <d v="2025-11-17T00:00:00"/>
    <x v="2"/>
    <s v="-"/>
    <x v="1"/>
    <x v="131"/>
    <x v="12"/>
    <s v="vrac"/>
    <s v="-"/>
    <m/>
    <m/>
    <s v="Nommé Lot 2"/>
    <n v="4"/>
    <n v="0.75"/>
    <n v="3"/>
  </r>
  <r>
    <d v="2025-11-18T00:00:00"/>
    <x v="122"/>
    <s v="Mur"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n v="0"/>
  </r>
  <r>
    <m/>
    <x v="100"/>
    <m/>
    <x v="4"/>
    <x v="187"/>
    <x v="11"/>
    <m/>
    <m/>
    <m/>
    <m/>
    <m/>
    <m/>
    <n v="0.75"/>
    <m/>
  </r>
  <r>
    <m/>
    <x v="100"/>
    <m/>
    <x v="4"/>
    <x v="187"/>
    <x v="11"/>
    <m/>
    <m/>
    <m/>
    <m/>
    <m/>
    <m/>
    <n v="0.75"/>
    <m/>
  </r>
  <r>
    <m/>
    <x v="100"/>
    <m/>
    <x v="4"/>
    <x v="187"/>
    <x v="11"/>
    <m/>
    <m/>
    <m/>
    <m/>
    <m/>
    <m/>
    <n v="0.75"/>
    <m/>
  </r>
  <r>
    <m/>
    <x v="100"/>
    <m/>
    <x v="4"/>
    <x v="187"/>
    <x v="11"/>
    <m/>
    <m/>
    <m/>
    <m/>
    <m/>
    <m/>
    <n v="0.75"/>
    <m/>
  </r>
  <r>
    <m/>
    <x v="100"/>
    <m/>
    <x v="4"/>
    <x v="187"/>
    <x v="11"/>
    <m/>
    <m/>
    <m/>
    <m/>
    <m/>
    <m/>
    <n v="0.75"/>
    <m/>
  </r>
  <r>
    <m/>
    <x v="100"/>
    <m/>
    <x v="4"/>
    <x v="187"/>
    <x v="11"/>
    <m/>
    <m/>
    <m/>
    <m/>
    <m/>
    <m/>
    <n v="0.75"/>
    <m/>
  </r>
  <r>
    <m/>
    <x v="100"/>
    <m/>
    <x v="4"/>
    <x v="187"/>
    <x v="1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329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2">
  <location ref="A3:E37" firstHeaderRow="1" firstDataRow="2" firstDataCol="1" rowPageCount="1" colPageCount="1"/>
  <pivotFields count="14">
    <pivotField subtotalTop="0" showAll="0"/>
    <pivotField axis="axisRow" subtotalTop="0" showAll="0" sortType="ascending">
      <items count="194">
        <item h="1" x="1"/>
        <item h="1" x="101"/>
        <item h="1" x="90"/>
        <item h="1" x="38"/>
        <item h="1" x="129"/>
        <item h="1" x="86"/>
        <item h="1" x="57"/>
        <item h="1" x="15"/>
        <item x="29"/>
        <item h="1" x="78"/>
        <item h="1" x="102"/>
        <item h="1" x="106"/>
        <item h="1" x="80"/>
        <item h="1" x="144"/>
        <item x="10"/>
        <item h="1" x="52"/>
        <item h="1" x="98"/>
        <item h="1" x="168"/>
        <item h="1" x="123"/>
        <item h="1" x="149"/>
        <item h="1" x="74"/>
        <item h="1" x="95"/>
        <item x="17"/>
        <item h="1" x="131"/>
        <item h="1" x="97"/>
        <item h="1" x="125"/>
        <item h="1" x="69"/>
        <item h="1" x="43"/>
        <item x="6"/>
        <item h="1" x="73"/>
        <item h="1" x="88"/>
        <item h="1" x="117"/>
        <item x="8"/>
        <item h="1" x="64"/>
        <item x="2"/>
        <item h="1" x="170"/>
        <item h="1" x="82"/>
        <item h="1" x="53"/>
        <item x="24"/>
        <item h="1" x="96"/>
        <item h="1" x="139"/>
        <item x="20"/>
        <item x="21"/>
        <item h="1" x="178"/>
        <item h="1" x="72"/>
        <item h="1" x="135"/>
        <item h="1" x="108"/>
        <item h="1" x="121"/>
        <item h="1" x="85"/>
        <item h="1" x="65"/>
        <item h="1" x="41"/>
        <item m="1" x="182"/>
        <item h="1" x="54"/>
        <item h="1" x="130"/>
        <item h="1" x="47"/>
        <item x="14"/>
        <item h="1" x="148"/>
        <item h="1" m="1" x="180"/>
        <item h="1" x="51"/>
        <item h="1" x="134"/>
        <item h="1" x="67"/>
        <item x="33"/>
        <item x="25"/>
        <item h="1" x="105"/>
        <item h="1" x="120"/>
        <item h="1" x="118"/>
        <item h="1" x="75"/>
        <item x="27"/>
        <item h="1" x="169"/>
        <item m="1" x="189"/>
        <item x="16"/>
        <item h="1" x="50"/>
        <item x="34"/>
        <item h="1" x="84"/>
        <item h="1" x="37"/>
        <item x="5"/>
        <item h="1" x="175"/>
        <item h="1" x="127"/>
        <item h="1" x="162"/>
        <item h="1" x="115"/>
        <item h="1" x="113"/>
        <item h="1" x="165"/>
        <item m="1" x="188"/>
        <item h="1" x="56"/>
        <item m="1" x="187"/>
        <item x="4"/>
        <item h="1" x="91"/>
        <item h="1" x="146"/>
        <item h="1" x="83"/>
        <item h="1" x="176"/>
        <item h="1" x="92"/>
        <item x="32"/>
        <item h="1" x="55"/>
        <item h="1" x="116"/>
        <item m="1" x="181"/>
        <item h="1" x="126"/>
        <item x="9"/>
        <item h="1" x="171"/>
        <item x="13"/>
        <item h="1" x="61"/>
        <item h="1" x="44"/>
        <item h="1" x="161"/>
        <item h="1" x="174"/>
        <item x="31"/>
        <item x="18"/>
        <item h="1" x="109"/>
        <item h="1" x="173"/>
        <item h="1" x="70"/>
        <item h="1" x="124"/>
        <item h="1" x="107"/>
        <item h="1" x="140"/>
        <item h="1" x="42"/>
        <item x="7"/>
        <item h="1" x="36"/>
        <item x="26"/>
        <item h="1" x="110"/>
        <item h="1" x="48"/>
        <item x="104"/>
        <item h="1" x="155"/>
        <item h="1" x="177"/>
        <item h="1" x="46"/>
        <item x="0"/>
        <item x="30"/>
        <item h="1" x="49"/>
        <item h="1" x="99"/>
        <item h="1" x="154"/>
        <item h="1" x="71"/>
        <item m="1" x="192"/>
        <item m="1" x="191"/>
        <item h="1" x="138"/>
        <item h="1" x="156"/>
        <item h="1" x="94"/>
        <item m="1" x="184"/>
        <item h="1" x="136"/>
        <item h="1" x="151"/>
        <item h="1" x="143"/>
        <item h="1" x="167"/>
        <item h="1" x="60"/>
        <item x="22"/>
        <item h="1" x="63"/>
        <item h="1" x="157"/>
        <item h="1" x="93"/>
        <item h="1" x="152"/>
        <item h="1" x="58"/>
        <item h="1" x="40"/>
        <item h="1" x="45"/>
        <item x="23"/>
        <item m="1" x="186"/>
        <item h="1" x="166"/>
        <item h="1" x="87"/>
        <item h="1" x="137"/>
        <item m="1" x="185"/>
        <item h="1" x="39"/>
        <item h="1" x="172"/>
        <item x="141"/>
        <item x="35"/>
        <item x="12"/>
        <item x="11"/>
        <item h="1" x="77"/>
        <item x="19"/>
        <item m="1" x="183"/>
        <item h="1" x="66"/>
        <item h="1" x="114"/>
        <item h="1" x="145"/>
        <item m="1" x="179"/>
        <item h="1" x="3"/>
        <item h="1" x="128"/>
        <item h="1" x="163"/>
        <item h="1" x="79"/>
        <item x="81"/>
        <item h="1" x="89"/>
        <item h="1" x="164"/>
        <item m="1" x="190"/>
        <item h="1" x="62"/>
        <item h="1" x="142"/>
        <item h="1" x="159"/>
        <item h="1" x="76"/>
        <item h="1" x="119"/>
        <item h="1" x="158"/>
        <item h="1" x="150"/>
        <item x="28"/>
        <item h="1" x="103"/>
        <item h="1" x="111"/>
        <item h="1" x="112"/>
        <item h="1" x="122"/>
        <item h="1" x="133"/>
        <item h="1" x="68"/>
        <item h="1" x="132"/>
        <item h="1" x="160"/>
        <item h="1" x="59"/>
        <item h="1" x="147"/>
        <item h="1" x="153"/>
        <item h="1" x="100"/>
        <item t="default"/>
      </items>
    </pivotField>
    <pivotField subtotalTop="0" showAll="0"/>
    <pivotField axis="axisCol" subtotalTop="0" showAll="0">
      <items count="11">
        <item x="0"/>
        <item x="1"/>
        <item x="2"/>
        <item h="1" x="4"/>
        <item h="1" m="1" x="6"/>
        <item h="1" x="3"/>
        <item h="1" m="1" x="7"/>
        <item h="1" m="1" x="8"/>
        <item h="1" x="5"/>
        <item h="1" m="1" x="9"/>
        <item t="default"/>
      </items>
    </pivotField>
    <pivotField subtotalTop="0" showAll="0"/>
    <pivotField axis="axisPage" subtotalTop="0" multipleItemSelectionAllowed="1" showAll="0">
      <items count="14">
        <item h="1" x="1"/>
        <item x="0"/>
        <item h="1" x="2"/>
        <item h="1" x="11"/>
        <item h="1" x="3"/>
        <item h="1" x="4"/>
        <item h="1" x="5"/>
        <item h="1" x="6"/>
        <item h="1" x="7"/>
        <item h="1" x="8"/>
        <item h="1" x="9"/>
        <item h="1" x="10"/>
        <item h="1" x="1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</pivotFields>
  <rowFields count="1">
    <field x="1"/>
  </rowFields>
  <rowItems count="33">
    <i>
      <x v="8"/>
    </i>
    <i>
      <x v="14"/>
    </i>
    <i>
      <x v="22"/>
    </i>
    <i>
      <x v="28"/>
    </i>
    <i>
      <x v="32"/>
    </i>
    <i>
      <x v="34"/>
    </i>
    <i>
      <x v="38"/>
    </i>
    <i>
      <x v="41"/>
    </i>
    <i>
      <x v="42"/>
    </i>
    <i>
      <x v="55"/>
    </i>
    <i>
      <x v="61"/>
    </i>
    <i>
      <x v="62"/>
    </i>
    <i>
      <x v="67"/>
    </i>
    <i>
      <x v="70"/>
    </i>
    <i>
      <x v="72"/>
    </i>
    <i>
      <x v="75"/>
    </i>
    <i>
      <x v="85"/>
    </i>
    <i>
      <x v="91"/>
    </i>
    <i>
      <x v="96"/>
    </i>
    <i>
      <x v="98"/>
    </i>
    <i>
      <x v="103"/>
    </i>
    <i>
      <x v="104"/>
    </i>
    <i>
      <x v="112"/>
    </i>
    <i>
      <x v="114"/>
    </i>
    <i>
      <x v="121"/>
    </i>
    <i>
      <x v="122"/>
    </i>
    <i>
      <x v="146"/>
    </i>
    <i>
      <x v="155"/>
    </i>
    <i>
      <x v="156"/>
    </i>
    <i>
      <x v="157"/>
    </i>
    <i>
      <x v="159"/>
    </i>
    <i>
      <x v="180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5" hier="-1"/>
  </pageFields>
  <dataFields count="1">
    <dataField name="Somme de Volume total (L)" fld="13" baseField="1" baseItem="0"/>
  </dataFields>
  <chartFormats count="3">
    <chartFormat chart="1" format="1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EB6EF-20D9-734B-AA58-9F7BB9B949D5}" name="Tableau croisé dynamique1" cacheId="328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2">
  <location ref="A3:E42" firstHeaderRow="1" firstDataRow="2" firstDataCol="1" rowPageCount="1" colPageCount="1"/>
  <pivotFields count="14">
    <pivotField numFmtId="14" showAll="0"/>
    <pivotField axis="axisRow" showAll="0">
      <items count="55">
        <item x="1"/>
        <item x="38"/>
        <item x="15"/>
        <item x="29"/>
        <item x="10"/>
        <item x="52"/>
        <item x="17"/>
        <item x="43"/>
        <item x="6"/>
        <item x="8"/>
        <item x="2"/>
        <item x="24"/>
        <item x="20"/>
        <item x="21"/>
        <item x="41"/>
        <item x="47"/>
        <item x="14"/>
        <item x="51"/>
        <item x="33"/>
        <item x="25"/>
        <item x="27"/>
        <item x="16"/>
        <item x="50"/>
        <item x="34"/>
        <item x="37"/>
        <item x="5"/>
        <item x="4"/>
        <item x="32"/>
        <item x="9"/>
        <item x="13"/>
        <item x="44"/>
        <item x="31"/>
        <item x="18"/>
        <item x="42"/>
        <item x="7"/>
        <item x="36"/>
        <item x="26"/>
        <item x="48"/>
        <item x="46"/>
        <item x="0"/>
        <item x="30"/>
        <item x="49"/>
        <item x="22"/>
        <item x="40"/>
        <item x="45"/>
        <item x="23"/>
        <item x="39"/>
        <item x="35"/>
        <item x="12"/>
        <item x="11"/>
        <item x="19"/>
        <item m="1" x="53"/>
        <item x="28"/>
        <item x="3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Page" multipleItemSelectionAllowed="1" showAll="0">
      <items count="6">
        <item h="1" x="1"/>
        <item h="1" x="0"/>
        <item x="3"/>
        <item h="1" x="4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8">
    <i>
      <x/>
    </i>
    <i>
      <x v="1"/>
    </i>
    <i>
      <x v="3"/>
    </i>
    <i>
      <x v="4"/>
    </i>
    <i>
      <x v="7"/>
    </i>
    <i>
      <x v="10"/>
    </i>
    <i>
      <x v="12"/>
    </i>
    <i>
      <x v="13"/>
    </i>
    <i>
      <x v="14"/>
    </i>
    <i>
      <x v="15"/>
    </i>
    <i>
      <x v="17"/>
    </i>
    <i>
      <x v="19"/>
    </i>
    <i>
      <x v="20"/>
    </i>
    <i>
      <x v="22"/>
    </i>
    <i>
      <x v="24"/>
    </i>
    <i>
      <x v="25"/>
    </i>
    <i>
      <x v="26"/>
    </i>
    <i>
      <x v="27"/>
    </i>
    <i>
      <x v="28"/>
    </i>
    <i>
      <x v="30"/>
    </i>
    <i>
      <x v="31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3"/>
    </i>
    <i>
      <x v="44"/>
    </i>
    <i>
      <x v="46"/>
    </i>
    <i>
      <x v="48"/>
    </i>
    <i>
      <x v="49"/>
    </i>
    <i>
      <x v="50"/>
    </i>
    <i>
      <x v="52"/>
    </i>
    <i>
      <x v="5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5" hier="-1"/>
  </pageFields>
  <dataFields count="1">
    <dataField name="Nombre de Volume total (L)" fld="13" subtotal="count" baseField="0" baseItem="0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329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6" indent="0" outline="1" outlineData="1" multipleFieldFilters="0">
  <location ref="A3:AN69" firstHeaderRow="1" firstDataRow="2" firstDataCol="1" rowPageCount="1" colPageCount="1"/>
  <pivotFields count="14">
    <pivotField showAll="0"/>
    <pivotField axis="axisCol" showAll="0" sortType="ascending">
      <items count="194">
        <item x="1"/>
        <item x="101"/>
        <item x="90"/>
        <item x="38"/>
        <item x="129"/>
        <item x="86"/>
        <item x="57"/>
        <item x="15"/>
        <item x="29"/>
        <item x="78"/>
        <item x="102"/>
        <item x="106"/>
        <item x="80"/>
        <item x="144"/>
        <item x="10"/>
        <item x="52"/>
        <item x="98"/>
        <item x="168"/>
        <item x="123"/>
        <item x="149"/>
        <item x="74"/>
        <item x="95"/>
        <item x="17"/>
        <item x="131"/>
        <item x="97"/>
        <item x="125"/>
        <item x="69"/>
        <item x="43"/>
        <item x="6"/>
        <item x="73"/>
        <item x="88"/>
        <item x="117"/>
        <item x="8"/>
        <item x="64"/>
        <item x="2"/>
        <item x="170"/>
        <item x="82"/>
        <item x="53"/>
        <item x="24"/>
        <item x="96"/>
        <item x="139"/>
        <item x="20"/>
        <item x="21"/>
        <item x="178"/>
        <item x="72"/>
        <item x="135"/>
        <item x="108"/>
        <item x="121"/>
        <item x="85"/>
        <item x="65"/>
        <item x="41"/>
        <item m="1" x="182"/>
        <item x="54"/>
        <item x="130"/>
        <item x="47"/>
        <item x="14"/>
        <item x="148"/>
        <item m="1" x="180"/>
        <item x="51"/>
        <item x="134"/>
        <item x="67"/>
        <item x="33"/>
        <item x="25"/>
        <item x="105"/>
        <item x="120"/>
        <item x="118"/>
        <item x="75"/>
        <item x="27"/>
        <item x="169"/>
        <item m="1" x="189"/>
        <item x="16"/>
        <item x="50"/>
        <item x="34"/>
        <item x="84"/>
        <item x="37"/>
        <item x="5"/>
        <item x="175"/>
        <item x="127"/>
        <item x="162"/>
        <item x="115"/>
        <item x="113"/>
        <item x="165"/>
        <item m="1" x="188"/>
        <item x="56"/>
        <item m="1" x="187"/>
        <item x="4"/>
        <item x="91"/>
        <item x="146"/>
        <item x="83"/>
        <item x="176"/>
        <item x="92"/>
        <item x="32"/>
        <item x="55"/>
        <item x="116"/>
        <item m="1" x="181"/>
        <item x="126"/>
        <item x="9"/>
        <item x="171"/>
        <item x="13"/>
        <item x="61"/>
        <item x="44"/>
        <item x="161"/>
        <item x="174"/>
        <item x="31"/>
        <item x="18"/>
        <item x="109"/>
        <item x="173"/>
        <item x="70"/>
        <item x="124"/>
        <item x="107"/>
        <item x="140"/>
        <item x="42"/>
        <item x="7"/>
        <item x="36"/>
        <item x="26"/>
        <item x="110"/>
        <item x="48"/>
        <item x="104"/>
        <item x="155"/>
        <item x="177"/>
        <item x="46"/>
        <item x="0"/>
        <item x="30"/>
        <item x="49"/>
        <item x="99"/>
        <item x="154"/>
        <item x="71"/>
        <item m="1" x="192"/>
        <item m="1" x="191"/>
        <item x="138"/>
        <item x="156"/>
        <item x="94"/>
        <item m="1" x="184"/>
        <item x="136"/>
        <item x="151"/>
        <item x="143"/>
        <item x="167"/>
        <item x="60"/>
        <item x="22"/>
        <item x="63"/>
        <item x="157"/>
        <item x="93"/>
        <item x="152"/>
        <item x="58"/>
        <item x="40"/>
        <item x="45"/>
        <item x="23"/>
        <item m="1" x="186"/>
        <item x="166"/>
        <item x="87"/>
        <item x="137"/>
        <item m="1" x="185"/>
        <item x="39"/>
        <item x="172"/>
        <item x="141"/>
        <item x="35"/>
        <item x="12"/>
        <item x="11"/>
        <item x="77"/>
        <item x="19"/>
        <item m="1" x="183"/>
        <item x="66"/>
        <item x="114"/>
        <item x="145"/>
        <item m="1" x="179"/>
        <item x="3"/>
        <item x="128"/>
        <item x="163"/>
        <item x="79"/>
        <item x="81"/>
        <item x="89"/>
        <item x="164"/>
        <item m="1" x="190"/>
        <item x="62"/>
        <item x="142"/>
        <item x="159"/>
        <item x="76"/>
        <item x="119"/>
        <item x="158"/>
        <item x="150"/>
        <item x="28"/>
        <item x="103"/>
        <item x="111"/>
        <item x="112"/>
        <item x="122"/>
        <item x="133"/>
        <item x="68"/>
        <item x="132"/>
        <item x="160"/>
        <item x="59"/>
        <item x="147"/>
        <item x="153"/>
        <item x="100"/>
        <item t="default"/>
      </items>
    </pivotField>
    <pivotField showAll="0"/>
    <pivotField axis="axisRow" showAll="0">
      <items count="11">
        <item x="0"/>
        <item x="1"/>
        <item x="2"/>
        <item x="4"/>
        <item m="1" x="6"/>
        <item x="3"/>
        <item m="1" x="7"/>
        <item m="1" x="8"/>
        <item x="5"/>
        <item m="1" x="9"/>
        <item t="default"/>
      </items>
    </pivotField>
    <pivotField axis="axisRow" showAll="0">
      <items count="220">
        <item x="13"/>
        <item x="0"/>
        <item x="8"/>
        <item x="12"/>
        <item x="9"/>
        <item x="7"/>
        <item x="3"/>
        <item x="5"/>
        <item x="10"/>
        <item x="11"/>
        <item x="1"/>
        <item x="4"/>
        <item x="6"/>
        <item x="2"/>
        <item x="187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axis="axisPage" showAll="0">
      <items count="14">
        <item x="1"/>
        <item x="0"/>
        <item x="2"/>
        <item x="11"/>
        <item x="3"/>
        <item x="4"/>
        <item x="5"/>
        <item x="6"/>
        <item x="7"/>
        <item x="8"/>
        <item x="9"/>
        <item x="1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3"/>
    <field x="4"/>
  </rowFields>
  <rowItems count="65">
    <i>
      <x/>
    </i>
    <i r="1">
      <x v="1"/>
    </i>
    <i r="1">
      <x v="6"/>
    </i>
    <i r="1">
      <x v="10"/>
    </i>
    <i r="1">
      <x v="21"/>
    </i>
    <i r="1">
      <x v="22"/>
    </i>
    <i r="1">
      <x v="38"/>
    </i>
    <i r="1">
      <x v="84"/>
    </i>
    <i r="1">
      <x v="104"/>
    </i>
    <i r="1">
      <x v="127"/>
    </i>
    <i r="1">
      <x v="129"/>
    </i>
    <i r="1">
      <x v="135"/>
    </i>
    <i r="1">
      <x v="168"/>
    </i>
    <i r="1">
      <x v="197"/>
    </i>
    <i r="1">
      <x v="198"/>
    </i>
    <i r="1">
      <x v="203"/>
    </i>
    <i r="1">
      <x v="204"/>
    </i>
    <i r="1">
      <x v="210"/>
    </i>
    <i r="1">
      <x v="212"/>
    </i>
    <i r="1">
      <x v="213"/>
    </i>
    <i r="1">
      <x v="216"/>
    </i>
    <i>
      <x v="1"/>
    </i>
    <i r="1">
      <x/>
    </i>
    <i r="1">
      <x v="2"/>
    </i>
    <i r="1">
      <x v="5"/>
    </i>
    <i r="1">
      <x v="11"/>
    </i>
    <i r="1">
      <x v="14"/>
    </i>
    <i r="1">
      <x v="20"/>
    </i>
    <i r="1">
      <x v="23"/>
    </i>
    <i r="1">
      <x v="57"/>
    </i>
    <i r="1">
      <x v="74"/>
    </i>
    <i r="1">
      <x v="105"/>
    </i>
    <i r="1">
      <x v="120"/>
    </i>
    <i r="1">
      <x v="131"/>
    </i>
    <i r="1">
      <x v="132"/>
    </i>
    <i r="1">
      <x v="136"/>
    </i>
    <i r="1">
      <x v="157"/>
    </i>
    <i r="1">
      <x v="161"/>
    </i>
    <i r="1">
      <x v="175"/>
    </i>
    <i r="1">
      <x v="179"/>
    </i>
    <i r="1">
      <x v="188"/>
    </i>
    <i r="1">
      <x v="189"/>
    </i>
    <i r="1">
      <x v="195"/>
    </i>
    <i r="1">
      <x v="196"/>
    </i>
    <i r="1">
      <x v="201"/>
    </i>
    <i r="1">
      <x v="202"/>
    </i>
    <i r="1">
      <x v="205"/>
    </i>
    <i r="1">
      <x v="206"/>
    </i>
    <i r="1">
      <x v="207"/>
    </i>
    <i r="1">
      <x v="208"/>
    </i>
    <i r="1">
      <x v="209"/>
    </i>
    <i r="1">
      <x v="213"/>
    </i>
    <i r="1">
      <x v="214"/>
    </i>
    <i r="1">
      <x v="215"/>
    </i>
    <i r="1">
      <x v="217"/>
    </i>
    <i r="1">
      <x v="218"/>
    </i>
    <i>
      <x v="2"/>
    </i>
    <i r="1">
      <x v="11"/>
    </i>
    <i r="1">
      <x v="136"/>
    </i>
    <i r="1">
      <x v="150"/>
    </i>
    <i>
      <x v="8"/>
    </i>
    <i r="1">
      <x v="199"/>
    </i>
    <i r="1">
      <x v="200"/>
    </i>
    <i r="1">
      <x v="211"/>
    </i>
    <i t="grand">
      <x/>
    </i>
  </rowItems>
  <colFields count="1">
    <field x="1"/>
  </colFields>
  <colItems count="39">
    <i>
      <x/>
    </i>
    <i>
      <x v="17"/>
    </i>
    <i>
      <x v="24"/>
    </i>
    <i>
      <x v="34"/>
    </i>
    <i>
      <x v="35"/>
    </i>
    <i>
      <x v="43"/>
    </i>
    <i>
      <x v="68"/>
    </i>
    <i>
      <x v="75"/>
    </i>
    <i>
      <x v="76"/>
    </i>
    <i>
      <x v="78"/>
    </i>
    <i>
      <x v="80"/>
    </i>
    <i>
      <x v="81"/>
    </i>
    <i>
      <x v="89"/>
    </i>
    <i>
      <x v="96"/>
    </i>
    <i>
      <x v="97"/>
    </i>
    <i>
      <x v="101"/>
    </i>
    <i>
      <x v="102"/>
    </i>
    <i>
      <x v="106"/>
    </i>
    <i>
      <x v="118"/>
    </i>
    <i>
      <x v="119"/>
    </i>
    <i>
      <x v="124"/>
    </i>
    <i>
      <x v="125"/>
    </i>
    <i>
      <x v="130"/>
    </i>
    <i>
      <x v="136"/>
    </i>
    <i>
      <x v="140"/>
    </i>
    <i>
      <x v="142"/>
    </i>
    <i>
      <x v="148"/>
    </i>
    <i>
      <x v="153"/>
    </i>
    <i>
      <x v="163"/>
    </i>
    <i>
      <x v="167"/>
    </i>
    <i>
      <x v="169"/>
    </i>
    <i>
      <x v="171"/>
    </i>
    <i>
      <x v="174"/>
    </i>
    <i>
      <x v="175"/>
    </i>
    <i>
      <x v="178"/>
    </i>
    <i>
      <x v="184"/>
    </i>
    <i>
      <x v="188"/>
    </i>
    <i>
      <x v="191"/>
    </i>
    <i t="grand">
      <x/>
    </i>
  </colItems>
  <pageFields count="1">
    <pageField fld="5" item="12" hier="-1"/>
  </pageFields>
  <dataFields count="1">
    <dataField name="Somme de Volume total (L)" fld="13" baseField="1" baseItem="0"/>
  </dataFields>
  <pivotTableStyleInfo name="PivotStyleMedium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BD48-0962-42AB-979D-2D638192E741}">
  <dimension ref="A1:C100"/>
  <sheetViews>
    <sheetView workbookViewId="0">
      <selection activeCell="K17" sqref="K17"/>
    </sheetView>
  </sheetViews>
  <sheetFormatPr defaultColWidth="11.28515625" defaultRowHeight="15"/>
  <cols>
    <col min="1" max="1" width="19.85546875" bestFit="1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8</v>
      </c>
    </row>
    <row r="4" spans="1:3">
      <c r="A4" s="2" t="s">
        <v>9</v>
      </c>
      <c r="B4" s="2" t="s">
        <v>10</v>
      </c>
      <c r="C4" t="s">
        <v>11</v>
      </c>
    </row>
    <row r="5" spans="1:3">
      <c r="A5" s="2" t="s">
        <v>12</v>
      </c>
      <c r="B5" s="2" t="s">
        <v>13</v>
      </c>
      <c r="C5" t="s">
        <v>14</v>
      </c>
    </row>
    <row r="6" spans="1:3">
      <c r="A6" s="2" t="s">
        <v>15</v>
      </c>
      <c r="B6" s="2" t="s">
        <v>16</v>
      </c>
    </row>
    <row r="7" spans="1:3">
      <c r="A7" s="2" t="s">
        <v>17</v>
      </c>
      <c r="B7" s="2" t="s">
        <v>18</v>
      </c>
    </row>
    <row r="8" spans="1:3">
      <c r="A8" s="2" t="s">
        <v>19</v>
      </c>
      <c r="B8" s="2" t="s">
        <v>20</v>
      </c>
    </row>
    <row r="9" spans="1:3">
      <c r="A9" s="2" t="s">
        <v>13</v>
      </c>
      <c r="B9" s="2" t="s">
        <v>21</v>
      </c>
    </row>
    <row r="10" spans="1:3">
      <c r="A10" s="2" t="s">
        <v>16</v>
      </c>
      <c r="B10" s="2" t="s">
        <v>22</v>
      </c>
    </row>
    <row r="11" spans="1:3">
      <c r="A11" s="2" t="s">
        <v>23</v>
      </c>
      <c r="B11" s="2" t="s">
        <v>24</v>
      </c>
    </row>
    <row r="12" spans="1:3">
      <c r="A12" s="2" t="s">
        <v>25</v>
      </c>
      <c r="B12" s="2" t="s">
        <v>26</v>
      </c>
    </row>
    <row r="13" spans="1:3">
      <c r="A13" s="2" t="s">
        <v>27</v>
      </c>
      <c r="B13" s="2" t="s">
        <v>28</v>
      </c>
    </row>
    <row r="14" spans="1:3">
      <c r="A14" s="2" t="s">
        <v>29</v>
      </c>
      <c r="B14" s="2" t="s">
        <v>30</v>
      </c>
    </row>
    <row r="15" spans="1:3">
      <c r="A15" s="2" t="s">
        <v>31</v>
      </c>
      <c r="B15" s="2" t="s">
        <v>32</v>
      </c>
    </row>
    <row r="16" spans="1:3">
      <c r="A16" s="2" t="s">
        <v>33</v>
      </c>
      <c r="B16" s="2" t="s">
        <v>34</v>
      </c>
    </row>
    <row r="17" spans="1:2">
      <c r="A17" s="2" t="s">
        <v>35</v>
      </c>
      <c r="B17" s="2" t="s">
        <v>36</v>
      </c>
    </row>
    <row r="18" spans="1:2">
      <c r="A18" s="2" t="s">
        <v>37</v>
      </c>
      <c r="B18" s="2" t="s">
        <v>38</v>
      </c>
    </row>
    <row r="19" spans="1:2">
      <c r="A19" s="2" t="s">
        <v>28</v>
      </c>
      <c r="B19" s="2" t="s">
        <v>39</v>
      </c>
    </row>
    <row r="20" spans="1:2">
      <c r="A20" s="2" t="s">
        <v>40</v>
      </c>
      <c r="B20" s="2" t="s">
        <v>41</v>
      </c>
    </row>
    <row r="21" spans="1:2">
      <c r="A21" s="2" t="s">
        <v>42</v>
      </c>
      <c r="B21" s="2" t="s">
        <v>43</v>
      </c>
    </row>
    <row r="22" spans="1:2">
      <c r="A22" s="2" t="s">
        <v>44</v>
      </c>
      <c r="B22" s="2" t="s">
        <v>45</v>
      </c>
    </row>
    <row r="23" spans="1:2">
      <c r="A23" s="2" t="s">
        <v>46</v>
      </c>
      <c r="B23" s="2" t="s">
        <v>47</v>
      </c>
    </row>
    <row r="24" spans="1:2">
      <c r="A24" s="2" t="s">
        <v>48</v>
      </c>
      <c r="B24" s="2" t="s">
        <v>49</v>
      </c>
    </row>
    <row r="25" spans="1:2">
      <c r="A25" s="2" t="s">
        <v>50</v>
      </c>
      <c r="B25" s="2" t="s">
        <v>51</v>
      </c>
    </row>
    <row r="26" spans="1:2">
      <c r="A26" s="2" t="s">
        <v>52</v>
      </c>
      <c r="B26" s="2" t="s">
        <v>53</v>
      </c>
    </row>
    <row r="27" spans="1:2">
      <c r="A27" s="2" t="s">
        <v>54</v>
      </c>
      <c r="B27" s="2" t="s">
        <v>55</v>
      </c>
    </row>
    <row r="28" spans="1:2">
      <c r="A28" s="2" t="s">
        <v>56</v>
      </c>
      <c r="B28" s="2" t="s">
        <v>57</v>
      </c>
    </row>
    <row r="29" spans="1:2">
      <c r="A29" s="2" t="s">
        <v>58</v>
      </c>
      <c r="B29" s="2" t="s">
        <v>59</v>
      </c>
    </row>
    <row r="30" spans="1:2">
      <c r="A30" s="2" t="s">
        <v>60</v>
      </c>
      <c r="B30" s="2" t="s">
        <v>61</v>
      </c>
    </row>
    <row r="31" spans="1:2">
      <c r="A31" s="2" t="s">
        <v>62</v>
      </c>
      <c r="B31" s="2"/>
    </row>
    <row r="32" spans="1:2">
      <c r="A32" s="2" t="s">
        <v>63</v>
      </c>
      <c r="B32" s="2"/>
    </row>
    <row r="33" spans="1:2">
      <c r="A33" s="2" t="s">
        <v>64</v>
      </c>
      <c r="B33" s="2"/>
    </row>
    <row r="34" spans="1:2">
      <c r="A34" s="2" t="s">
        <v>65</v>
      </c>
      <c r="B34" s="2"/>
    </row>
    <row r="35" spans="1:2">
      <c r="A35" s="2" t="s">
        <v>66</v>
      </c>
      <c r="B35" s="2"/>
    </row>
    <row r="36" spans="1:2">
      <c r="A36" s="2" t="s">
        <v>67</v>
      </c>
      <c r="B36" s="2"/>
    </row>
    <row r="37" spans="1:2">
      <c r="A37" s="2" t="s">
        <v>68</v>
      </c>
      <c r="B37" s="2"/>
    </row>
    <row r="38" spans="1:2">
      <c r="A38" s="2" t="s">
        <v>69</v>
      </c>
      <c r="B38" s="2"/>
    </row>
    <row r="39" spans="1:2">
      <c r="A39" s="2" t="s">
        <v>70</v>
      </c>
      <c r="B39" s="2"/>
    </row>
    <row r="40" spans="1:2">
      <c r="A40" s="2" t="s">
        <v>71</v>
      </c>
      <c r="B40" s="2"/>
    </row>
    <row r="41" spans="1:2">
      <c r="A41" s="2" t="s">
        <v>72</v>
      </c>
      <c r="B41" s="2"/>
    </row>
    <row r="42" spans="1:2">
      <c r="A42" s="2" t="s">
        <v>73</v>
      </c>
      <c r="B42" s="2"/>
    </row>
    <row r="43" spans="1:2">
      <c r="A43" s="2" t="s">
        <v>74</v>
      </c>
      <c r="B43" s="2"/>
    </row>
    <row r="44" spans="1:2">
      <c r="A44" s="2" t="s">
        <v>75</v>
      </c>
      <c r="B44" s="2"/>
    </row>
    <row r="45" spans="1:2">
      <c r="A45" s="2" t="s">
        <v>76</v>
      </c>
      <c r="B45" s="2"/>
    </row>
    <row r="46" spans="1:2">
      <c r="A46" s="2" t="s">
        <v>77</v>
      </c>
      <c r="B46" s="2"/>
    </row>
    <row r="47" spans="1:2">
      <c r="A47" s="2" t="s">
        <v>78</v>
      </c>
      <c r="B47" s="2"/>
    </row>
    <row r="48" spans="1:2">
      <c r="A48" s="2" t="s">
        <v>79</v>
      </c>
      <c r="B48" s="2"/>
    </row>
    <row r="49" spans="1:1">
      <c r="A49" s="2" t="s">
        <v>80</v>
      </c>
    </row>
    <row r="50" spans="1:1">
      <c r="A50" s="2" t="s">
        <v>81</v>
      </c>
    </row>
    <row r="51" spans="1:1">
      <c r="A51" s="2" t="s">
        <v>82</v>
      </c>
    </row>
    <row r="52" spans="1:1">
      <c r="A52" s="2" t="s">
        <v>83</v>
      </c>
    </row>
    <row r="53" spans="1:1">
      <c r="A53" s="2" t="s">
        <v>84</v>
      </c>
    </row>
    <row r="54" spans="1:1">
      <c r="A54" s="2" t="s">
        <v>85</v>
      </c>
    </row>
    <row r="55" spans="1:1">
      <c r="A55" s="2" t="s">
        <v>86</v>
      </c>
    </row>
    <row r="56" spans="1:1">
      <c r="A56" s="2" t="s">
        <v>51</v>
      </c>
    </row>
    <row r="57" spans="1:1">
      <c r="A57" s="2" t="s">
        <v>87</v>
      </c>
    </row>
    <row r="58" spans="1:1">
      <c r="A58" s="2" t="s">
        <v>88</v>
      </c>
    </row>
    <row r="59" spans="1:1">
      <c r="A59" s="2" t="s">
        <v>89</v>
      </c>
    </row>
    <row r="60" spans="1:1">
      <c r="A60" s="2" t="s">
        <v>90</v>
      </c>
    </row>
    <row r="61" spans="1:1">
      <c r="A61" s="2" t="s">
        <v>91</v>
      </c>
    </row>
    <row r="62" spans="1:1">
      <c r="A62" s="2" t="s">
        <v>92</v>
      </c>
    </row>
    <row r="63" spans="1:1">
      <c r="A63" s="2" t="s">
        <v>93</v>
      </c>
    </row>
    <row r="64" spans="1:1">
      <c r="A64" s="2" t="s">
        <v>26</v>
      </c>
    </row>
    <row r="65" spans="1:1">
      <c r="A65" s="2" t="s">
        <v>94</v>
      </c>
    </row>
    <row r="66" spans="1:1">
      <c r="A66" s="2" t="s">
        <v>95</v>
      </c>
    </row>
    <row r="67" spans="1:1">
      <c r="A67" s="2" t="s">
        <v>96</v>
      </c>
    </row>
    <row r="68" spans="1:1">
      <c r="A68" s="2" t="s">
        <v>97</v>
      </c>
    </row>
    <row r="69" spans="1:1">
      <c r="A69" s="2" t="s">
        <v>69</v>
      </c>
    </row>
    <row r="70" spans="1:1">
      <c r="A70" s="2" t="s">
        <v>98</v>
      </c>
    </row>
    <row r="71" spans="1:1">
      <c r="A71" s="2" t="s">
        <v>99</v>
      </c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autoFilter ref="A1:C61" xr:uid="{DB8FBD48-0962-42AB-979D-2D638192E7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opLeftCell="A13" workbookViewId="0">
      <selection activeCell="A27" sqref="A27:F27"/>
    </sheetView>
  </sheetViews>
  <sheetFormatPr defaultColWidth="11.28515625" defaultRowHeight="15"/>
  <cols>
    <col min="1" max="1" width="23.85546875" bestFit="1" customWidth="1"/>
    <col min="2" max="2" width="22.140625" bestFit="1" customWidth="1"/>
    <col min="3" max="3" width="6.7109375" bestFit="1" customWidth="1"/>
    <col min="4" max="4" width="6" bestFit="1" customWidth="1"/>
    <col min="5" max="5" width="11.85546875" bestFit="1" customWidth="1"/>
    <col min="6" max="6" width="21.7109375" bestFit="1" customWidth="1"/>
    <col min="7" max="7" width="17.28515625" bestFit="1" customWidth="1"/>
    <col min="8" max="8" width="26.28515625" bestFit="1" customWidth="1"/>
    <col min="9" max="9" width="21.7109375" bestFit="1" customWidth="1"/>
    <col min="10" max="10" width="17" bestFit="1" customWidth="1"/>
    <col min="11" max="11" width="14.7109375" bestFit="1" customWidth="1"/>
    <col min="12" max="13" width="10" customWidth="1"/>
    <col min="14" max="14" width="6" customWidth="1"/>
    <col min="15" max="15" width="13.7109375" bestFit="1" customWidth="1"/>
    <col min="16" max="16" width="20.7109375" bestFit="1" customWidth="1"/>
    <col min="17" max="17" width="13.28515625" bestFit="1" customWidth="1"/>
    <col min="18" max="19" width="8.5703125" customWidth="1"/>
    <col min="20" max="20" width="15" bestFit="1" customWidth="1"/>
    <col min="21" max="21" width="10" customWidth="1"/>
    <col min="22" max="22" width="6.7109375" customWidth="1"/>
    <col min="23" max="23" width="10" customWidth="1"/>
    <col min="24" max="24" width="7.28515625" customWidth="1"/>
    <col min="25" max="25" width="14.7109375" bestFit="1" customWidth="1"/>
    <col min="26" max="26" width="9" customWidth="1"/>
    <col min="27" max="27" width="14.7109375" bestFit="1" customWidth="1"/>
    <col min="28" max="28" width="16.7109375" bestFit="1" customWidth="1"/>
    <col min="29" max="29" width="11" customWidth="1"/>
    <col min="30" max="30" width="14" bestFit="1" customWidth="1"/>
    <col min="31" max="31" width="5.7109375" customWidth="1"/>
    <col min="32" max="32" width="5.42578125" customWidth="1"/>
    <col min="33" max="33" width="8.28515625" customWidth="1"/>
    <col min="34" max="34" width="13.28515625" bestFit="1" customWidth="1"/>
    <col min="35" max="35" width="5" customWidth="1"/>
    <col min="36" max="36" width="12.42578125" customWidth="1"/>
    <col min="37" max="37" width="12.42578125" bestFit="1" customWidth="1"/>
  </cols>
  <sheetData>
    <row r="1" spans="1:5">
      <c r="A1" s="4" t="s">
        <v>100</v>
      </c>
      <c r="B1" s="2">
        <v>2016</v>
      </c>
    </row>
    <row r="3" spans="1:5">
      <c r="A3" s="4" t="s">
        <v>101</v>
      </c>
      <c r="B3" s="4" t="s">
        <v>102</v>
      </c>
    </row>
    <row r="4" spans="1:5">
      <c r="A4" s="4" t="s">
        <v>103</v>
      </c>
      <c r="B4" t="s">
        <v>5</v>
      </c>
      <c r="C4" t="s">
        <v>8</v>
      </c>
      <c r="D4" t="s">
        <v>11</v>
      </c>
      <c r="E4" t="s">
        <v>104</v>
      </c>
    </row>
    <row r="5" spans="1:5">
      <c r="A5" s="2" t="s">
        <v>6</v>
      </c>
      <c r="B5">
        <v>2.25</v>
      </c>
      <c r="C5">
        <v>1.5</v>
      </c>
      <c r="E5">
        <v>3.75</v>
      </c>
    </row>
    <row r="6" spans="1:5">
      <c r="A6" s="2" t="s">
        <v>9</v>
      </c>
      <c r="B6">
        <v>24.75</v>
      </c>
      <c r="C6">
        <v>6.75</v>
      </c>
      <c r="D6">
        <v>0.75</v>
      </c>
      <c r="E6">
        <v>32.25</v>
      </c>
    </row>
    <row r="7" spans="1:5">
      <c r="A7" s="2" t="s">
        <v>15</v>
      </c>
      <c r="B7">
        <v>2.25</v>
      </c>
      <c r="C7">
        <v>1.5</v>
      </c>
      <c r="D7">
        <v>0.75</v>
      </c>
      <c r="E7">
        <v>4.5</v>
      </c>
    </row>
    <row r="8" spans="1:5">
      <c r="A8" s="2" t="s">
        <v>105</v>
      </c>
      <c r="B8">
        <v>23.5</v>
      </c>
      <c r="C8">
        <v>6.75</v>
      </c>
      <c r="D8">
        <v>8.25</v>
      </c>
      <c r="E8">
        <v>38.5</v>
      </c>
    </row>
    <row r="9" spans="1:5">
      <c r="A9" s="2" t="s">
        <v>106</v>
      </c>
      <c r="B9">
        <v>3</v>
      </c>
      <c r="C9">
        <v>1.5</v>
      </c>
      <c r="E9">
        <v>4.5</v>
      </c>
    </row>
    <row r="10" spans="1:5">
      <c r="A10" s="2" t="s">
        <v>63</v>
      </c>
      <c r="B10">
        <v>171</v>
      </c>
      <c r="C10">
        <v>13.5</v>
      </c>
      <c r="D10">
        <v>28.5</v>
      </c>
      <c r="E10">
        <v>213</v>
      </c>
    </row>
    <row r="11" spans="1:5">
      <c r="A11" s="2" t="s">
        <v>107</v>
      </c>
      <c r="D11">
        <v>2.25</v>
      </c>
      <c r="E11">
        <v>2.25</v>
      </c>
    </row>
    <row r="12" spans="1:5">
      <c r="A12" s="2" t="s">
        <v>13</v>
      </c>
      <c r="B12">
        <v>35.25</v>
      </c>
      <c r="C12">
        <v>3.75</v>
      </c>
      <c r="D12">
        <v>21.75</v>
      </c>
      <c r="E12">
        <v>60.75</v>
      </c>
    </row>
    <row r="13" spans="1:5">
      <c r="A13" s="2" t="s">
        <v>64</v>
      </c>
      <c r="B13">
        <v>11.25</v>
      </c>
      <c r="C13">
        <v>0.75</v>
      </c>
      <c r="D13">
        <v>6.75</v>
      </c>
      <c r="E13">
        <v>18.75</v>
      </c>
    </row>
    <row r="14" spans="1:5">
      <c r="A14" s="2" t="s">
        <v>66</v>
      </c>
      <c r="B14">
        <v>50.75</v>
      </c>
      <c r="C14">
        <v>3</v>
      </c>
      <c r="E14">
        <v>53.75</v>
      </c>
    </row>
    <row r="15" spans="1:5">
      <c r="A15" s="2" t="s">
        <v>25</v>
      </c>
      <c r="B15">
        <v>1.5</v>
      </c>
      <c r="E15">
        <v>1.5</v>
      </c>
    </row>
    <row r="16" spans="1:5">
      <c r="A16" s="2" t="s">
        <v>27</v>
      </c>
      <c r="B16">
        <v>3</v>
      </c>
      <c r="E16">
        <v>3</v>
      </c>
    </row>
    <row r="17" spans="1:5">
      <c r="A17" s="2" t="s">
        <v>29</v>
      </c>
      <c r="B17">
        <v>6.75</v>
      </c>
      <c r="E17">
        <v>6.75</v>
      </c>
    </row>
    <row r="18" spans="1:5">
      <c r="A18" s="2" t="s">
        <v>31</v>
      </c>
      <c r="B18">
        <v>1.5</v>
      </c>
      <c r="C18">
        <v>5.25</v>
      </c>
      <c r="D18">
        <v>1.5</v>
      </c>
      <c r="E18">
        <v>8.25</v>
      </c>
    </row>
    <row r="19" spans="1:5">
      <c r="A19" s="2" t="s">
        <v>108</v>
      </c>
      <c r="B19">
        <v>1.5</v>
      </c>
      <c r="E19">
        <v>1.5</v>
      </c>
    </row>
    <row r="20" spans="1:5">
      <c r="A20" s="2" t="s">
        <v>109</v>
      </c>
      <c r="B20">
        <v>34.5</v>
      </c>
      <c r="C20">
        <v>18.75</v>
      </c>
      <c r="D20">
        <v>0.75</v>
      </c>
      <c r="E20">
        <v>54</v>
      </c>
    </row>
    <row r="21" spans="1:5">
      <c r="A21" s="2" t="s">
        <v>110</v>
      </c>
      <c r="B21">
        <v>45.75</v>
      </c>
      <c r="C21">
        <v>3.75</v>
      </c>
      <c r="E21">
        <v>49.5</v>
      </c>
    </row>
    <row r="22" spans="1:5">
      <c r="A22" s="2" t="s">
        <v>111</v>
      </c>
      <c r="B22">
        <v>6.75</v>
      </c>
      <c r="E22">
        <v>6.75</v>
      </c>
    </row>
    <row r="23" spans="1:5">
      <c r="A23" s="2" t="s">
        <v>28</v>
      </c>
      <c r="B23">
        <v>122.5</v>
      </c>
      <c r="C23">
        <v>29.5</v>
      </c>
      <c r="D23">
        <v>4.5</v>
      </c>
      <c r="E23">
        <v>156.5</v>
      </c>
    </row>
    <row r="24" spans="1:5">
      <c r="A24" s="2" t="s">
        <v>112</v>
      </c>
      <c r="B24">
        <v>9</v>
      </c>
      <c r="E24">
        <v>9</v>
      </c>
    </row>
    <row r="25" spans="1:5">
      <c r="A25" s="2" t="s">
        <v>113</v>
      </c>
      <c r="B25">
        <v>10.5</v>
      </c>
      <c r="E25">
        <v>10.5</v>
      </c>
    </row>
    <row r="26" spans="1:5">
      <c r="A26" s="2" t="s">
        <v>42</v>
      </c>
      <c r="B26">
        <v>2.25</v>
      </c>
      <c r="E26">
        <v>2.25</v>
      </c>
    </row>
    <row r="27" spans="1:5">
      <c r="A27" s="2" t="s">
        <v>50</v>
      </c>
      <c r="B27">
        <v>6.75</v>
      </c>
      <c r="C27">
        <v>4.5</v>
      </c>
      <c r="D27">
        <v>3</v>
      </c>
      <c r="E27">
        <v>14.25</v>
      </c>
    </row>
    <row r="28" spans="1:5">
      <c r="A28" s="2" t="s">
        <v>72</v>
      </c>
      <c r="B28">
        <v>1.5</v>
      </c>
      <c r="E28">
        <v>1.5</v>
      </c>
    </row>
    <row r="29" spans="1:5">
      <c r="A29" s="2" t="s">
        <v>114</v>
      </c>
      <c r="B29">
        <v>1.5</v>
      </c>
      <c r="E29">
        <v>1.5</v>
      </c>
    </row>
    <row r="30" spans="1:5">
      <c r="A30" s="2" t="s">
        <v>46</v>
      </c>
      <c r="B30">
        <v>3</v>
      </c>
      <c r="C30">
        <v>1.5</v>
      </c>
      <c r="D30">
        <v>9</v>
      </c>
      <c r="E30">
        <v>13.5</v>
      </c>
    </row>
    <row r="31" spans="1:5">
      <c r="A31" s="2" t="s">
        <v>115</v>
      </c>
      <c r="B31">
        <v>9</v>
      </c>
      <c r="C31">
        <v>1.5</v>
      </c>
      <c r="E31">
        <v>10.5</v>
      </c>
    </row>
    <row r="32" spans="1:5">
      <c r="A32" s="2" t="s">
        <v>116</v>
      </c>
      <c r="B32">
        <v>7.5</v>
      </c>
      <c r="E32">
        <v>7.5</v>
      </c>
    </row>
    <row r="33" spans="1:5">
      <c r="A33" s="2" t="s">
        <v>78</v>
      </c>
      <c r="B33">
        <v>4.5</v>
      </c>
      <c r="E33">
        <v>4.5</v>
      </c>
    </row>
    <row r="34" spans="1:5">
      <c r="A34" s="2" t="s">
        <v>79</v>
      </c>
      <c r="B34">
        <v>22.5</v>
      </c>
      <c r="C34">
        <v>4.5</v>
      </c>
      <c r="D34">
        <v>7.5</v>
      </c>
      <c r="E34">
        <v>34.5</v>
      </c>
    </row>
    <row r="35" spans="1:5">
      <c r="A35" s="2" t="s">
        <v>80</v>
      </c>
      <c r="B35">
        <v>4.5</v>
      </c>
      <c r="E35">
        <v>4.5</v>
      </c>
    </row>
    <row r="36" spans="1:5">
      <c r="A36" s="2" t="s">
        <v>117</v>
      </c>
      <c r="B36">
        <v>3</v>
      </c>
      <c r="E36">
        <v>3</v>
      </c>
    </row>
    <row r="37" spans="1:5">
      <c r="A37" s="2" t="s">
        <v>104</v>
      </c>
      <c r="B37">
        <v>633.25</v>
      </c>
      <c r="C37">
        <v>108.25</v>
      </c>
      <c r="D37">
        <v>95.25</v>
      </c>
      <c r="E37">
        <v>836.75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D1C0-7102-A44B-BE3A-9EF2B4CFBD58}">
  <dimension ref="A1:E42"/>
  <sheetViews>
    <sheetView workbookViewId="0">
      <selection activeCell="A5" sqref="A5"/>
    </sheetView>
  </sheetViews>
  <sheetFormatPr defaultColWidth="11.28515625" defaultRowHeight="15"/>
  <cols>
    <col min="1" max="1" width="24.140625" bestFit="1" customWidth="1"/>
    <col min="2" max="2" width="22.140625" bestFit="1" customWidth="1"/>
    <col min="3" max="3" width="4.85546875" bestFit="1" customWidth="1"/>
    <col min="4" max="4" width="6" bestFit="1" customWidth="1"/>
    <col min="5" max="5" width="11.85546875" bestFit="1" customWidth="1"/>
  </cols>
  <sheetData>
    <row r="1" spans="1:5">
      <c r="A1" s="4" t="s">
        <v>100</v>
      </c>
      <c r="B1" s="2">
        <v>2017</v>
      </c>
    </row>
    <row r="3" spans="1:5">
      <c r="A3" s="4" t="s">
        <v>118</v>
      </c>
      <c r="B3" s="4" t="s">
        <v>102</v>
      </c>
    </row>
    <row r="4" spans="1:5">
      <c r="A4" s="4" t="s">
        <v>103</v>
      </c>
      <c r="B4" t="s">
        <v>5</v>
      </c>
      <c r="C4" t="s">
        <v>8</v>
      </c>
      <c r="D4" t="s">
        <v>11</v>
      </c>
      <c r="E4" t="s">
        <v>104</v>
      </c>
    </row>
    <row r="5" spans="1:5">
      <c r="A5" s="2" t="s">
        <v>57</v>
      </c>
      <c r="B5">
        <v>58</v>
      </c>
      <c r="C5">
        <v>9</v>
      </c>
      <c r="D5">
        <v>4</v>
      </c>
      <c r="E5">
        <v>71</v>
      </c>
    </row>
    <row r="6" spans="1:5">
      <c r="A6" s="2" t="s">
        <v>119</v>
      </c>
      <c r="C6">
        <v>2</v>
      </c>
      <c r="E6">
        <v>2</v>
      </c>
    </row>
    <row r="7" spans="1:5">
      <c r="A7" s="2" t="s">
        <v>6</v>
      </c>
      <c r="B7">
        <v>20</v>
      </c>
      <c r="C7">
        <v>11</v>
      </c>
      <c r="D7">
        <v>1</v>
      </c>
      <c r="E7">
        <v>32</v>
      </c>
    </row>
    <row r="8" spans="1:5">
      <c r="A8" s="2" t="s">
        <v>9</v>
      </c>
      <c r="B8">
        <v>7</v>
      </c>
      <c r="D8">
        <v>2</v>
      </c>
      <c r="E8">
        <v>9</v>
      </c>
    </row>
    <row r="9" spans="1:5">
      <c r="A9" s="2" t="s">
        <v>60</v>
      </c>
      <c r="B9">
        <v>6</v>
      </c>
      <c r="D9">
        <v>3</v>
      </c>
      <c r="E9">
        <v>9</v>
      </c>
    </row>
    <row r="10" spans="1:5">
      <c r="A10" s="2" t="s">
        <v>63</v>
      </c>
      <c r="B10">
        <v>100</v>
      </c>
      <c r="C10">
        <v>2</v>
      </c>
      <c r="E10">
        <v>102</v>
      </c>
    </row>
    <row r="11" spans="1:5">
      <c r="A11" s="2" t="s">
        <v>13</v>
      </c>
      <c r="B11">
        <v>16</v>
      </c>
      <c r="C11">
        <v>8</v>
      </c>
      <c r="D11">
        <v>6</v>
      </c>
      <c r="E11">
        <v>30</v>
      </c>
    </row>
    <row r="12" spans="1:5">
      <c r="A12" s="2" t="s">
        <v>64</v>
      </c>
      <c r="B12">
        <v>3</v>
      </c>
      <c r="D12">
        <v>1</v>
      </c>
      <c r="E12">
        <v>4</v>
      </c>
    </row>
    <row r="13" spans="1:5">
      <c r="A13" s="2" t="s">
        <v>120</v>
      </c>
      <c r="B13">
        <v>3</v>
      </c>
      <c r="C13">
        <v>1</v>
      </c>
      <c r="E13">
        <v>4</v>
      </c>
    </row>
    <row r="14" spans="1:5">
      <c r="A14" s="2" t="s">
        <v>65</v>
      </c>
      <c r="B14">
        <v>2</v>
      </c>
      <c r="E14">
        <v>2</v>
      </c>
    </row>
    <row r="15" spans="1:5">
      <c r="A15" s="2" t="s">
        <v>121</v>
      </c>
      <c r="C15">
        <v>1</v>
      </c>
      <c r="E15">
        <v>1</v>
      </c>
    </row>
    <row r="16" spans="1:5">
      <c r="A16" s="2" t="s">
        <v>27</v>
      </c>
      <c r="B16">
        <v>3</v>
      </c>
      <c r="E16">
        <v>3</v>
      </c>
    </row>
    <row r="17" spans="1:5">
      <c r="A17" s="2" t="s">
        <v>29</v>
      </c>
      <c r="B17">
        <v>1</v>
      </c>
      <c r="E17">
        <v>1</v>
      </c>
    </row>
    <row r="18" spans="1:5">
      <c r="A18" s="2" t="s">
        <v>122</v>
      </c>
      <c r="B18">
        <v>1</v>
      </c>
      <c r="E18">
        <v>1</v>
      </c>
    </row>
    <row r="19" spans="1:5">
      <c r="A19" s="2" t="s">
        <v>33</v>
      </c>
      <c r="B19">
        <v>4</v>
      </c>
      <c r="C19">
        <v>2</v>
      </c>
      <c r="E19">
        <v>6</v>
      </c>
    </row>
    <row r="20" spans="1:5">
      <c r="A20" s="2" t="s">
        <v>109</v>
      </c>
      <c r="B20">
        <v>20</v>
      </c>
      <c r="C20">
        <v>15</v>
      </c>
      <c r="E20">
        <v>35</v>
      </c>
    </row>
    <row r="21" spans="1:5">
      <c r="A21" s="2" t="s">
        <v>110</v>
      </c>
      <c r="B21">
        <v>7</v>
      </c>
      <c r="C21">
        <v>2</v>
      </c>
      <c r="E21">
        <v>9</v>
      </c>
    </row>
    <row r="22" spans="1:5">
      <c r="A22" s="2" t="s">
        <v>111</v>
      </c>
      <c r="D22">
        <v>1</v>
      </c>
      <c r="E22">
        <v>1</v>
      </c>
    </row>
    <row r="23" spans="1:5">
      <c r="A23" s="2" t="s">
        <v>28</v>
      </c>
      <c r="B23">
        <v>10</v>
      </c>
      <c r="C23">
        <v>5</v>
      </c>
      <c r="E23">
        <v>15</v>
      </c>
    </row>
    <row r="24" spans="1:5">
      <c r="A24" s="2" t="s">
        <v>123</v>
      </c>
      <c r="B24">
        <v>2</v>
      </c>
      <c r="E24">
        <v>2</v>
      </c>
    </row>
    <row r="25" spans="1:5">
      <c r="A25" s="2" t="s">
        <v>113</v>
      </c>
      <c r="B25">
        <v>13</v>
      </c>
      <c r="E25">
        <v>13</v>
      </c>
    </row>
    <row r="26" spans="1:5">
      <c r="A26" s="2" t="s">
        <v>124</v>
      </c>
      <c r="B26">
        <v>3</v>
      </c>
      <c r="C26">
        <v>1</v>
      </c>
      <c r="E26">
        <v>4</v>
      </c>
    </row>
    <row r="27" spans="1:5">
      <c r="A27" s="2" t="s">
        <v>50</v>
      </c>
      <c r="B27">
        <v>4</v>
      </c>
      <c r="C27">
        <v>1</v>
      </c>
      <c r="E27">
        <v>5</v>
      </c>
    </row>
    <row r="28" spans="1:5">
      <c r="A28" s="2" t="s">
        <v>44</v>
      </c>
      <c r="B28">
        <v>6</v>
      </c>
      <c r="E28">
        <v>6</v>
      </c>
    </row>
    <row r="29" spans="1:5">
      <c r="A29" s="2" t="s">
        <v>73</v>
      </c>
      <c r="C29">
        <v>1</v>
      </c>
      <c r="E29">
        <v>1</v>
      </c>
    </row>
    <row r="30" spans="1:5">
      <c r="A30" s="2" t="s">
        <v>74</v>
      </c>
      <c r="B30">
        <v>2</v>
      </c>
      <c r="E30">
        <v>2</v>
      </c>
    </row>
    <row r="31" spans="1:5">
      <c r="A31" s="2" t="s">
        <v>114</v>
      </c>
      <c r="C31">
        <v>3</v>
      </c>
      <c r="E31">
        <v>3</v>
      </c>
    </row>
    <row r="32" spans="1:5">
      <c r="A32" s="2" t="s">
        <v>46</v>
      </c>
      <c r="D32">
        <v>1</v>
      </c>
      <c r="E32">
        <v>1</v>
      </c>
    </row>
    <row r="33" spans="1:5">
      <c r="A33" s="2" t="s">
        <v>125</v>
      </c>
      <c r="B33">
        <v>2</v>
      </c>
      <c r="E33">
        <v>2</v>
      </c>
    </row>
    <row r="34" spans="1:5">
      <c r="A34" s="2" t="s">
        <v>126</v>
      </c>
      <c r="B34">
        <v>2</v>
      </c>
      <c r="C34">
        <v>1</v>
      </c>
      <c r="E34">
        <v>3</v>
      </c>
    </row>
    <row r="35" spans="1:5">
      <c r="A35" s="2" t="s">
        <v>127</v>
      </c>
      <c r="B35">
        <v>1</v>
      </c>
      <c r="E35">
        <v>1</v>
      </c>
    </row>
    <row r="36" spans="1:5">
      <c r="A36" s="2" t="s">
        <v>77</v>
      </c>
      <c r="C36">
        <v>1</v>
      </c>
      <c r="E36">
        <v>1</v>
      </c>
    </row>
    <row r="37" spans="1:5">
      <c r="A37" s="2" t="s">
        <v>78</v>
      </c>
      <c r="B37">
        <v>2</v>
      </c>
      <c r="E37">
        <v>2</v>
      </c>
    </row>
    <row r="38" spans="1:5">
      <c r="A38" s="2" t="s">
        <v>79</v>
      </c>
      <c r="B38">
        <v>18</v>
      </c>
      <c r="C38">
        <v>5</v>
      </c>
      <c r="E38">
        <v>23</v>
      </c>
    </row>
    <row r="39" spans="1:5">
      <c r="A39" s="2" t="s">
        <v>80</v>
      </c>
      <c r="B39">
        <v>4</v>
      </c>
      <c r="E39">
        <v>4</v>
      </c>
    </row>
    <row r="40" spans="1:5">
      <c r="A40" s="2" t="s">
        <v>117</v>
      </c>
      <c r="D40">
        <v>1</v>
      </c>
      <c r="E40">
        <v>1</v>
      </c>
    </row>
    <row r="41" spans="1:5">
      <c r="A41" s="2" t="s">
        <v>81</v>
      </c>
      <c r="B41">
        <v>8</v>
      </c>
      <c r="E41">
        <v>8</v>
      </c>
    </row>
    <row r="42" spans="1:5">
      <c r="A42" s="2" t="s">
        <v>104</v>
      </c>
      <c r="B42">
        <v>328</v>
      </c>
      <c r="C42">
        <v>71</v>
      </c>
      <c r="D42">
        <v>20</v>
      </c>
      <c r="E42">
        <v>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69"/>
  <sheetViews>
    <sheetView zoomScale="70" zoomScaleNormal="70" zoomScalePageLayoutView="70" workbookViewId="0">
      <pane xSplit="1" ySplit="4" topLeftCell="B5" activePane="bottomRight" state="frozen"/>
      <selection pane="bottomRight"/>
      <selection pane="bottomLeft" activeCell="A5" sqref="A5"/>
      <selection pane="topRight" activeCell="B1" sqref="B1"/>
    </sheetView>
  </sheetViews>
  <sheetFormatPr defaultColWidth="11.28515625" defaultRowHeight="15"/>
  <cols>
    <col min="1" max="1" width="23.85546875" bestFit="1" customWidth="1"/>
    <col min="2" max="2" width="22.7109375" bestFit="1" customWidth="1"/>
    <col min="3" max="3" width="9.140625" bestFit="1" customWidth="1"/>
    <col min="4" max="4" width="6.28515625" bestFit="1" customWidth="1"/>
    <col min="5" max="5" width="13.7109375" bestFit="1" customWidth="1"/>
    <col min="6" max="6" width="14.140625" bestFit="1" customWidth="1"/>
    <col min="7" max="7" width="21" bestFit="1" customWidth="1"/>
    <col min="8" max="8" width="12.85546875" bestFit="1" customWidth="1"/>
    <col min="9" max="10" width="4.85546875" bestFit="1" customWidth="1"/>
    <col min="11" max="11" width="12" bestFit="1" customWidth="1"/>
    <col min="12" max="12" width="14.42578125" bestFit="1" customWidth="1"/>
    <col min="13" max="13" width="14.85546875" bestFit="1" customWidth="1"/>
    <col min="14" max="14" width="11.85546875" bestFit="1" customWidth="1"/>
    <col min="15" max="15" width="8" bestFit="1" customWidth="1"/>
    <col min="16" max="16" width="8.5703125" bestFit="1" customWidth="1"/>
    <col min="17" max="17" width="9.28515625" bestFit="1" customWidth="1"/>
    <col min="18" max="18" width="7.140625" bestFit="1" customWidth="1"/>
    <col min="19" max="19" width="22.7109375" bestFit="1" customWidth="1"/>
    <col min="20" max="20" width="8.28515625" bestFit="1" customWidth="1"/>
    <col min="21" max="21" width="9.7109375" bestFit="1" customWidth="1"/>
    <col min="22" max="22" width="9" bestFit="1" customWidth="1"/>
    <col min="23" max="23" width="9.28515625" bestFit="1" customWidth="1"/>
    <col min="24" max="24" width="13" bestFit="1" customWidth="1"/>
    <col min="25" max="25" width="10.7109375" bestFit="1" customWidth="1"/>
    <col min="26" max="26" width="12" bestFit="1" customWidth="1"/>
    <col min="27" max="27" width="11.85546875" bestFit="1" customWidth="1"/>
    <col min="28" max="28" width="13" bestFit="1" customWidth="1"/>
    <col min="29" max="29" width="10.7109375" bestFit="1" customWidth="1"/>
    <col min="30" max="30" width="4.85546875" bestFit="1" customWidth="1"/>
    <col min="31" max="31" width="13.7109375" bestFit="1" customWidth="1"/>
    <col min="32" max="32" width="5.85546875" bestFit="1" customWidth="1"/>
    <col min="33" max="33" width="4.85546875" bestFit="1" customWidth="1"/>
    <col min="34" max="34" width="6.28515625" bestFit="1" customWidth="1"/>
    <col min="35" max="35" width="6.7109375" bestFit="1" customWidth="1"/>
    <col min="36" max="36" width="8.28515625" bestFit="1" customWidth="1"/>
    <col min="37" max="37" width="11.140625" bestFit="1" customWidth="1"/>
    <col min="38" max="38" width="5.140625" bestFit="1" customWidth="1"/>
    <col min="39" max="39" width="10.7109375" bestFit="1" customWidth="1"/>
    <col min="40" max="40" width="11.7109375" bestFit="1" customWidth="1"/>
    <col min="41" max="41" width="20.7109375" bestFit="1" customWidth="1"/>
    <col min="42" max="42" width="9.7109375" bestFit="1" customWidth="1"/>
    <col min="43" max="43" width="11.28515625" bestFit="1" customWidth="1"/>
    <col min="44" max="44" width="6.7109375" bestFit="1" customWidth="1"/>
    <col min="45" max="45" width="21" bestFit="1" customWidth="1"/>
    <col min="46" max="46" width="29.7109375" bestFit="1" customWidth="1"/>
    <col min="47" max="47" width="8" bestFit="1" customWidth="1"/>
    <col min="48" max="48" width="9.140625" bestFit="1" customWidth="1"/>
    <col min="49" max="49" width="9.7109375" bestFit="1" customWidth="1"/>
    <col min="50" max="50" width="7.85546875" bestFit="1" customWidth="1"/>
    <col min="51" max="51" width="5.85546875" bestFit="1" customWidth="1"/>
    <col min="52" max="52" width="7.85546875" bestFit="1" customWidth="1"/>
    <col min="53" max="53" width="6" bestFit="1" customWidth="1"/>
    <col min="54" max="54" width="6.7109375" bestFit="1" customWidth="1"/>
    <col min="55" max="55" width="4.85546875" bestFit="1" customWidth="1"/>
    <col min="56" max="56" width="13.7109375" bestFit="1" customWidth="1"/>
    <col min="57" max="57" width="15.7109375" bestFit="1" customWidth="1"/>
    <col min="58" max="58" width="18" bestFit="1" customWidth="1"/>
    <col min="59" max="59" width="19.85546875" bestFit="1" customWidth="1"/>
    <col min="60" max="60" width="18.85546875" bestFit="1" customWidth="1"/>
    <col min="61" max="61" width="11.140625" bestFit="1" customWidth="1"/>
    <col min="62" max="62" width="8" bestFit="1" customWidth="1"/>
    <col min="63" max="63" width="6.140625" bestFit="1" customWidth="1"/>
    <col min="64" max="64" width="7.85546875" bestFit="1" customWidth="1"/>
    <col min="65" max="65" width="8.28515625" bestFit="1" customWidth="1"/>
    <col min="66" max="67" width="8.7109375" bestFit="1" customWidth="1"/>
    <col min="68" max="68" width="12.85546875" bestFit="1" customWidth="1"/>
    <col min="69" max="69" width="9.85546875" bestFit="1" customWidth="1"/>
    <col min="70" max="70" width="13" bestFit="1" customWidth="1"/>
    <col min="71" max="71" width="10" bestFit="1" customWidth="1"/>
    <col min="72" max="72" width="7.85546875" bestFit="1" customWidth="1"/>
    <col min="73" max="73" width="7.140625" bestFit="1" customWidth="1"/>
    <col min="74" max="74" width="6.7109375" bestFit="1" customWidth="1"/>
    <col min="75" max="75" width="4.85546875" bestFit="1" customWidth="1"/>
    <col min="76" max="76" width="11.7109375" bestFit="1" customWidth="1"/>
    <col min="77" max="77" width="12" bestFit="1" customWidth="1"/>
    <col min="78" max="78" width="13.7109375" bestFit="1" customWidth="1"/>
    <col min="79" max="79" width="14.42578125" bestFit="1" customWidth="1"/>
    <col min="80" max="80" width="14.85546875" bestFit="1" customWidth="1"/>
    <col min="81" max="81" width="7.85546875" bestFit="1" customWidth="1"/>
    <col min="82" max="82" width="12.7109375" bestFit="1" customWidth="1"/>
    <col min="83" max="83" width="12.140625" bestFit="1" customWidth="1"/>
    <col min="84" max="84" width="13.28515625" bestFit="1" customWidth="1"/>
    <col min="85" max="85" width="8.7109375" bestFit="1" customWidth="1"/>
    <col min="86" max="86" width="11.85546875" bestFit="1" customWidth="1"/>
    <col min="87" max="87" width="15.5703125" bestFit="1" customWidth="1"/>
    <col min="88" max="88" width="7.7109375" bestFit="1" customWidth="1"/>
    <col min="89" max="89" width="7.85546875" bestFit="1" customWidth="1"/>
    <col min="90" max="90" width="13.7109375" bestFit="1" customWidth="1"/>
    <col min="91" max="91" width="3.28515625" bestFit="1" customWidth="1"/>
    <col min="92" max="92" width="8" bestFit="1" customWidth="1"/>
    <col min="93" max="93" width="8.5703125" bestFit="1" customWidth="1"/>
    <col min="94" max="94" width="13.7109375" bestFit="1" customWidth="1"/>
    <col min="95" max="95" width="12.7109375" bestFit="1" customWidth="1"/>
    <col min="96" max="96" width="8.7109375" bestFit="1" customWidth="1"/>
    <col min="97" max="97" width="9.28515625" bestFit="1" customWidth="1"/>
    <col min="98" max="98" width="7.140625" bestFit="1" customWidth="1"/>
    <col min="99" max="99" width="11.85546875" bestFit="1" customWidth="1"/>
    <col min="100" max="100" width="9.28515625" bestFit="1" customWidth="1"/>
    <col min="101" max="101" width="11.7109375" bestFit="1" customWidth="1"/>
    <col min="102" max="102" width="22.7109375" bestFit="1" customWidth="1"/>
    <col min="103" max="103" width="6.28515625" bestFit="1" customWidth="1"/>
    <col min="104" max="104" width="16.7109375" bestFit="1" customWidth="1"/>
    <col min="105" max="105" width="12.140625" bestFit="1" customWidth="1"/>
    <col min="106" max="106" width="15" bestFit="1" customWidth="1"/>
    <col min="107" max="107" width="5.7109375" bestFit="1" customWidth="1"/>
    <col min="108" max="108" width="6.140625" bestFit="1" customWidth="1"/>
    <col min="109" max="109" width="16.85546875" bestFit="1" customWidth="1"/>
    <col min="110" max="110" width="11.85546875" bestFit="1" customWidth="1"/>
    <col min="111" max="111" width="7.85546875" bestFit="1" customWidth="1"/>
    <col min="112" max="112" width="8.7109375" bestFit="1" customWidth="1"/>
    <col min="113" max="113" width="15.28515625" bestFit="1" customWidth="1"/>
    <col min="114" max="114" width="8.28515625" bestFit="1" customWidth="1"/>
    <col min="115" max="115" width="9.7109375" bestFit="1" customWidth="1"/>
    <col min="116" max="116" width="11.140625" bestFit="1" customWidth="1"/>
    <col min="117" max="117" width="9.28515625" bestFit="1" customWidth="1"/>
    <col min="118" max="118" width="9.140625" bestFit="1" customWidth="1"/>
    <col min="119" max="119" width="11.85546875" bestFit="1" customWidth="1"/>
    <col min="120" max="120" width="9" bestFit="1" customWidth="1"/>
    <col min="121" max="121" width="9.28515625" bestFit="1" customWidth="1"/>
    <col min="122" max="122" width="15.7109375" bestFit="1" customWidth="1"/>
    <col min="123" max="123" width="14.85546875" bestFit="1" customWidth="1"/>
    <col min="124" max="124" width="13" bestFit="1" customWidth="1"/>
    <col min="125" max="125" width="10.7109375" bestFit="1" customWidth="1"/>
    <col min="126" max="126" width="7.85546875" bestFit="1" customWidth="1"/>
    <col min="127" max="127" width="9.85546875" bestFit="1" customWidth="1"/>
    <col min="128" max="128" width="10.140625" bestFit="1" customWidth="1"/>
    <col min="129" max="129" width="10.7109375" bestFit="1" customWidth="1"/>
    <col min="130" max="130" width="12.7109375" bestFit="1" customWidth="1"/>
    <col min="131" max="131" width="8.28515625" bestFit="1" customWidth="1"/>
    <col min="132" max="132" width="9.28515625" bestFit="1" customWidth="1"/>
    <col min="133" max="133" width="12" bestFit="1" customWidth="1"/>
    <col min="134" max="135" width="11.85546875" bestFit="1" customWidth="1"/>
    <col min="136" max="136" width="9" bestFit="1" customWidth="1"/>
    <col min="137" max="137" width="7.7109375" bestFit="1" customWidth="1"/>
    <col min="138" max="138" width="7.140625" bestFit="1" customWidth="1"/>
    <col min="139" max="139" width="13.7109375" bestFit="1" customWidth="1"/>
    <col min="140" max="140" width="13" bestFit="1" customWidth="1"/>
    <col min="141" max="141" width="8.5703125" bestFit="1" customWidth="1"/>
    <col min="142" max="142" width="21" bestFit="1" customWidth="1"/>
    <col min="143" max="143" width="5.85546875" bestFit="1" customWidth="1"/>
    <col min="144" max="144" width="10.7109375" bestFit="1" customWidth="1"/>
    <col min="145" max="145" width="10" bestFit="1" customWidth="1"/>
    <col min="146" max="146" width="11.140625" bestFit="1" customWidth="1"/>
    <col min="147" max="147" width="12.85546875" bestFit="1" customWidth="1"/>
    <col min="148" max="148" width="6.7109375" bestFit="1" customWidth="1"/>
    <col min="149" max="149" width="11.7109375" bestFit="1" customWidth="1"/>
    <col min="150" max="150" width="5.85546875" bestFit="1" customWidth="1"/>
    <col min="151" max="151" width="4.7109375" bestFit="1" customWidth="1"/>
    <col min="152" max="152" width="23.28515625" bestFit="1" customWidth="1"/>
    <col min="153" max="153" width="4.85546875" bestFit="1" customWidth="1"/>
    <col min="154" max="154" width="13.7109375" bestFit="1" customWidth="1"/>
    <col min="155" max="155" width="14" bestFit="1" customWidth="1"/>
    <col min="156" max="156" width="13.7109375" bestFit="1" customWidth="1"/>
    <col min="157" max="157" width="7.85546875" bestFit="1" customWidth="1"/>
    <col min="158" max="158" width="4.85546875" bestFit="1" customWidth="1"/>
    <col min="159" max="159" width="7.85546875" bestFit="1" customWidth="1"/>
    <col min="160" max="160" width="4.85546875" bestFit="1" customWidth="1"/>
    <col min="161" max="161" width="5.85546875" bestFit="1" customWidth="1"/>
    <col min="162" max="162" width="6.28515625" bestFit="1" customWidth="1"/>
    <col min="163" max="163" width="6.7109375" bestFit="1" customWidth="1"/>
    <col min="164" max="164" width="19.85546875" bestFit="1" customWidth="1"/>
    <col min="165" max="165" width="9.28515625" bestFit="1" customWidth="1"/>
    <col min="166" max="166" width="8.28515625" bestFit="1" customWidth="1"/>
    <col min="167" max="167" width="9.85546875" bestFit="1" customWidth="1"/>
    <col min="168" max="168" width="6.7109375" bestFit="1" customWidth="1"/>
    <col min="169" max="169" width="10.7109375" bestFit="1" customWidth="1"/>
    <col min="170" max="170" width="10.5703125" bestFit="1" customWidth="1"/>
    <col min="171" max="171" width="8" bestFit="1" customWidth="1"/>
    <col min="172" max="173" width="11.140625" bestFit="1" customWidth="1"/>
    <col min="174" max="174" width="12.140625" bestFit="1" customWidth="1"/>
    <col min="175" max="175" width="5.85546875" bestFit="1" customWidth="1"/>
    <col min="176" max="176" width="5.140625" bestFit="1" customWidth="1"/>
    <col min="177" max="177" width="12" bestFit="1" customWidth="1"/>
    <col min="178" max="178" width="5.85546875" bestFit="1" customWidth="1"/>
    <col min="179" max="179" width="10.7109375" bestFit="1" customWidth="1"/>
    <col min="180" max="180" width="5.85546875" bestFit="1" customWidth="1"/>
    <col min="181" max="181" width="11.7109375" bestFit="1" customWidth="1"/>
    <col min="182" max="182" width="8.5703125" bestFit="1" customWidth="1"/>
    <col min="183" max="183" width="5.28515625" bestFit="1" customWidth="1"/>
    <col min="184" max="184" width="5.140625" bestFit="1" customWidth="1"/>
    <col min="185" max="185" width="11.7109375" bestFit="1" customWidth="1"/>
    <col min="186" max="187" width="4.7109375" bestFit="1" customWidth="1"/>
    <col min="188" max="188" width="13.7109375" bestFit="1" customWidth="1"/>
    <col min="189" max="189" width="7.85546875" bestFit="1" customWidth="1"/>
    <col min="190" max="190" width="4.7109375" bestFit="1" customWidth="1"/>
    <col min="191" max="191" width="7.85546875" bestFit="1" customWidth="1"/>
    <col min="192" max="192" width="19.85546875" bestFit="1" customWidth="1"/>
    <col min="193" max="193" width="9.28515625" bestFit="1" customWidth="1"/>
    <col min="194" max="195" width="6.7109375" bestFit="1" customWidth="1"/>
    <col min="196" max="196" width="11.7109375" bestFit="1" customWidth="1"/>
    <col min="197" max="197" width="5.7109375" bestFit="1" customWidth="1"/>
    <col min="198" max="198" width="7" bestFit="1" customWidth="1"/>
    <col min="199" max="199" width="13" bestFit="1" customWidth="1"/>
    <col min="200" max="200" width="6.28515625" bestFit="1" customWidth="1"/>
    <col min="201" max="201" width="8.7109375" bestFit="1" customWidth="1"/>
    <col min="202" max="202" width="5.42578125" bestFit="1" customWidth="1"/>
    <col min="203" max="203" width="6.28515625" bestFit="1" customWidth="1"/>
    <col min="204" max="204" width="5.85546875" bestFit="1" customWidth="1"/>
    <col min="205" max="205" width="13.7109375" bestFit="1" customWidth="1"/>
    <col min="206" max="206" width="10" bestFit="1" customWidth="1"/>
    <col min="207" max="207" width="20.7109375" bestFit="1" customWidth="1"/>
    <col min="209" max="209" width="6.7109375" bestFit="1" customWidth="1"/>
    <col min="210" max="210" width="29.7109375" bestFit="1" customWidth="1"/>
    <col min="211" max="211" width="5.140625" bestFit="1" customWidth="1"/>
    <col min="212" max="212" width="6" bestFit="1" customWidth="1"/>
    <col min="213" max="213" width="8" bestFit="1" customWidth="1"/>
    <col min="214" max="214" width="7.85546875" bestFit="1" customWidth="1"/>
    <col min="215" max="215" width="5.85546875" bestFit="1" customWidth="1"/>
    <col min="216" max="216" width="15.5703125" bestFit="1" customWidth="1"/>
    <col min="217" max="217" width="7.85546875" bestFit="1" customWidth="1"/>
    <col min="218" max="218" width="8" bestFit="1" customWidth="1"/>
    <col min="219" max="219" width="12.7109375" bestFit="1" customWidth="1"/>
    <col min="220" max="220" width="11.85546875" bestFit="1" customWidth="1"/>
    <col min="221" max="221" width="9.28515625" bestFit="1" customWidth="1"/>
    <col min="222" max="222" width="6.140625" bestFit="1" customWidth="1"/>
    <col min="223" max="223" width="9" bestFit="1" customWidth="1"/>
    <col min="224" max="224" width="10.7109375" bestFit="1" customWidth="1"/>
    <col min="225" max="225" width="8.5703125" bestFit="1" customWidth="1"/>
    <col min="226" max="226" width="5.85546875" bestFit="1" customWidth="1"/>
    <col min="227" max="227" width="13.7109375" bestFit="1" customWidth="1"/>
    <col min="228" max="228" width="7.85546875" bestFit="1" customWidth="1"/>
    <col min="229" max="229" width="5.7109375" bestFit="1" customWidth="1"/>
    <col min="230" max="230" width="9.28515625" bestFit="1" customWidth="1"/>
    <col min="231" max="231" width="6.7109375" bestFit="1" customWidth="1"/>
    <col min="232" max="232" width="9.28515625" bestFit="1" customWidth="1"/>
    <col min="233" max="233" width="8.7109375" bestFit="1" customWidth="1"/>
    <col min="234" max="234" width="4.85546875" bestFit="1" customWidth="1"/>
    <col min="235" max="235" width="6.28515625" bestFit="1" customWidth="1"/>
    <col min="236" max="236" width="5.85546875" bestFit="1" customWidth="1"/>
    <col min="237" max="237" width="13.7109375" bestFit="1" customWidth="1"/>
    <col min="239" max="239" width="6.7109375" bestFit="1" customWidth="1"/>
    <col min="240" max="240" width="9.140625" bestFit="1" customWidth="1"/>
    <col min="241" max="241" width="6" bestFit="1" customWidth="1"/>
    <col min="242" max="242" width="6.140625" bestFit="1" customWidth="1"/>
    <col min="243" max="243" width="9.85546875" bestFit="1" customWidth="1"/>
    <col min="244" max="244" width="5.85546875" bestFit="1" customWidth="1"/>
    <col min="245" max="245" width="13.7109375" bestFit="1" customWidth="1"/>
    <col min="246" max="246" width="14.42578125" bestFit="1" customWidth="1"/>
    <col min="247" max="247" width="15.5703125" bestFit="1" customWidth="1"/>
    <col min="248" max="248" width="13.7109375" bestFit="1" customWidth="1"/>
    <col min="249" max="249" width="8" bestFit="1" customWidth="1"/>
    <col min="250" max="250" width="12.7109375" bestFit="1" customWidth="1"/>
    <col min="251" max="251" width="11.7109375" bestFit="1" customWidth="1"/>
    <col min="252" max="252" width="12.140625" bestFit="1" customWidth="1"/>
    <col min="253" max="253" width="6.140625" bestFit="1" customWidth="1"/>
    <col min="254" max="254" width="7.85546875" bestFit="1" customWidth="1"/>
    <col min="255" max="255" width="15.28515625" bestFit="1" customWidth="1"/>
    <col min="256" max="256" width="5.28515625" bestFit="1" customWidth="1"/>
    <col min="257" max="257" width="23.28515625" bestFit="1" customWidth="1"/>
    <col min="258" max="258" width="13.7109375" bestFit="1" customWidth="1"/>
    <col min="259" max="259" width="10.7109375" bestFit="1" customWidth="1"/>
    <col min="260" max="260" width="10.5703125" bestFit="1" customWidth="1"/>
    <col min="261" max="261" width="8" bestFit="1" customWidth="1"/>
    <col min="262" max="262" width="9.28515625" bestFit="1" customWidth="1"/>
    <col min="263" max="263" width="6.7109375" bestFit="1" customWidth="1"/>
    <col min="264" max="264" width="11.7109375" bestFit="1" customWidth="1"/>
    <col min="265" max="265" width="13" bestFit="1" customWidth="1"/>
    <col min="266" max="266" width="8.7109375" bestFit="1" customWidth="1"/>
    <col min="267" max="267" width="6.28515625" bestFit="1" customWidth="1"/>
    <col min="268" max="268" width="5.85546875" bestFit="1" customWidth="1"/>
    <col min="269" max="269" width="9.7109375" bestFit="1" customWidth="1"/>
    <col min="270" max="270" width="13.7109375" bestFit="1" customWidth="1"/>
    <col min="271" max="271" width="10" bestFit="1" customWidth="1"/>
    <col min="272" max="272" width="6.7109375" bestFit="1" customWidth="1"/>
    <col min="273" max="273" width="9.7109375" bestFit="1" customWidth="1"/>
    <col min="274" max="274" width="5.140625" bestFit="1" customWidth="1"/>
    <col min="275" max="275" width="7.85546875" bestFit="1" customWidth="1"/>
    <col min="276" max="276" width="8.28515625" bestFit="1" customWidth="1"/>
    <col min="277" max="277" width="14.42578125" bestFit="1" customWidth="1"/>
    <col min="278" max="278" width="16.7109375" bestFit="1" customWidth="1"/>
    <col min="279" max="279" width="5.140625" bestFit="1" customWidth="1"/>
    <col min="280" max="280" width="11.140625" bestFit="1" customWidth="1"/>
    <col min="281" max="281" width="5.7109375" bestFit="1" customWidth="1"/>
    <col min="282" max="282" width="9.28515625" bestFit="1" customWidth="1"/>
    <col min="283" max="283" width="6.7109375" bestFit="1" customWidth="1"/>
    <col min="284" max="284" width="4.85546875" bestFit="1" customWidth="1"/>
    <col min="285" max="285" width="11.7109375" bestFit="1" customWidth="1"/>
    <col min="286" max="286" width="5.7109375" bestFit="1" customWidth="1"/>
    <col min="287" max="287" width="5.85546875" bestFit="1" customWidth="1"/>
    <col min="288" max="288" width="8.7109375" bestFit="1" customWidth="1"/>
    <col min="289" max="289" width="9.28515625" bestFit="1" customWidth="1"/>
    <col min="290" max="290" width="4.85546875" bestFit="1" customWidth="1"/>
    <col min="291" max="291" width="15" bestFit="1" customWidth="1"/>
    <col min="292" max="292" width="6.28515625" bestFit="1" customWidth="1"/>
    <col min="293" max="293" width="6.7109375" bestFit="1" customWidth="1"/>
    <col min="294" max="294" width="13.7109375" bestFit="1" customWidth="1"/>
    <col min="295" max="295" width="9.7109375" bestFit="1" customWidth="1"/>
    <col min="296" max="296" width="6.7109375" bestFit="1" customWidth="1"/>
    <col min="297" max="297" width="8" bestFit="1" customWidth="1"/>
    <col min="298" max="298" width="9.140625" bestFit="1" customWidth="1"/>
    <col min="299" max="299" width="6.7109375" bestFit="1" customWidth="1"/>
    <col min="300" max="300" width="6" bestFit="1" customWidth="1"/>
    <col min="301" max="301" width="6.7109375" bestFit="1" customWidth="1"/>
    <col min="302" max="302" width="19.85546875" bestFit="1" customWidth="1"/>
    <col min="303" max="303" width="5.85546875" bestFit="1" customWidth="1"/>
    <col min="304" max="304" width="11.7109375" bestFit="1" customWidth="1"/>
    <col min="305" max="305" width="13.7109375" bestFit="1" customWidth="1"/>
    <col min="306" max="306" width="14.42578125" bestFit="1" customWidth="1"/>
    <col min="307" max="307" width="15.5703125" bestFit="1" customWidth="1"/>
    <col min="308" max="308" width="3.28515625" bestFit="1" customWidth="1"/>
    <col min="309" max="309" width="8" bestFit="1" customWidth="1"/>
    <col min="310" max="310" width="11.85546875" bestFit="1" customWidth="1"/>
    <col min="311" max="311" width="16.7109375" bestFit="1" customWidth="1"/>
    <col min="312" max="312" width="15" bestFit="1" customWidth="1"/>
    <col min="313" max="313" width="6.140625" bestFit="1" customWidth="1"/>
    <col min="314" max="314" width="11.140625" bestFit="1" customWidth="1"/>
    <col min="315" max="315" width="9" bestFit="1" customWidth="1"/>
    <col min="316" max="316" width="14.85546875" bestFit="1" customWidth="1"/>
    <col min="317" max="317" width="7.85546875" bestFit="1" customWidth="1"/>
    <col min="318" max="318" width="8.28515625" bestFit="1" customWidth="1"/>
    <col min="319" max="319" width="21" bestFit="1" customWidth="1"/>
    <col min="320" max="320" width="5.28515625" bestFit="1" customWidth="1"/>
    <col min="321" max="321" width="10" bestFit="1" customWidth="1"/>
    <col min="322" max="322" width="5.85546875" bestFit="1" customWidth="1"/>
    <col min="323" max="323" width="14" bestFit="1" customWidth="1"/>
    <col min="324" max="324" width="5.7109375" bestFit="1" customWidth="1"/>
    <col min="325" max="325" width="9.28515625" bestFit="1" customWidth="1"/>
    <col min="326" max="327" width="11.140625" bestFit="1" customWidth="1"/>
    <col min="328" max="328" width="4.85546875" bestFit="1" customWidth="1"/>
    <col min="329" max="329" width="5.7109375" bestFit="1" customWidth="1"/>
    <col min="330" max="330" width="9.28515625" bestFit="1" customWidth="1"/>
    <col min="331" max="331" width="6.7109375" bestFit="1" customWidth="1"/>
    <col min="332" max="332" width="5.85546875" bestFit="1" customWidth="1"/>
    <col min="333" max="333" width="8.7109375" bestFit="1" customWidth="1"/>
    <col min="334" max="334" width="9.28515625" bestFit="1" customWidth="1"/>
    <col min="335" max="335" width="4.85546875" bestFit="1" customWidth="1"/>
    <col min="336" max="336" width="13.7109375" bestFit="1" customWidth="1"/>
    <col min="337" max="337" width="6.7109375" bestFit="1" customWidth="1"/>
    <col min="338" max="338" width="15.7109375" bestFit="1" customWidth="1"/>
    <col min="339" max="339" width="5.85546875" bestFit="1" customWidth="1"/>
    <col min="340" max="340" width="14.42578125" bestFit="1" customWidth="1"/>
    <col min="341" max="341" width="13.28515625" bestFit="1" customWidth="1"/>
    <col min="342" max="342" width="8.5703125" bestFit="1" customWidth="1"/>
    <col min="343" max="343" width="7.140625" bestFit="1" customWidth="1"/>
    <col min="344" max="344" width="9" bestFit="1" customWidth="1"/>
    <col min="345" max="345" width="9.85546875" bestFit="1" customWidth="1"/>
    <col min="346" max="346" width="10.140625" bestFit="1" customWidth="1"/>
    <col min="347" max="347" width="5.140625" bestFit="1" customWidth="1"/>
    <col min="348" max="348" width="3.7109375" bestFit="1" customWidth="1"/>
    <col min="349" max="349" width="13.7109375" bestFit="1" customWidth="1"/>
    <col min="350" max="350" width="14" bestFit="1" customWidth="1"/>
    <col min="351" max="351" width="4.7109375" bestFit="1" customWidth="1"/>
    <col min="352" max="352" width="6.28515625" bestFit="1" customWidth="1"/>
    <col min="353" max="353" width="9.85546875" bestFit="1" customWidth="1"/>
    <col min="354" max="354" width="4.85546875" bestFit="1" customWidth="1"/>
    <col min="355" max="355" width="5.85546875" bestFit="1" customWidth="1"/>
    <col min="356" max="356" width="5.7109375" bestFit="1" customWidth="1"/>
    <col min="357" max="357" width="9.28515625" bestFit="1" customWidth="1"/>
    <col min="358" max="358" width="6.7109375" bestFit="1" customWidth="1"/>
    <col min="359" max="359" width="9.140625" bestFit="1" customWidth="1"/>
    <col min="360" max="360" width="6.28515625" bestFit="1" customWidth="1"/>
    <col min="361" max="361" width="13.7109375" bestFit="1" customWidth="1"/>
    <col min="362" max="362" width="14.140625" bestFit="1" customWidth="1"/>
    <col min="363" max="363" width="21" bestFit="1" customWidth="1"/>
    <col min="364" max="364" width="12.85546875" bestFit="1" customWidth="1"/>
    <col min="365" max="366" width="4.85546875" bestFit="1" customWidth="1"/>
    <col min="367" max="367" width="12" bestFit="1" customWidth="1"/>
    <col min="368" max="368" width="14.42578125" bestFit="1" customWidth="1"/>
    <col min="369" max="369" width="14.85546875" bestFit="1" customWidth="1"/>
    <col min="370" max="370" width="11.85546875" bestFit="1" customWidth="1"/>
    <col min="371" max="371" width="8" bestFit="1" customWidth="1"/>
    <col min="372" max="372" width="8.5703125" bestFit="1" customWidth="1"/>
    <col min="373" max="373" width="9.28515625" bestFit="1" customWidth="1"/>
    <col min="374" max="374" width="7.140625" bestFit="1" customWidth="1"/>
    <col min="375" max="375" width="22.7109375" bestFit="1" customWidth="1"/>
    <col min="376" max="376" width="8.28515625" bestFit="1" customWidth="1"/>
    <col min="377" max="377" width="9.7109375" bestFit="1" customWidth="1"/>
    <col min="378" max="378" width="9" bestFit="1" customWidth="1"/>
    <col min="379" max="379" width="9.28515625" bestFit="1" customWidth="1"/>
    <col min="380" max="380" width="13" bestFit="1" customWidth="1"/>
    <col min="381" max="381" width="10.7109375" bestFit="1" customWidth="1"/>
    <col min="382" max="382" width="12" bestFit="1" customWidth="1"/>
    <col min="383" max="383" width="11.85546875" bestFit="1" customWidth="1"/>
    <col min="384" max="384" width="13" bestFit="1" customWidth="1"/>
    <col min="385" max="385" width="10.7109375" bestFit="1" customWidth="1"/>
    <col min="386" max="386" width="3.7109375" bestFit="1" customWidth="1"/>
    <col min="387" max="387" width="13.7109375" bestFit="1" customWidth="1"/>
    <col min="388" max="389" width="4.85546875" bestFit="1" customWidth="1"/>
    <col min="390" max="390" width="6.28515625" bestFit="1" customWidth="1"/>
    <col min="391" max="391" width="6.7109375" bestFit="1" customWidth="1"/>
    <col min="392" max="392" width="8.28515625" bestFit="1" customWidth="1"/>
    <col min="393" max="393" width="11.140625" bestFit="1" customWidth="1"/>
    <col min="394" max="394" width="5.140625" bestFit="1" customWidth="1"/>
    <col min="395" max="395" width="10.7109375" bestFit="1" customWidth="1"/>
    <col min="396" max="396" width="9.28515625" bestFit="1" customWidth="1"/>
    <col min="397" max="397" width="11.7109375" bestFit="1" customWidth="1"/>
  </cols>
  <sheetData>
    <row r="1" spans="1:40">
      <c r="A1" s="4" t="s">
        <v>100</v>
      </c>
      <c r="B1" s="2">
        <v>2025</v>
      </c>
    </row>
    <row r="3" spans="1:40">
      <c r="A3" s="4" t="s">
        <v>101</v>
      </c>
      <c r="B3" s="4" t="s">
        <v>102</v>
      </c>
    </row>
    <row r="4" spans="1:40">
      <c r="A4" s="4" t="s">
        <v>103</v>
      </c>
      <c r="B4" t="s">
        <v>57</v>
      </c>
      <c r="C4" t="s">
        <v>128</v>
      </c>
      <c r="D4" t="s">
        <v>17</v>
      </c>
      <c r="E4" t="s">
        <v>63</v>
      </c>
      <c r="F4" t="s">
        <v>129</v>
      </c>
      <c r="G4" t="s">
        <v>130</v>
      </c>
      <c r="H4" t="s">
        <v>131</v>
      </c>
      <c r="I4" t="s">
        <v>109</v>
      </c>
      <c r="J4" t="s">
        <v>132</v>
      </c>
      <c r="K4" t="s">
        <v>133</v>
      </c>
      <c r="L4" t="s">
        <v>96</v>
      </c>
      <c r="M4" t="s">
        <v>134</v>
      </c>
      <c r="N4" t="s">
        <v>135</v>
      </c>
      <c r="O4" t="s">
        <v>28</v>
      </c>
      <c r="P4" t="s">
        <v>136</v>
      </c>
      <c r="Q4" t="s">
        <v>137</v>
      </c>
      <c r="R4" t="s">
        <v>138</v>
      </c>
      <c r="S4" t="s">
        <v>139</v>
      </c>
      <c r="T4" t="s">
        <v>140</v>
      </c>
      <c r="U4" t="s">
        <v>141</v>
      </c>
      <c r="V4" t="s">
        <v>75</v>
      </c>
      <c r="W4" t="s">
        <v>142</v>
      </c>
      <c r="X4" t="s">
        <v>143</v>
      </c>
      <c r="Y4" t="s">
        <v>144</v>
      </c>
      <c r="Z4" t="s">
        <v>145</v>
      </c>
      <c r="AA4" t="s">
        <v>146</v>
      </c>
      <c r="AB4" t="s">
        <v>147</v>
      </c>
      <c r="AC4" t="s">
        <v>148</v>
      </c>
      <c r="AD4" t="s">
        <v>149</v>
      </c>
      <c r="AE4" t="s">
        <v>150</v>
      </c>
      <c r="AF4" t="s">
        <v>49</v>
      </c>
      <c r="AG4" t="s">
        <v>51</v>
      </c>
      <c r="AH4" t="s">
        <v>151</v>
      </c>
      <c r="AI4" t="s">
        <v>152</v>
      </c>
      <c r="AJ4" t="s">
        <v>153</v>
      </c>
      <c r="AK4" t="s">
        <v>154</v>
      </c>
      <c r="AL4" t="s">
        <v>155</v>
      </c>
      <c r="AM4" t="s">
        <v>156</v>
      </c>
      <c r="AN4" t="s">
        <v>104</v>
      </c>
    </row>
    <row r="5" spans="1:40">
      <c r="A5" s="2" t="s">
        <v>5</v>
      </c>
      <c r="B5">
        <v>6</v>
      </c>
      <c r="C5">
        <v>3</v>
      </c>
      <c r="E5">
        <v>15</v>
      </c>
      <c r="F5">
        <v>7.5</v>
      </c>
      <c r="G5">
        <v>11.25</v>
      </c>
      <c r="H5">
        <v>0.75</v>
      </c>
      <c r="I5">
        <v>3.75</v>
      </c>
      <c r="J5">
        <v>0.75</v>
      </c>
      <c r="L5">
        <v>1.5</v>
      </c>
      <c r="M5">
        <v>1.5</v>
      </c>
      <c r="O5">
        <v>4.5</v>
      </c>
      <c r="P5">
        <v>1.5</v>
      </c>
      <c r="Q5">
        <v>13.5</v>
      </c>
      <c r="R5">
        <v>13.5</v>
      </c>
      <c r="V5">
        <v>2.25</v>
      </c>
      <c r="Y5">
        <v>3</v>
      </c>
      <c r="Z5">
        <v>1.5</v>
      </c>
      <c r="AA5">
        <v>3</v>
      </c>
      <c r="AB5">
        <v>4.5</v>
      </c>
      <c r="AD5">
        <v>4.5</v>
      </c>
      <c r="AF5">
        <v>11.25</v>
      </c>
      <c r="AG5">
        <v>1.5</v>
      </c>
      <c r="AH5">
        <v>2.25</v>
      </c>
      <c r="AI5">
        <v>12</v>
      </c>
      <c r="AJ5">
        <v>4.5</v>
      </c>
      <c r="AL5">
        <v>15</v>
      </c>
      <c r="AN5">
        <v>149.25</v>
      </c>
    </row>
    <row r="6" spans="1:40">
      <c r="A6" s="5" t="s">
        <v>157</v>
      </c>
      <c r="E6">
        <v>9</v>
      </c>
      <c r="G6">
        <v>6.75</v>
      </c>
      <c r="I6">
        <v>2.25</v>
      </c>
      <c r="L6">
        <v>1.5</v>
      </c>
      <c r="V6">
        <v>2.25</v>
      </c>
      <c r="AG6">
        <v>1.5</v>
      </c>
      <c r="AN6">
        <v>23.25</v>
      </c>
    </row>
    <row r="7" spans="1:40">
      <c r="A7" s="5" t="s">
        <v>158</v>
      </c>
      <c r="B7">
        <v>6</v>
      </c>
      <c r="P7">
        <v>1.5</v>
      </c>
      <c r="R7">
        <v>1.5</v>
      </c>
      <c r="AA7">
        <v>3</v>
      </c>
      <c r="AN7">
        <v>12</v>
      </c>
    </row>
    <row r="8" spans="1:40">
      <c r="A8" s="5" t="s">
        <v>159</v>
      </c>
      <c r="E8">
        <v>3</v>
      </c>
      <c r="F8">
        <v>3</v>
      </c>
      <c r="H8">
        <v>0.75</v>
      </c>
      <c r="Z8">
        <v>1.5</v>
      </c>
      <c r="AL8">
        <v>3</v>
      </c>
      <c r="AN8">
        <v>11.25</v>
      </c>
    </row>
    <row r="9" spans="1:40">
      <c r="A9" s="5" t="s">
        <v>160</v>
      </c>
      <c r="Q9">
        <v>2.25</v>
      </c>
      <c r="AN9">
        <v>2.25</v>
      </c>
    </row>
    <row r="10" spans="1:40">
      <c r="A10" s="5" t="s">
        <v>161</v>
      </c>
      <c r="Q10">
        <v>2.25</v>
      </c>
      <c r="AN10">
        <v>2.25</v>
      </c>
    </row>
    <row r="11" spans="1:40">
      <c r="A11" s="5" t="s">
        <v>162</v>
      </c>
      <c r="R11">
        <v>1.5</v>
      </c>
      <c r="AN11">
        <v>1.5</v>
      </c>
    </row>
    <row r="12" spans="1:40">
      <c r="A12" s="5" t="s">
        <v>163</v>
      </c>
      <c r="F12">
        <v>1.5</v>
      </c>
      <c r="Q12">
        <v>4.5</v>
      </c>
      <c r="R12">
        <v>3</v>
      </c>
      <c r="AB12">
        <v>4.5</v>
      </c>
      <c r="AD12">
        <v>4.5</v>
      </c>
      <c r="AF12">
        <v>3</v>
      </c>
      <c r="AI12">
        <v>6</v>
      </c>
      <c r="AL12">
        <v>6</v>
      </c>
      <c r="AN12">
        <v>33</v>
      </c>
    </row>
    <row r="13" spans="1:40">
      <c r="A13" s="5" t="s">
        <v>164</v>
      </c>
      <c r="E13">
        <v>3</v>
      </c>
      <c r="G13">
        <v>2.25</v>
      </c>
      <c r="Y13">
        <v>1.5</v>
      </c>
      <c r="AI13">
        <v>3</v>
      </c>
      <c r="AL13">
        <v>3</v>
      </c>
      <c r="AN13">
        <v>12.75</v>
      </c>
    </row>
    <row r="14" spans="1:40">
      <c r="A14" s="5" t="s">
        <v>165</v>
      </c>
      <c r="M14">
        <v>1.5</v>
      </c>
      <c r="AN14">
        <v>1.5</v>
      </c>
    </row>
    <row r="15" spans="1:40">
      <c r="A15" s="5" t="s">
        <v>166</v>
      </c>
      <c r="O15">
        <v>4.5</v>
      </c>
      <c r="AN15">
        <v>4.5</v>
      </c>
    </row>
    <row r="16" spans="1:40">
      <c r="A16" s="5" t="s">
        <v>167</v>
      </c>
      <c r="C16">
        <v>3</v>
      </c>
      <c r="AN16">
        <v>3</v>
      </c>
    </row>
    <row r="17" spans="1:40">
      <c r="A17" s="5" t="s">
        <v>168</v>
      </c>
      <c r="F17">
        <v>3</v>
      </c>
      <c r="Q17">
        <v>4.5</v>
      </c>
      <c r="AF17">
        <v>6</v>
      </c>
      <c r="AH17">
        <v>2.25</v>
      </c>
      <c r="AJ17">
        <v>4.5</v>
      </c>
      <c r="AL17">
        <v>3</v>
      </c>
      <c r="AN17">
        <v>23.25</v>
      </c>
    </row>
    <row r="18" spans="1:40">
      <c r="A18" s="5" t="s">
        <v>169</v>
      </c>
      <c r="AI18">
        <v>3</v>
      </c>
      <c r="AN18">
        <v>3</v>
      </c>
    </row>
    <row r="19" spans="1:40">
      <c r="A19" s="5" t="s">
        <v>170</v>
      </c>
      <c r="AF19">
        <v>2.25</v>
      </c>
      <c r="AN19">
        <v>2.25</v>
      </c>
    </row>
    <row r="20" spans="1:40">
      <c r="A20" s="5" t="s">
        <v>171</v>
      </c>
    </row>
    <row r="21" spans="1:40">
      <c r="A21" s="5" t="s">
        <v>172</v>
      </c>
      <c r="Y21">
        <v>1.5</v>
      </c>
      <c r="AN21">
        <v>1.5</v>
      </c>
    </row>
    <row r="22" spans="1:40">
      <c r="A22" s="5" t="s">
        <v>173</v>
      </c>
      <c r="R22">
        <v>6</v>
      </c>
      <c r="AN22">
        <v>6</v>
      </c>
    </row>
    <row r="23" spans="1:40">
      <c r="A23" s="5" t="s">
        <v>174</v>
      </c>
      <c r="R23">
        <v>1.5</v>
      </c>
      <c r="AN23">
        <v>1.5</v>
      </c>
    </row>
    <row r="24" spans="1:40">
      <c r="A24" s="5" t="s">
        <v>175</v>
      </c>
      <c r="I24">
        <v>1.5</v>
      </c>
      <c r="J24">
        <v>0.75</v>
      </c>
      <c r="AN24">
        <v>2.25</v>
      </c>
    </row>
    <row r="25" spans="1:40">
      <c r="A25" s="5" t="s">
        <v>176</v>
      </c>
      <c r="G25">
        <v>2.25</v>
      </c>
      <c r="AN25">
        <v>2.25</v>
      </c>
    </row>
    <row r="26" spans="1:40">
      <c r="A26" s="2" t="s">
        <v>8</v>
      </c>
      <c r="B26">
        <v>22.5</v>
      </c>
      <c r="D26">
        <v>2.25</v>
      </c>
      <c r="E26">
        <v>24</v>
      </c>
      <c r="F26">
        <v>12</v>
      </c>
      <c r="G26">
        <v>6.75</v>
      </c>
      <c r="I26">
        <v>9</v>
      </c>
      <c r="K26">
        <v>1.5</v>
      </c>
      <c r="L26">
        <v>10.5</v>
      </c>
      <c r="M26">
        <v>5.25</v>
      </c>
      <c r="N26">
        <v>3</v>
      </c>
      <c r="R26">
        <v>13.5</v>
      </c>
      <c r="T26">
        <v>3</v>
      </c>
      <c r="U26">
        <v>3</v>
      </c>
      <c r="V26">
        <v>1.5</v>
      </c>
      <c r="W26">
        <v>7.5</v>
      </c>
      <c r="X26">
        <v>6</v>
      </c>
      <c r="Y26">
        <v>3</v>
      </c>
      <c r="AA26">
        <v>4.5</v>
      </c>
      <c r="AC26">
        <v>3</v>
      </c>
      <c r="AD26">
        <v>13.5</v>
      </c>
      <c r="AE26">
        <v>3</v>
      </c>
      <c r="AI26">
        <v>2.25</v>
      </c>
      <c r="AK26">
        <v>9</v>
      </c>
      <c r="AM26">
        <v>6.75</v>
      </c>
      <c r="AN26">
        <v>176.25</v>
      </c>
    </row>
    <row r="27" spans="1:40">
      <c r="A27" s="5" t="s">
        <v>177</v>
      </c>
      <c r="W27">
        <v>2.25</v>
      </c>
      <c r="AN27">
        <v>2.25</v>
      </c>
    </row>
    <row r="28" spans="1:40">
      <c r="A28" s="5" t="s">
        <v>178</v>
      </c>
      <c r="B28">
        <v>2.25</v>
      </c>
      <c r="L28">
        <v>1.5</v>
      </c>
      <c r="T28">
        <v>0.75</v>
      </c>
      <c r="U28">
        <v>1.5</v>
      </c>
      <c r="X28">
        <v>1.5</v>
      </c>
      <c r="AK28">
        <v>2.25</v>
      </c>
      <c r="AN28">
        <v>9.75</v>
      </c>
    </row>
    <row r="29" spans="1:40">
      <c r="A29" s="5" t="s">
        <v>179</v>
      </c>
      <c r="E29">
        <v>3</v>
      </c>
      <c r="U29">
        <v>1.5</v>
      </c>
      <c r="X29">
        <v>1.5</v>
      </c>
      <c r="AN29">
        <v>6</v>
      </c>
    </row>
    <row r="30" spans="1:40">
      <c r="A30" s="5" t="s">
        <v>180</v>
      </c>
      <c r="B30">
        <v>2.25</v>
      </c>
      <c r="D30">
        <v>0.75</v>
      </c>
      <c r="AN30">
        <v>3</v>
      </c>
    </row>
    <row r="31" spans="1:40">
      <c r="A31" s="5" t="s">
        <v>181</v>
      </c>
      <c r="I31">
        <v>4.5</v>
      </c>
      <c r="AN31">
        <v>4.5</v>
      </c>
    </row>
    <row r="32" spans="1:40">
      <c r="A32" s="5" t="s">
        <v>182</v>
      </c>
      <c r="L32">
        <v>3</v>
      </c>
      <c r="T32">
        <v>0.75</v>
      </c>
      <c r="AK32">
        <v>4.5</v>
      </c>
      <c r="AN32">
        <v>8.25</v>
      </c>
    </row>
    <row r="33" spans="1:40">
      <c r="A33" s="5" t="s">
        <v>183</v>
      </c>
      <c r="T33">
        <v>1.5</v>
      </c>
      <c r="AN33">
        <v>1.5</v>
      </c>
    </row>
    <row r="34" spans="1:40">
      <c r="A34" s="5" t="s">
        <v>184</v>
      </c>
      <c r="K34">
        <v>1.5</v>
      </c>
      <c r="AN34">
        <v>1.5</v>
      </c>
    </row>
    <row r="35" spans="1:40">
      <c r="A35" s="5" t="s">
        <v>185</v>
      </c>
      <c r="E35">
        <v>1.5</v>
      </c>
      <c r="G35">
        <v>2.25</v>
      </c>
      <c r="AN35">
        <v>3.75</v>
      </c>
    </row>
    <row r="36" spans="1:40">
      <c r="A36" s="5" t="s">
        <v>186</v>
      </c>
      <c r="F36">
        <v>3</v>
      </c>
      <c r="R36">
        <v>1.5</v>
      </c>
      <c r="AA36">
        <v>2.25</v>
      </c>
      <c r="AM36">
        <v>2.25</v>
      </c>
      <c r="AN36">
        <v>9</v>
      </c>
    </row>
    <row r="37" spans="1:40">
      <c r="A37" s="5" t="s">
        <v>187</v>
      </c>
      <c r="W37">
        <v>2.25</v>
      </c>
      <c r="X37">
        <v>1.5</v>
      </c>
      <c r="AN37">
        <v>3.75</v>
      </c>
    </row>
    <row r="38" spans="1:40">
      <c r="A38" s="5" t="s">
        <v>188</v>
      </c>
      <c r="B38">
        <v>4.5</v>
      </c>
      <c r="E38">
        <v>1.5</v>
      </c>
      <c r="AN38">
        <v>6</v>
      </c>
    </row>
    <row r="39" spans="1:40">
      <c r="A39" s="5" t="s">
        <v>189</v>
      </c>
      <c r="B39">
        <v>9</v>
      </c>
      <c r="E39">
        <v>6</v>
      </c>
      <c r="M39">
        <v>2.25</v>
      </c>
      <c r="AN39">
        <v>17.25</v>
      </c>
    </row>
    <row r="40" spans="1:40">
      <c r="A40" s="5" t="s">
        <v>190</v>
      </c>
      <c r="F40">
        <v>3</v>
      </c>
      <c r="R40">
        <v>1.5</v>
      </c>
      <c r="Y40">
        <v>1.5</v>
      </c>
      <c r="AD40">
        <v>4.5</v>
      </c>
      <c r="AK40">
        <v>2.25</v>
      </c>
      <c r="AN40">
        <v>12.75</v>
      </c>
    </row>
    <row r="41" spans="1:40">
      <c r="A41" s="5" t="s">
        <v>191</v>
      </c>
      <c r="E41">
        <v>1.5</v>
      </c>
      <c r="AN41">
        <v>1.5</v>
      </c>
    </row>
    <row r="42" spans="1:40">
      <c r="A42" s="5" t="s">
        <v>192</v>
      </c>
      <c r="I42">
        <v>4.5</v>
      </c>
      <c r="L42">
        <v>1.5</v>
      </c>
      <c r="R42">
        <v>1.5</v>
      </c>
      <c r="AD42">
        <v>4.5</v>
      </c>
      <c r="AN42">
        <v>12</v>
      </c>
    </row>
    <row r="43" spans="1:40">
      <c r="A43" s="5" t="s">
        <v>193</v>
      </c>
      <c r="B43">
        <v>2.25</v>
      </c>
      <c r="D43">
        <v>0.75</v>
      </c>
      <c r="F43">
        <v>3</v>
      </c>
      <c r="L43">
        <v>4.5</v>
      </c>
      <c r="M43">
        <v>3</v>
      </c>
      <c r="R43">
        <v>3</v>
      </c>
      <c r="Y43">
        <v>1.5</v>
      </c>
      <c r="AD43">
        <v>4.5</v>
      </c>
      <c r="AN43">
        <v>22.5</v>
      </c>
    </row>
    <row r="44" spans="1:40">
      <c r="A44" s="5" t="s">
        <v>194</v>
      </c>
      <c r="E44">
        <v>1.5</v>
      </c>
      <c r="AN44">
        <v>1.5</v>
      </c>
    </row>
    <row r="45" spans="1:40">
      <c r="A45" s="5" t="s">
        <v>195</v>
      </c>
      <c r="W45">
        <v>1.5</v>
      </c>
      <c r="AA45">
        <v>2.25</v>
      </c>
      <c r="AE45">
        <v>3</v>
      </c>
      <c r="AM45">
        <v>4.5</v>
      </c>
      <c r="AN45">
        <v>11.25</v>
      </c>
    </row>
    <row r="46" spans="1:40">
      <c r="A46" s="5" t="s">
        <v>196</v>
      </c>
      <c r="B46">
        <v>2.25</v>
      </c>
      <c r="AN46">
        <v>2.25</v>
      </c>
    </row>
    <row r="47" spans="1:40">
      <c r="A47" s="5" t="s">
        <v>197</v>
      </c>
      <c r="E47">
        <v>1.5</v>
      </c>
      <c r="W47">
        <v>1.5</v>
      </c>
      <c r="AN47">
        <v>3</v>
      </c>
    </row>
    <row r="48" spans="1:40">
      <c r="A48" s="5" t="s">
        <v>198</v>
      </c>
      <c r="E48">
        <v>1.5</v>
      </c>
      <c r="X48">
        <v>1.5</v>
      </c>
      <c r="AN48">
        <v>3</v>
      </c>
    </row>
    <row r="49" spans="1:40">
      <c r="A49" s="5" t="s">
        <v>199</v>
      </c>
      <c r="E49">
        <v>6</v>
      </c>
      <c r="R49">
        <v>6</v>
      </c>
      <c r="AI49">
        <v>2.25</v>
      </c>
      <c r="AN49">
        <v>14.25</v>
      </c>
    </row>
    <row r="50" spans="1:40">
      <c r="A50" s="5" t="s">
        <v>200</v>
      </c>
    </row>
    <row r="51" spans="1:40">
      <c r="A51" s="5" t="s">
        <v>201</v>
      </c>
      <c r="F51">
        <v>3</v>
      </c>
      <c r="AN51">
        <v>3</v>
      </c>
    </row>
    <row r="52" spans="1:40">
      <c r="A52" s="5" t="s">
        <v>202</v>
      </c>
      <c r="AC52">
        <v>0.75</v>
      </c>
      <c r="AN52">
        <v>0.75</v>
      </c>
    </row>
    <row r="53" spans="1:40">
      <c r="A53" s="5" t="s">
        <v>203</v>
      </c>
      <c r="AC53">
        <v>0.75</v>
      </c>
      <c r="AN53">
        <v>0.75</v>
      </c>
    </row>
    <row r="54" spans="1:40">
      <c r="A54" s="5" t="s">
        <v>204</v>
      </c>
      <c r="AC54">
        <v>0.75</v>
      </c>
      <c r="AN54">
        <v>0.75</v>
      </c>
    </row>
    <row r="55" spans="1:40">
      <c r="A55" s="5" t="s">
        <v>205</v>
      </c>
      <c r="AC55">
        <v>0.75</v>
      </c>
      <c r="AN55">
        <v>0.75</v>
      </c>
    </row>
    <row r="56" spans="1:40">
      <c r="A56" s="5" t="s">
        <v>175</v>
      </c>
      <c r="N56">
        <v>3</v>
      </c>
      <c r="AN56">
        <v>3</v>
      </c>
    </row>
    <row r="57" spans="1:40">
      <c r="A57" s="5" t="s">
        <v>206</v>
      </c>
      <c r="D57">
        <v>0.75</v>
      </c>
      <c r="AN57">
        <v>0.75</v>
      </c>
    </row>
    <row r="58" spans="1:40">
      <c r="A58" s="5" t="s">
        <v>207</v>
      </c>
      <c r="V58">
        <v>1.5</v>
      </c>
      <c r="AN58">
        <v>1.5</v>
      </c>
    </row>
    <row r="59" spans="1:40">
      <c r="A59" s="5" t="s">
        <v>208</v>
      </c>
      <c r="G59">
        <v>2.25</v>
      </c>
      <c r="AN59">
        <v>2.25</v>
      </c>
    </row>
    <row r="60" spans="1:40">
      <c r="A60" s="5" t="s">
        <v>209</v>
      </c>
      <c r="G60">
        <v>2.25</v>
      </c>
      <c r="AN60">
        <v>2.25</v>
      </c>
    </row>
    <row r="61" spans="1:40">
      <c r="A61" s="2" t="s">
        <v>11</v>
      </c>
      <c r="I61">
        <v>2.25</v>
      </c>
      <c r="S61">
        <v>6</v>
      </c>
      <c r="AN61">
        <v>8.25</v>
      </c>
    </row>
    <row r="62" spans="1:40">
      <c r="A62" s="5" t="s">
        <v>180</v>
      </c>
      <c r="S62">
        <v>3</v>
      </c>
      <c r="AN62">
        <v>3</v>
      </c>
    </row>
    <row r="63" spans="1:40">
      <c r="A63" s="5" t="s">
        <v>190</v>
      </c>
      <c r="S63">
        <v>3</v>
      </c>
      <c r="AN63">
        <v>3</v>
      </c>
    </row>
    <row r="64" spans="1:40">
      <c r="A64" s="5" t="s">
        <v>210</v>
      </c>
      <c r="I64">
        <v>2.25</v>
      </c>
      <c r="AN64">
        <v>2.25</v>
      </c>
    </row>
    <row r="65" spans="1:40">
      <c r="A65" s="2" t="s">
        <v>211</v>
      </c>
      <c r="R65">
        <v>6</v>
      </c>
      <c r="AF65">
        <v>6.75</v>
      </c>
      <c r="AN65">
        <v>12.75</v>
      </c>
    </row>
    <row r="66" spans="1:40">
      <c r="A66" s="5" t="s">
        <v>212</v>
      </c>
      <c r="AF66">
        <v>2.25</v>
      </c>
      <c r="AN66">
        <v>2.25</v>
      </c>
    </row>
    <row r="67" spans="1:40">
      <c r="A67" s="5" t="s">
        <v>213</v>
      </c>
      <c r="AF67">
        <v>4.5</v>
      </c>
      <c r="AN67">
        <v>4.5</v>
      </c>
    </row>
    <row r="68" spans="1:40">
      <c r="A68" s="5" t="s">
        <v>214</v>
      </c>
      <c r="R68">
        <v>6</v>
      </c>
      <c r="AN68">
        <v>6</v>
      </c>
    </row>
    <row r="69" spans="1:40">
      <c r="A69" s="2" t="s">
        <v>104</v>
      </c>
      <c r="B69">
        <v>28.5</v>
      </c>
      <c r="C69">
        <v>3</v>
      </c>
      <c r="D69">
        <v>2.25</v>
      </c>
      <c r="E69">
        <v>39</v>
      </c>
      <c r="F69">
        <v>19.5</v>
      </c>
      <c r="G69">
        <v>18</v>
      </c>
      <c r="H69">
        <v>0.75</v>
      </c>
      <c r="I69">
        <v>15</v>
      </c>
      <c r="J69">
        <v>0.75</v>
      </c>
      <c r="K69">
        <v>1.5</v>
      </c>
      <c r="L69">
        <v>12</v>
      </c>
      <c r="M69">
        <v>6.75</v>
      </c>
      <c r="N69">
        <v>3</v>
      </c>
      <c r="O69">
        <v>4.5</v>
      </c>
      <c r="P69">
        <v>1.5</v>
      </c>
      <c r="Q69">
        <v>13.5</v>
      </c>
      <c r="R69">
        <v>33</v>
      </c>
      <c r="S69">
        <v>6</v>
      </c>
      <c r="T69">
        <v>3</v>
      </c>
      <c r="U69">
        <v>3</v>
      </c>
      <c r="V69">
        <v>3.75</v>
      </c>
      <c r="W69">
        <v>7.5</v>
      </c>
      <c r="X69">
        <v>6</v>
      </c>
      <c r="Y69">
        <v>6</v>
      </c>
      <c r="Z69">
        <v>1.5</v>
      </c>
      <c r="AA69">
        <v>7.5</v>
      </c>
      <c r="AB69">
        <v>4.5</v>
      </c>
      <c r="AC69">
        <v>3</v>
      </c>
      <c r="AD69">
        <v>18</v>
      </c>
      <c r="AE69">
        <v>3</v>
      </c>
      <c r="AF69">
        <v>18</v>
      </c>
      <c r="AG69">
        <v>1.5</v>
      </c>
      <c r="AH69">
        <v>2.25</v>
      </c>
      <c r="AI69">
        <v>14.25</v>
      </c>
      <c r="AJ69">
        <v>4.5</v>
      </c>
      <c r="AK69">
        <v>9</v>
      </c>
      <c r="AL69">
        <v>15</v>
      </c>
      <c r="AM69">
        <v>6.75</v>
      </c>
      <c r="AN69">
        <v>346.5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978"/>
  <sheetViews>
    <sheetView tabSelected="1" zoomScaleNormal="100" workbookViewId="0">
      <pane xSplit="8" ySplit="2" topLeftCell="K3908" activePane="bottomRight" state="frozen"/>
      <selection pane="bottomRight" activeCell="F3974" sqref="F3974"/>
      <selection pane="bottomLeft" activeCell="A3" sqref="A3"/>
      <selection pane="topRight" activeCell="I1" sqref="I1"/>
    </sheetView>
  </sheetViews>
  <sheetFormatPr defaultColWidth="11.28515625" defaultRowHeight="15"/>
  <cols>
    <col min="1" max="1" width="13.7109375" customWidth="1"/>
    <col min="2" max="2" width="22.5703125" customWidth="1"/>
    <col min="3" max="3" width="17.5703125" bestFit="1" customWidth="1"/>
    <col min="4" max="4" width="12.42578125" customWidth="1"/>
    <col min="5" max="5" width="20.28515625" bestFit="1" customWidth="1"/>
    <col min="6" max="6" width="12.42578125" bestFit="1" customWidth="1"/>
    <col min="7" max="7" width="29" customWidth="1"/>
    <col min="8" max="8" width="10" style="2" customWidth="1"/>
    <col min="9" max="9" width="11.140625" style="2" customWidth="1"/>
    <col min="10" max="10" width="11" bestFit="1" customWidth="1"/>
    <col min="11" max="11" width="53" customWidth="1"/>
    <col min="12" max="12" width="24.5703125" bestFit="1" customWidth="1"/>
    <col min="13" max="13" width="22.28515625" bestFit="1" customWidth="1"/>
    <col min="14" max="14" width="19.42578125" bestFit="1" customWidth="1"/>
    <col min="15" max="15" width="18.85546875" bestFit="1" customWidth="1"/>
    <col min="16" max="16" width="7" bestFit="1" customWidth="1"/>
    <col min="17" max="17" width="5.42578125" bestFit="1" customWidth="1"/>
    <col min="18" max="18" width="7" bestFit="1" customWidth="1"/>
    <col min="19" max="19" width="7.28515625" bestFit="1" customWidth="1"/>
    <col min="20" max="20" width="7.7109375" bestFit="1" customWidth="1"/>
    <col min="21" max="21" width="5.7109375" bestFit="1" customWidth="1"/>
    <col min="22" max="23" width="5.85546875" bestFit="1" customWidth="1"/>
    <col min="24" max="24" width="8.28515625" bestFit="1" customWidth="1"/>
    <col min="25" max="26" width="7.28515625" bestFit="1" customWidth="1"/>
    <col min="27" max="27" width="8.5703125" customWidth="1"/>
    <col min="28" max="29" width="8.28515625" bestFit="1" customWidth="1"/>
    <col min="30" max="30" width="6" bestFit="1" customWidth="1"/>
    <col min="31" max="31" width="7.140625" bestFit="1" customWidth="1"/>
    <col min="32" max="32" width="5" bestFit="1" customWidth="1"/>
    <col min="33" max="35" width="8" bestFit="1" customWidth="1"/>
  </cols>
  <sheetData>
    <row r="1" spans="1:35" ht="18.75">
      <c r="L1" s="36">
        <f>SUBTOTAL(9,L3:L9549)</f>
        <v>10257</v>
      </c>
      <c r="M1" s="6"/>
      <c r="N1" s="1">
        <f>SUBTOTAL(9,N3:N9549)</f>
        <v>8201.6620000000003</v>
      </c>
      <c r="O1" s="12" t="s">
        <v>215</v>
      </c>
    </row>
    <row r="2" spans="1:35" s="9" customFormat="1" ht="31.5">
      <c r="A2" s="19" t="s">
        <v>216</v>
      </c>
      <c r="B2" s="23" t="s">
        <v>0</v>
      </c>
      <c r="C2" s="23" t="s">
        <v>1</v>
      </c>
      <c r="D2" s="47" t="s">
        <v>2</v>
      </c>
      <c r="E2" s="19" t="s">
        <v>217</v>
      </c>
      <c r="F2" s="19" t="s">
        <v>100</v>
      </c>
      <c r="G2" s="19" t="s">
        <v>218</v>
      </c>
      <c r="H2" s="41" t="s">
        <v>219</v>
      </c>
      <c r="I2" s="20" t="s">
        <v>220</v>
      </c>
      <c r="J2" s="19" t="s">
        <v>221</v>
      </c>
      <c r="K2" s="19" t="s">
        <v>222</v>
      </c>
      <c r="L2" s="33" t="s">
        <v>223</v>
      </c>
      <c r="M2" s="37" t="s">
        <v>224</v>
      </c>
      <c r="N2" s="37" t="s">
        <v>225</v>
      </c>
      <c r="O2" s="19" t="s">
        <v>226</v>
      </c>
      <c r="P2" s="19" t="s">
        <v>227</v>
      </c>
      <c r="Q2" s="19" t="s">
        <v>228</v>
      </c>
      <c r="R2" s="19" t="s">
        <v>229</v>
      </c>
      <c r="S2" s="19" t="s">
        <v>230</v>
      </c>
      <c r="T2" s="19" t="s">
        <v>231</v>
      </c>
      <c r="U2" s="19" t="s">
        <v>232</v>
      </c>
      <c r="V2" s="19" t="s">
        <v>233</v>
      </c>
      <c r="W2" s="19" t="s">
        <v>234</v>
      </c>
      <c r="X2" s="19" t="s">
        <v>235</v>
      </c>
      <c r="Y2" s="19" t="s">
        <v>236</v>
      </c>
      <c r="Z2" s="19" t="s">
        <v>237</v>
      </c>
      <c r="AA2" s="19" t="s">
        <v>238</v>
      </c>
      <c r="AB2" s="19" t="s">
        <v>239</v>
      </c>
      <c r="AC2" s="19" t="s">
        <v>240</v>
      </c>
      <c r="AD2" s="19" t="s">
        <v>241</v>
      </c>
      <c r="AE2" s="19" t="s">
        <v>242</v>
      </c>
      <c r="AF2" s="19" t="s">
        <v>243</v>
      </c>
      <c r="AG2" s="19" t="s">
        <v>244</v>
      </c>
      <c r="AH2" s="19" t="s">
        <v>245</v>
      </c>
      <c r="AI2" s="19" t="s">
        <v>246</v>
      </c>
    </row>
    <row r="3" spans="1:35">
      <c r="A3" s="29">
        <v>42379</v>
      </c>
      <c r="B3" s="22" t="s">
        <v>114</v>
      </c>
      <c r="C3" s="22" t="s">
        <v>38</v>
      </c>
      <c r="D3" s="48" t="s">
        <v>5</v>
      </c>
      <c r="E3" t="s">
        <v>157</v>
      </c>
      <c r="F3">
        <v>2016</v>
      </c>
      <c r="G3" t="s">
        <v>247</v>
      </c>
      <c r="H3" s="42">
        <v>27</v>
      </c>
      <c r="J3" t="s">
        <v>248</v>
      </c>
      <c r="L3" s="34">
        <v>2</v>
      </c>
      <c r="M3" s="38">
        <v>0.75</v>
      </c>
      <c r="N3" s="38">
        <f t="shared" ref="N3:N66" si="0">M3*L3</f>
        <v>1.5</v>
      </c>
    </row>
    <row r="4" spans="1:35">
      <c r="A4" s="29">
        <v>42385</v>
      </c>
      <c r="B4" s="22" t="s">
        <v>57</v>
      </c>
      <c r="C4" s="22" t="s">
        <v>249</v>
      </c>
      <c r="D4" s="48" t="s">
        <v>5</v>
      </c>
      <c r="E4" t="s">
        <v>157</v>
      </c>
      <c r="F4">
        <v>2016</v>
      </c>
      <c r="G4" t="s">
        <v>250</v>
      </c>
      <c r="H4" s="42">
        <v>14</v>
      </c>
      <c r="J4" t="s">
        <v>248</v>
      </c>
      <c r="L4" s="34">
        <v>3</v>
      </c>
      <c r="M4" s="38">
        <v>0.75</v>
      </c>
      <c r="N4" s="38">
        <f t="shared" si="0"/>
        <v>2.25</v>
      </c>
    </row>
    <row r="5" spans="1:35">
      <c r="A5" s="29">
        <v>42660</v>
      </c>
      <c r="B5" s="22" t="s">
        <v>63</v>
      </c>
      <c r="C5" s="22"/>
      <c r="D5" s="48" t="s">
        <v>5</v>
      </c>
      <c r="E5" t="s">
        <v>159</v>
      </c>
      <c r="F5">
        <v>2016</v>
      </c>
      <c r="G5" t="s">
        <v>251</v>
      </c>
      <c r="H5" s="42" t="s">
        <v>57</v>
      </c>
      <c r="J5" t="s">
        <v>248</v>
      </c>
      <c r="L5" s="34">
        <v>3</v>
      </c>
      <c r="M5" s="38">
        <v>0.75</v>
      </c>
      <c r="N5" s="38">
        <f t="shared" si="0"/>
        <v>2.25</v>
      </c>
    </row>
    <row r="6" spans="1:35">
      <c r="A6" s="29">
        <v>42660</v>
      </c>
      <c r="B6" s="22" t="s">
        <v>63</v>
      </c>
      <c r="C6" s="22"/>
      <c r="D6" s="48" t="s">
        <v>5</v>
      </c>
      <c r="E6" t="s">
        <v>159</v>
      </c>
      <c r="F6">
        <v>2016</v>
      </c>
      <c r="G6" t="s">
        <v>252</v>
      </c>
      <c r="H6" s="42" t="s">
        <v>57</v>
      </c>
      <c r="J6" t="s">
        <v>248</v>
      </c>
      <c r="L6" s="34">
        <v>3</v>
      </c>
      <c r="M6" s="38">
        <v>0.75</v>
      </c>
      <c r="N6" s="38">
        <f t="shared" si="0"/>
        <v>2.25</v>
      </c>
    </row>
    <row r="7" spans="1:35">
      <c r="A7" s="29">
        <v>42660</v>
      </c>
      <c r="B7" s="22" t="s">
        <v>63</v>
      </c>
      <c r="C7" s="22"/>
      <c r="D7" s="48" t="s">
        <v>5</v>
      </c>
      <c r="E7" t="s">
        <v>159</v>
      </c>
      <c r="F7">
        <v>2016</v>
      </c>
      <c r="G7" t="s">
        <v>253</v>
      </c>
      <c r="H7" s="42" t="s">
        <v>57</v>
      </c>
      <c r="J7" t="s">
        <v>248</v>
      </c>
      <c r="L7" s="34">
        <v>3</v>
      </c>
      <c r="M7" s="38">
        <v>0.75</v>
      </c>
      <c r="N7" s="38">
        <f t="shared" si="0"/>
        <v>2.25</v>
      </c>
    </row>
    <row r="8" spans="1:35">
      <c r="A8" s="29">
        <v>42660</v>
      </c>
      <c r="B8" s="22" t="s">
        <v>63</v>
      </c>
      <c r="C8" s="22"/>
      <c r="D8" s="48" t="s">
        <v>5</v>
      </c>
      <c r="E8" t="s">
        <v>157</v>
      </c>
      <c r="F8">
        <v>2016</v>
      </c>
      <c r="G8" t="s">
        <v>250</v>
      </c>
      <c r="H8" s="42" t="s">
        <v>57</v>
      </c>
      <c r="J8" t="s">
        <v>248</v>
      </c>
      <c r="L8" s="34">
        <v>3</v>
      </c>
      <c r="M8" s="38">
        <v>0.75</v>
      </c>
      <c r="N8" s="38">
        <f t="shared" si="0"/>
        <v>2.25</v>
      </c>
    </row>
    <row r="9" spans="1:35">
      <c r="A9" s="29">
        <v>42660</v>
      </c>
      <c r="B9" s="22" t="s">
        <v>63</v>
      </c>
      <c r="C9" s="22"/>
      <c r="D9" s="48" t="s">
        <v>5</v>
      </c>
      <c r="E9" t="s">
        <v>157</v>
      </c>
      <c r="F9">
        <v>2016</v>
      </c>
      <c r="G9" t="s">
        <v>254</v>
      </c>
      <c r="H9" s="42" t="s">
        <v>57</v>
      </c>
      <c r="J9" t="s">
        <v>248</v>
      </c>
      <c r="L9" s="34">
        <v>3</v>
      </c>
      <c r="M9" s="38">
        <v>0.75</v>
      </c>
      <c r="N9" s="38">
        <f t="shared" si="0"/>
        <v>2.25</v>
      </c>
    </row>
    <row r="10" spans="1:35">
      <c r="A10" s="29">
        <v>42660</v>
      </c>
      <c r="B10" s="22" t="s">
        <v>63</v>
      </c>
      <c r="C10" s="22"/>
      <c r="D10" s="48" t="s">
        <v>5</v>
      </c>
      <c r="E10" t="s">
        <v>157</v>
      </c>
      <c r="F10">
        <v>2016</v>
      </c>
      <c r="G10" t="s">
        <v>253</v>
      </c>
      <c r="H10" s="42" t="s">
        <v>57</v>
      </c>
      <c r="J10" t="s">
        <v>248</v>
      </c>
      <c r="L10" s="34">
        <v>3</v>
      </c>
      <c r="M10" s="38">
        <v>0.75</v>
      </c>
      <c r="N10" s="38">
        <f t="shared" si="0"/>
        <v>2.25</v>
      </c>
    </row>
    <row r="11" spans="1:35">
      <c r="A11" s="29">
        <v>42660</v>
      </c>
      <c r="B11" s="22" t="s">
        <v>63</v>
      </c>
      <c r="C11" s="22"/>
      <c r="D11" s="48" t="s">
        <v>5</v>
      </c>
      <c r="E11" t="s">
        <v>255</v>
      </c>
      <c r="F11">
        <v>2016</v>
      </c>
      <c r="H11" s="42">
        <v>424</v>
      </c>
      <c r="J11" t="s">
        <v>248</v>
      </c>
      <c r="L11" s="34">
        <v>3</v>
      </c>
      <c r="M11" s="38">
        <v>0.75</v>
      </c>
      <c r="N11" s="38">
        <f t="shared" si="0"/>
        <v>2.25</v>
      </c>
    </row>
    <row r="12" spans="1:35">
      <c r="A12" s="29">
        <v>42660</v>
      </c>
      <c r="B12" s="22" t="s">
        <v>63</v>
      </c>
      <c r="C12" s="22"/>
      <c r="D12" s="48" t="s">
        <v>5</v>
      </c>
      <c r="E12" t="s">
        <v>158</v>
      </c>
      <c r="F12">
        <v>2016</v>
      </c>
      <c r="G12" t="s">
        <v>256</v>
      </c>
      <c r="H12" s="42">
        <v>184</v>
      </c>
      <c r="J12" t="s">
        <v>248</v>
      </c>
      <c r="L12" s="34">
        <v>3</v>
      </c>
      <c r="M12" s="38">
        <v>0.75</v>
      </c>
      <c r="N12" s="38">
        <f t="shared" si="0"/>
        <v>2.25</v>
      </c>
    </row>
    <row r="13" spans="1:35">
      <c r="A13" s="29">
        <v>42660</v>
      </c>
      <c r="B13" s="22" t="s">
        <v>63</v>
      </c>
      <c r="C13" s="22"/>
      <c r="D13" s="48" t="s">
        <v>5</v>
      </c>
      <c r="E13" t="s">
        <v>158</v>
      </c>
      <c r="F13">
        <v>2016</v>
      </c>
      <c r="G13" t="s">
        <v>257</v>
      </c>
      <c r="H13" s="42">
        <v>195</v>
      </c>
      <c r="J13" t="s">
        <v>248</v>
      </c>
      <c r="L13" s="34">
        <v>3</v>
      </c>
      <c r="M13" s="38">
        <v>0.75</v>
      </c>
      <c r="N13" s="38">
        <f t="shared" si="0"/>
        <v>2.25</v>
      </c>
    </row>
    <row r="14" spans="1:35">
      <c r="A14" s="29">
        <v>42660</v>
      </c>
      <c r="B14" s="22" t="s">
        <v>63</v>
      </c>
      <c r="C14" s="22"/>
      <c r="D14" s="48" t="s">
        <v>5</v>
      </c>
      <c r="E14" t="s">
        <v>158</v>
      </c>
      <c r="F14">
        <v>2016</v>
      </c>
      <c r="G14" t="s">
        <v>257</v>
      </c>
      <c r="H14" s="42">
        <v>30</v>
      </c>
      <c r="J14" t="s">
        <v>248</v>
      </c>
      <c r="L14" s="34">
        <v>3</v>
      </c>
      <c r="M14" s="38">
        <v>0.75</v>
      </c>
      <c r="N14" s="38">
        <f t="shared" si="0"/>
        <v>2.25</v>
      </c>
    </row>
    <row r="15" spans="1:35">
      <c r="A15" s="29">
        <v>42660</v>
      </c>
      <c r="B15" s="22" t="s">
        <v>81</v>
      </c>
      <c r="C15" s="22"/>
      <c r="D15" s="48" t="s">
        <v>5</v>
      </c>
      <c r="E15" t="s">
        <v>159</v>
      </c>
      <c r="F15">
        <v>2016</v>
      </c>
      <c r="G15" t="s">
        <v>251</v>
      </c>
      <c r="H15" s="42" t="s">
        <v>57</v>
      </c>
      <c r="J15" t="s">
        <v>248</v>
      </c>
      <c r="L15" s="34">
        <v>3</v>
      </c>
      <c r="M15" s="38">
        <v>0.75</v>
      </c>
      <c r="N15" s="38">
        <f t="shared" si="0"/>
        <v>2.25</v>
      </c>
    </row>
    <row r="16" spans="1:35">
      <c r="A16" s="29">
        <v>42660</v>
      </c>
      <c r="B16" s="22" t="s">
        <v>81</v>
      </c>
      <c r="C16" s="22"/>
      <c r="D16" s="48" t="s">
        <v>5</v>
      </c>
      <c r="E16" t="s">
        <v>159</v>
      </c>
      <c r="F16">
        <v>2016</v>
      </c>
      <c r="G16" t="s">
        <v>252</v>
      </c>
      <c r="H16" s="42" t="s">
        <v>57</v>
      </c>
      <c r="J16" t="s">
        <v>248</v>
      </c>
      <c r="L16" s="34">
        <v>3</v>
      </c>
      <c r="M16" s="38">
        <v>0.75</v>
      </c>
      <c r="N16" s="38">
        <f t="shared" si="0"/>
        <v>2.25</v>
      </c>
    </row>
    <row r="17" spans="1:14">
      <c r="A17" s="29">
        <v>42660</v>
      </c>
      <c r="B17" s="22" t="s">
        <v>81</v>
      </c>
      <c r="C17" s="22"/>
      <c r="D17" s="48" t="s">
        <v>5</v>
      </c>
      <c r="E17" t="s">
        <v>159</v>
      </c>
      <c r="F17">
        <v>2016</v>
      </c>
      <c r="G17" t="s">
        <v>253</v>
      </c>
      <c r="H17" s="42" t="s">
        <v>57</v>
      </c>
      <c r="J17" t="s">
        <v>248</v>
      </c>
      <c r="L17" s="34">
        <v>3</v>
      </c>
      <c r="M17" s="38">
        <v>0.75</v>
      </c>
      <c r="N17" s="38">
        <f t="shared" si="0"/>
        <v>2.25</v>
      </c>
    </row>
    <row r="18" spans="1:14">
      <c r="A18" s="29">
        <v>42660</v>
      </c>
      <c r="B18" s="22" t="s">
        <v>81</v>
      </c>
      <c r="C18" s="22"/>
      <c r="D18" s="48" t="s">
        <v>5</v>
      </c>
      <c r="E18" t="s">
        <v>157</v>
      </c>
      <c r="F18">
        <v>2016</v>
      </c>
      <c r="G18" t="s">
        <v>250</v>
      </c>
      <c r="H18" s="42" t="s">
        <v>57</v>
      </c>
      <c r="J18" t="s">
        <v>248</v>
      </c>
      <c r="L18" s="34">
        <v>3</v>
      </c>
      <c r="M18" s="38">
        <v>0.75</v>
      </c>
      <c r="N18" s="38">
        <f t="shared" si="0"/>
        <v>2.25</v>
      </c>
    </row>
    <row r="19" spans="1:14">
      <c r="A19" s="29">
        <v>42660</v>
      </c>
      <c r="B19" s="22" t="s">
        <v>81</v>
      </c>
      <c r="C19" s="22"/>
      <c r="D19" s="48" t="s">
        <v>5</v>
      </c>
      <c r="E19" t="s">
        <v>157</v>
      </c>
      <c r="F19">
        <v>2016</v>
      </c>
      <c r="G19" t="s">
        <v>254</v>
      </c>
      <c r="H19" s="42" t="s">
        <v>57</v>
      </c>
      <c r="J19" t="s">
        <v>248</v>
      </c>
      <c r="L19" s="34">
        <v>3</v>
      </c>
      <c r="M19" s="38">
        <v>0.75</v>
      </c>
      <c r="N19" s="38">
        <f t="shared" si="0"/>
        <v>2.25</v>
      </c>
    </row>
    <row r="20" spans="1:14">
      <c r="A20" s="29">
        <v>42660</v>
      </c>
      <c r="B20" s="22" t="s">
        <v>81</v>
      </c>
      <c r="C20" s="22"/>
      <c r="D20" s="48" t="s">
        <v>5</v>
      </c>
      <c r="E20" t="s">
        <v>157</v>
      </c>
      <c r="F20">
        <v>2016</v>
      </c>
      <c r="G20" t="s">
        <v>253</v>
      </c>
      <c r="H20" s="42" t="s">
        <v>57</v>
      </c>
      <c r="J20" t="s">
        <v>248</v>
      </c>
      <c r="L20" s="34">
        <v>3</v>
      </c>
      <c r="M20" s="38">
        <v>0.75</v>
      </c>
      <c r="N20" s="38">
        <f t="shared" si="0"/>
        <v>2.25</v>
      </c>
    </row>
    <row r="21" spans="1:14">
      <c r="A21" s="29">
        <v>42660</v>
      </c>
      <c r="B21" s="22" t="s">
        <v>110</v>
      </c>
      <c r="C21" s="22" t="s">
        <v>57</v>
      </c>
      <c r="D21" s="48" t="s">
        <v>5</v>
      </c>
      <c r="E21" t="s">
        <v>159</v>
      </c>
      <c r="F21">
        <v>2016</v>
      </c>
      <c r="G21" t="s">
        <v>251</v>
      </c>
      <c r="H21" s="42" t="s">
        <v>57</v>
      </c>
      <c r="J21" t="s">
        <v>248</v>
      </c>
      <c r="L21" s="34">
        <v>3</v>
      </c>
      <c r="M21" s="38">
        <v>0.75</v>
      </c>
      <c r="N21" s="38">
        <f t="shared" si="0"/>
        <v>2.25</v>
      </c>
    </row>
    <row r="22" spans="1:14">
      <c r="A22" s="29">
        <v>42660</v>
      </c>
      <c r="B22" s="22" t="s">
        <v>110</v>
      </c>
      <c r="C22" s="22" t="s">
        <v>57</v>
      </c>
      <c r="D22" s="48" t="s">
        <v>5</v>
      </c>
      <c r="E22" t="s">
        <v>159</v>
      </c>
      <c r="F22">
        <v>2016</v>
      </c>
      <c r="G22" t="s">
        <v>252</v>
      </c>
      <c r="H22" s="42" t="s">
        <v>57</v>
      </c>
      <c r="J22" t="s">
        <v>248</v>
      </c>
      <c r="L22" s="34">
        <v>3</v>
      </c>
      <c r="M22" s="38">
        <v>0.75</v>
      </c>
      <c r="N22" s="38">
        <f t="shared" si="0"/>
        <v>2.25</v>
      </c>
    </row>
    <row r="23" spans="1:14">
      <c r="A23" s="29">
        <v>42660</v>
      </c>
      <c r="B23" s="22" t="s">
        <v>110</v>
      </c>
      <c r="C23" s="22" t="s">
        <v>57</v>
      </c>
      <c r="D23" s="48" t="s">
        <v>5</v>
      </c>
      <c r="E23" t="s">
        <v>159</v>
      </c>
      <c r="F23">
        <v>2016</v>
      </c>
      <c r="G23" t="s">
        <v>253</v>
      </c>
      <c r="H23" s="42" t="s">
        <v>57</v>
      </c>
      <c r="J23" t="s">
        <v>248</v>
      </c>
      <c r="L23" s="34">
        <v>3</v>
      </c>
      <c r="M23" s="38">
        <v>0.75</v>
      </c>
      <c r="N23" s="38">
        <f t="shared" si="0"/>
        <v>2.25</v>
      </c>
    </row>
    <row r="24" spans="1:14">
      <c r="A24" s="29">
        <v>42660</v>
      </c>
      <c r="B24" s="22" t="s">
        <v>109</v>
      </c>
      <c r="C24" s="22"/>
      <c r="D24" s="48" t="s">
        <v>5</v>
      </c>
      <c r="E24" t="s">
        <v>159</v>
      </c>
      <c r="F24">
        <v>2016</v>
      </c>
      <c r="G24" t="s">
        <v>251</v>
      </c>
      <c r="H24" s="42" t="s">
        <v>57</v>
      </c>
      <c r="J24" t="s">
        <v>248</v>
      </c>
      <c r="K24" t="s">
        <v>258</v>
      </c>
      <c r="L24" s="34">
        <v>3</v>
      </c>
      <c r="M24" s="38">
        <v>0.75</v>
      </c>
      <c r="N24" s="38">
        <f t="shared" si="0"/>
        <v>2.25</v>
      </c>
    </row>
    <row r="25" spans="1:14">
      <c r="A25" s="29">
        <v>42660</v>
      </c>
      <c r="B25" s="22" t="s">
        <v>109</v>
      </c>
      <c r="C25" s="22"/>
      <c r="D25" s="48" t="s">
        <v>8</v>
      </c>
      <c r="E25" t="s">
        <v>180</v>
      </c>
      <c r="F25">
        <v>2016</v>
      </c>
      <c r="G25" t="s">
        <v>57</v>
      </c>
      <c r="H25" s="42">
        <v>334</v>
      </c>
      <c r="J25" t="s">
        <v>248</v>
      </c>
      <c r="L25" s="34">
        <v>1</v>
      </c>
      <c r="M25" s="38">
        <v>0.75</v>
      </c>
      <c r="N25" s="38">
        <f t="shared" si="0"/>
        <v>0.75</v>
      </c>
    </row>
    <row r="26" spans="1:14">
      <c r="A26" s="29">
        <v>42660</v>
      </c>
      <c r="B26" s="22" t="s">
        <v>63</v>
      </c>
      <c r="C26" s="22"/>
      <c r="D26" s="48" t="s">
        <v>11</v>
      </c>
      <c r="E26" t="s">
        <v>259</v>
      </c>
      <c r="F26">
        <v>2016</v>
      </c>
      <c r="H26" s="42">
        <v>41</v>
      </c>
      <c r="J26" t="s">
        <v>248</v>
      </c>
      <c r="L26" s="34">
        <v>3</v>
      </c>
      <c r="M26" s="38">
        <v>0.75</v>
      </c>
      <c r="N26" s="38">
        <f t="shared" si="0"/>
        <v>2.25</v>
      </c>
    </row>
    <row r="27" spans="1:14">
      <c r="A27" s="29">
        <v>42660</v>
      </c>
      <c r="B27" s="22" t="s">
        <v>63</v>
      </c>
      <c r="C27" s="22"/>
      <c r="D27" s="48" t="s">
        <v>8</v>
      </c>
      <c r="E27" t="s">
        <v>259</v>
      </c>
      <c r="F27">
        <v>2016</v>
      </c>
      <c r="H27" s="42">
        <v>129</v>
      </c>
      <c r="J27" t="s">
        <v>248</v>
      </c>
      <c r="L27" s="34">
        <v>3</v>
      </c>
      <c r="M27" s="38">
        <v>0.75</v>
      </c>
      <c r="N27" s="38">
        <f t="shared" si="0"/>
        <v>2.25</v>
      </c>
    </row>
    <row r="28" spans="1:14">
      <c r="A28" s="29">
        <v>42661</v>
      </c>
      <c r="B28" s="22" t="s">
        <v>105</v>
      </c>
      <c r="C28" s="22"/>
      <c r="D28" s="48" t="s">
        <v>5</v>
      </c>
      <c r="E28" t="s">
        <v>158</v>
      </c>
      <c r="F28">
        <v>2016</v>
      </c>
      <c r="G28" t="s">
        <v>57</v>
      </c>
      <c r="H28" s="42">
        <v>180</v>
      </c>
      <c r="J28" t="s">
        <v>248</v>
      </c>
      <c r="K28" t="s">
        <v>260</v>
      </c>
      <c r="L28" s="34">
        <v>1</v>
      </c>
      <c r="M28" s="38">
        <v>0.75</v>
      </c>
      <c r="N28" s="38">
        <f t="shared" si="0"/>
        <v>0.75</v>
      </c>
    </row>
    <row r="29" spans="1:14">
      <c r="A29" s="29">
        <v>42661</v>
      </c>
      <c r="B29" s="22" t="s">
        <v>105</v>
      </c>
      <c r="C29" s="22"/>
      <c r="D29" s="48" t="s">
        <v>5</v>
      </c>
      <c r="E29" t="s">
        <v>158</v>
      </c>
      <c r="F29">
        <v>2016</v>
      </c>
      <c r="G29" t="s">
        <v>57</v>
      </c>
      <c r="H29" s="42">
        <v>180</v>
      </c>
      <c r="J29" t="s">
        <v>248</v>
      </c>
      <c r="K29" t="s">
        <v>261</v>
      </c>
      <c r="L29" s="34">
        <v>1</v>
      </c>
      <c r="M29" s="38">
        <v>0.75</v>
      </c>
      <c r="N29" s="38">
        <f t="shared" si="0"/>
        <v>0.75</v>
      </c>
    </row>
    <row r="30" spans="1:14">
      <c r="A30" s="29">
        <v>42661</v>
      </c>
      <c r="B30" s="22" t="s">
        <v>105</v>
      </c>
      <c r="C30" s="22"/>
      <c r="D30" s="48" t="s">
        <v>5</v>
      </c>
      <c r="E30" t="s">
        <v>158</v>
      </c>
      <c r="F30">
        <v>2016</v>
      </c>
      <c r="G30" t="s">
        <v>57</v>
      </c>
      <c r="H30" s="42">
        <v>195</v>
      </c>
      <c r="J30" t="s">
        <v>248</v>
      </c>
      <c r="K30" t="s">
        <v>260</v>
      </c>
      <c r="L30" s="34">
        <v>1</v>
      </c>
      <c r="M30" s="38">
        <v>0.75</v>
      </c>
      <c r="N30" s="38">
        <f t="shared" si="0"/>
        <v>0.75</v>
      </c>
    </row>
    <row r="31" spans="1:14">
      <c r="A31" s="29">
        <v>42661</v>
      </c>
      <c r="B31" s="22" t="s">
        <v>105</v>
      </c>
      <c r="C31" s="22"/>
      <c r="D31" s="48" t="s">
        <v>5</v>
      </c>
      <c r="E31" t="s">
        <v>158</v>
      </c>
      <c r="F31">
        <v>2016</v>
      </c>
      <c r="G31" t="s">
        <v>57</v>
      </c>
      <c r="H31" s="42">
        <v>195</v>
      </c>
      <c r="J31" t="s">
        <v>248</v>
      </c>
      <c r="K31" t="s">
        <v>261</v>
      </c>
      <c r="L31" s="34">
        <v>1</v>
      </c>
      <c r="M31" s="38">
        <v>0.75</v>
      </c>
      <c r="N31" s="38">
        <f t="shared" si="0"/>
        <v>0.75</v>
      </c>
    </row>
    <row r="32" spans="1:14">
      <c r="A32" s="29">
        <v>42661</v>
      </c>
      <c r="B32" s="22" t="s">
        <v>105</v>
      </c>
      <c r="C32" s="22"/>
      <c r="D32" s="48" t="s">
        <v>5</v>
      </c>
      <c r="E32" t="s">
        <v>158</v>
      </c>
      <c r="F32">
        <v>2016</v>
      </c>
      <c r="G32" t="s">
        <v>57</v>
      </c>
      <c r="H32" s="42">
        <v>30</v>
      </c>
      <c r="J32" t="s">
        <v>248</v>
      </c>
      <c r="K32" t="s">
        <v>260</v>
      </c>
      <c r="L32" s="34">
        <v>1</v>
      </c>
      <c r="M32" s="38">
        <v>0.75</v>
      </c>
      <c r="N32" s="38">
        <f t="shared" si="0"/>
        <v>0.75</v>
      </c>
    </row>
    <row r="33" spans="1:14">
      <c r="A33" s="29">
        <v>42661</v>
      </c>
      <c r="B33" s="22" t="s">
        <v>105</v>
      </c>
      <c r="C33" s="22"/>
      <c r="D33" s="48" t="s">
        <v>5</v>
      </c>
      <c r="E33" t="s">
        <v>158</v>
      </c>
      <c r="F33">
        <v>2016</v>
      </c>
      <c r="G33" t="s">
        <v>57</v>
      </c>
      <c r="H33" s="42">
        <v>30</v>
      </c>
      <c r="J33" t="s">
        <v>248</v>
      </c>
      <c r="K33" t="s">
        <v>261</v>
      </c>
      <c r="L33" s="34">
        <v>1</v>
      </c>
      <c r="M33" s="38">
        <v>0.75</v>
      </c>
      <c r="N33" s="38">
        <f t="shared" si="0"/>
        <v>0.75</v>
      </c>
    </row>
    <row r="34" spans="1:14">
      <c r="A34" s="29">
        <v>42661</v>
      </c>
      <c r="B34" s="22" t="s">
        <v>57</v>
      </c>
      <c r="C34" s="22" t="s">
        <v>47</v>
      </c>
      <c r="D34" s="48" t="s">
        <v>5</v>
      </c>
      <c r="E34" t="s">
        <v>159</v>
      </c>
      <c r="F34">
        <v>2016</v>
      </c>
      <c r="G34" t="s">
        <v>252</v>
      </c>
      <c r="H34" s="42" t="s">
        <v>57</v>
      </c>
      <c r="J34" t="s">
        <v>248</v>
      </c>
      <c r="L34" s="34">
        <v>2</v>
      </c>
      <c r="M34" s="38">
        <v>0.75</v>
      </c>
      <c r="N34" s="38">
        <f t="shared" si="0"/>
        <v>1.5</v>
      </c>
    </row>
    <row r="35" spans="1:14">
      <c r="A35" s="29">
        <v>42661</v>
      </c>
      <c r="B35" s="22" t="s">
        <v>57</v>
      </c>
      <c r="C35" s="22" t="s">
        <v>47</v>
      </c>
      <c r="D35" s="48" t="s">
        <v>5</v>
      </c>
      <c r="E35" t="s">
        <v>159</v>
      </c>
      <c r="F35">
        <v>2016</v>
      </c>
      <c r="G35" t="s">
        <v>251</v>
      </c>
      <c r="H35" s="42" t="s">
        <v>57</v>
      </c>
      <c r="J35" t="s">
        <v>248</v>
      </c>
      <c r="L35" s="34">
        <v>2</v>
      </c>
      <c r="M35" s="38">
        <v>0.75</v>
      </c>
      <c r="N35" s="38">
        <f t="shared" si="0"/>
        <v>1.5</v>
      </c>
    </row>
    <row r="36" spans="1:14">
      <c r="A36" s="29">
        <v>42661</v>
      </c>
      <c r="B36" s="22" t="s">
        <v>57</v>
      </c>
      <c r="C36" s="22" t="s">
        <v>47</v>
      </c>
      <c r="D36" s="48" t="s">
        <v>5</v>
      </c>
      <c r="E36" t="s">
        <v>157</v>
      </c>
      <c r="F36">
        <v>2016</v>
      </c>
      <c r="G36" t="s">
        <v>250</v>
      </c>
      <c r="H36" s="42" t="s">
        <v>57</v>
      </c>
      <c r="J36" t="s">
        <v>248</v>
      </c>
      <c r="L36" s="34">
        <v>1</v>
      </c>
      <c r="M36" s="38">
        <v>0.75</v>
      </c>
      <c r="N36" s="38">
        <f t="shared" si="0"/>
        <v>0.75</v>
      </c>
    </row>
    <row r="37" spans="1:14">
      <c r="A37" s="29">
        <v>42661</v>
      </c>
      <c r="B37" s="22" t="s">
        <v>57</v>
      </c>
      <c r="C37" s="22" t="s">
        <v>47</v>
      </c>
      <c r="D37" s="48" t="s">
        <v>5</v>
      </c>
      <c r="E37" t="s">
        <v>157</v>
      </c>
      <c r="F37">
        <v>2016</v>
      </c>
      <c r="G37" t="s">
        <v>254</v>
      </c>
      <c r="H37" s="42" t="s">
        <v>57</v>
      </c>
      <c r="J37" t="s">
        <v>248</v>
      </c>
      <c r="L37" s="34">
        <v>1</v>
      </c>
      <c r="M37" s="38">
        <v>0.75</v>
      </c>
      <c r="N37" s="38">
        <f t="shared" si="0"/>
        <v>0.75</v>
      </c>
    </row>
    <row r="38" spans="1:14">
      <c r="A38" s="29">
        <v>42661</v>
      </c>
      <c r="B38" s="22" t="s">
        <v>57</v>
      </c>
      <c r="C38" s="22" t="s">
        <v>47</v>
      </c>
      <c r="D38" s="48" t="s">
        <v>5</v>
      </c>
      <c r="E38" t="s">
        <v>157</v>
      </c>
      <c r="F38">
        <v>2016</v>
      </c>
      <c r="G38" t="s">
        <v>253</v>
      </c>
      <c r="H38" s="42" t="s">
        <v>57</v>
      </c>
      <c r="J38" t="s">
        <v>248</v>
      </c>
      <c r="L38" s="34">
        <v>1</v>
      </c>
      <c r="M38" s="38">
        <v>0.75</v>
      </c>
      <c r="N38" s="38">
        <f t="shared" si="0"/>
        <v>0.75</v>
      </c>
    </row>
    <row r="39" spans="1:14">
      <c r="A39" s="29">
        <v>42662</v>
      </c>
      <c r="B39" s="22" t="s">
        <v>63</v>
      </c>
      <c r="C39" s="22" t="s">
        <v>57</v>
      </c>
      <c r="D39" s="48" t="s">
        <v>5</v>
      </c>
      <c r="E39" t="s">
        <v>255</v>
      </c>
      <c r="F39">
        <v>2016</v>
      </c>
      <c r="G39" t="s">
        <v>57</v>
      </c>
      <c r="H39" s="42">
        <v>424</v>
      </c>
      <c r="J39" t="s">
        <v>248</v>
      </c>
      <c r="L39" s="34">
        <v>3</v>
      </c>
      <c r="M39" s="38">
        <v>0.75</v>
      </c>
      <c r="N39" s="38">
        <f t="shared" si="0"/>
        <v>2.25</v>
      </c>
    </row>
    <row r="40" spans="1:14">
      <c r="A40" s="29">
        <v>42662</v>
      </c>
      <c r="B40" s="22" t="s">
        <v>57</v>
      </c>
      <c r="C40" s="22" t="s">
        <v>49</v>
      </c>
      <c r="D40" s="48" t="s">
        <v>5</v>
      </c>
      <c r="E40" t="s">
        <v>262</v>
      </c>
      <c r="F40">
        <v>2015</v>
      </c>
      <c r="G40" t="s">
        <v>263</v>
      </c>
      <c r="H40" s="42">
        <v>310</v>
      </c>
      <c r="J40" t="s">
        <v>248</v>
      </c>
      <c r="L40" s="34">
        <v>3</v>
      </c>
      <c r="M40" s="38">
        <v>0.75</v>
      </c>
      <c r="N40" s="38">
        <f t="shared" si="0"/>
        <v>2.25</v>
      </c>
    </row>
    <row r="41" spans="1:14">
      <c r="A41" s="29">
        <v>42662</v>
      </c>
      <c r="B41" s="22" t="s">
        <v>63</v>
      </c>
      <c r="C41" s="22" t="s">
        <v>57</v>
      </c>
      <c r="D41" s="48" t="s">
        <v>5</v>
      </c>
      <c r="E41" t="s">
        <v>255</v>
      </c>
      <c r="F41">
        <v>2015</v>
      </c>
      <c r="G41" t="s">
        <v>253</v>
      </c>
      <c r="H41" s="42">
        <v>196</v>
      </c>
      <c r="J41" t="s">
        <v>248</v>
      </c>
      <c r="L41" s="34">
        <v>2</v>
      </c>
      <c r="M41" s="38">
        <v>0.75</v>
      </c>
      <c r="N41" s="38">
        <f t="shared" si="0"/>
        <v>1.5</v>
      </c>
    </row>
    <row r="42" spans="1:14">
      <c r="A42" s="29">
        <v>42663</v>
      </c>
      <c r="B42" s="22" t="s">
        <v>57</v>
      </c>
      <c r="C42" s="22" t="s">
        <v>49</v>
      </c>
      <c r="D42" s="48" t="s">
        <v>5</v>
      </c>
      <c r="E42" t="s">
        <v>159</v>
      </c>
      <c r="F42">
        <v>2016</v>
      </c>
      <c r="G42" t="s">
        <v>251</v>
      </c>
      <c r="H42" s="42" t="s">
        <v>57</v>
      </c>
      <c r="J42" t="s">
        <v>248</v>
      </c>
      <c r="L42" s="34">
        <v>3</v>
      </c>
      <c r="M42" s="38">
        <v>0.75</v>
      </c>
      <c r="N42" s="38">
        <f t="shared" si="0"/>
        <v>2.25</v>
      </c>
    </row>
    <row r="43" spans="1:14">
      <c r="A43" s="29">
        <v>42663</v>
      </c>
      <c r="B43" s="22" t="s">
        <v>57</v>
      </c>
      <c r="C43" s="22" t="s">
        <v>49</v>
      </c>
      <c r="D43" s="48" t="s">
        <v>5</v>
      </c>
      <c r="E43" t="s">
        <v>159</v>
      </c>
      <c r="F43">
        <v>2016</v>
      </c>
      <c r="G43" t="s">
        <v>253</v>
      </c>
      <c r="H43" s="42" t="s">
        <v>57</v>
      </c>
      <c r="J43" t="s">
        <v>248</v>
      </c>
      <c r="L43" s="34">
        <v>1</v>
      </c>
      <c r="M43" s="38">
        <v>0.75</v>
      </c>
      <c r="N43" s="38">
        <f t="shared" si="0"/>
        <v>0.75</v>
      </c>
    </row>
    <row r="44" spans="1:14">
      <c r="A44" s="29">
        <v>42663</v>
      </c>
      <c r="B44" s="22" t="s">
        <v>57</v>
      </c>
      <c r="C44" s="22" t="s">
        <v>49</v>
      </c>
      <c r="D44" s="48" t="s">
        <v>5</v>
      </c>
      <c r="E44" t="s">
        <v>157</v>
      </c>
      <c r="F44">
        <v>2016</v>
      </c>
      <c r="G44" t="s">
        <v>250</v>
      </c>
      <c r="H44" s="42" t="s">
        <v>57</v>
      </c>
      <c r="J44" t="s">
        <v>248</v>
      </c>
      <c r="L44" s="34">
        <v>3</v>
      </c>
      <c r="M44" s="38">
        <v>0.75</v>
      </c>
      <c r="N44" s="38">
        <f t="shared" si="0"/>
        <v>2.25</v>
      </c>
    </row>
    <row r="45" spans="1:14">
      <c r="A45" s="29">
        <v>42663</v>
      </c>
      <c r="B45" s="22" t="s">
        <v>57</v>
      </c>
      <c r="C45" s="22" t="s">
        <v>49</v>
      </c>
      <c r="D45" s="48" t="s">
        <v>5</v>
      </c>
      <c r="E45" t="s">
        <v>157</v>
      </c>
      <c r="F45">
        <v>2016</v>
      </c>
      <c r="G45" t="s">
        <v>254</v>
      </c>
      <c r="H45" s="42" t="s">
        <v>57</v>
      </c>
      <c r="J45" t="s">
        <v>248</v>
      </c>
      <c r="L45" s="34">
        <v>3</v>
      </c>
      <c r="M45" s="38">
        <v>0.75</v>
      </c>
      <c r="N45" s="38">
        <f t="shared" si="0"/>
        <v>2.25</v>
      </c>
    </row>
    <row r="46" spans="1:14">
      <c r="A46" s="29">
        <v>42663</v>
      </c>
      <c r="B46" s="22" t="s">
        <v>57</v>
      </c>
      <c r="C46" s="22" t="s">
        <v>49</v>
      </c>
      <c r="D46" s="48" t="s">
        <v>5</v>
      </c>
      <c r="E46" t="s">
        <v>157</v>
      </c>
      <c r="F46">
        <v>2016</v>
      </c>
      <c r="G46" t="s">
        <v>253</v>
      </c>
      <c r="H46" s="42" t="s">
        <v>57</v>
      </c>
      <c r="J46" t="s">
        <v>248</v>
      </c>
      <c r="L46" s="34">
        <v>3</v>
      </c>
      <c r="M46" s="38">
        <v>0.75</v>
      </c>
      <c r="N46" s="38">
        <f t="shared" si="0"/>
        <v>2.25</v>
      </c>
    </row>
    <row r="47" spans="1:14">
      <c r="A47" s="29">
        <v>42663</v>
      </c>
      <c r="B47" s="22" t="s">
        <v>57</v>
      </c>
      <c r="C47" s="22" t="s">
        <v>49</v>
      </c>
      <c r="D47" s="48" t="s">
        <v>5</v>
      </c>
      <c r="E47" t="s">
        <v>158</v>
      </c>
      <c r="F47">
        <v>2016</v>
      </c>
      <c r="G47" t="s">
        <v>57</v>
      </c>
      <c r="H47" s="42">
        <v>184</v>
      </c>
      <c r="J47" t="s">
        <v>248</v>
      </c>
      <c r="L47" s="34">
        <v>3</v>
      </c>
      <c r="M47" s="38">
        <v>0.75</v>
      </c>
      <c r="N47" s="38">
        <f t="shared" si="0"/>
        <v>2.25</v>
      </c>
    </row>
    <row r="48" spans="1:14">
      <c r="A48" s="29">
        <v>42663</v>
      </c>
      <c r="B48" s="22" t="s">
        <v>57</v>
      </c>
      <c r="C48" s="22" t="s">
        <v>49</v>
      </c>
      <c r="D48" s="48" t="s">
        <v>5</v>
      </c>
      <c r="E48" t="s">
        <v>158</v>
      </c>
      <c r="F48">
        <v>2016</v>
      </c>
      <c r="G48" t="s">
        <v>57</v>
      </c>
      <c r="H48" s="42">
        <v>30</v>
      </c>
      <c r="J48" t="s">
        <v>248</v>
      </c>
      <c r="L48" s="34">
        <v>3</v>
      </c>
      <c r="M48" s="38">
        <v>0.75</v>
      </c>
      <c r="N48" s="38">
        <f t="shared" si="0"/>
        <v>2.25</v>
      </c>
    </row>
    <row r="49" spans="1:14">
      <c r="A49" s="29">
        <v>42663</v>
      </c>
      <c r="B49" s="22" t="s">
        <v>57</v>
      </c>
      <c r="C49" s="22" t="s">
        <v>49</v>
      </c>
      <c r="D49" s="48" t="s">
        <v>5</v>
      </c>
      <c r="E49" t="s">
        <v>255</v>
      </c>
      <c r="F49">
        <v>2016</v>
      </c>
      <c r="G49" t="s">
        <v>57</v>
      </c>
      <c r="H49" s="42">
        <v>424</v>
      </c>
      <c r="J49" t="s">
        <v>248</v>
      </c>
      <c r="L49" s="34">
        <v>3</v>
      </c>
      <c r="M49" s="38">
        <v>0.75</v>
      </c>
      <c r="N49" s="38">
        <f t="shared" si="0"/>
        <v>2.25</v>
      </c>
    </row>
    <row r="50" spans="1:14">
      <c r="A50" s="29">
        <v>42663</v>
      </c>
      <c r="B50" s="22" t="s">
        <v>57</v>
      </c>
      <c r="C50" s="22" t="s">
        <v>22</v>
      </c>
      <c r="D50" s="48" t="s">
        <v>5</v>
      </c>
      <c r="E50" t="s">
        <v>255</v>
      </c>
      <c r="F50">
        <v>2016</v>
      </c>
      <c r="G50" t="s">
        <v>57</v>
      </c>
      <c r="H50" s="42">
        <v>424</v>
      </c>
      <c r="J50" t="s">
        <v>248</v>
      </c>
      <c r="L50" s="34">
        <v>2</v>
      </c>
      <c r="M50" s="38">
        <v>0.75</v>
      </c>
      <c r="N50" s="38">
        <f t="shared" si="0"/>
        <v>1.5</v>
      </c>
    </row>
    <row r="51" spans="1:14">
      <c r="A51" s="29">
        <v>42663</v>
      </c>
      <c r="B51" s="22" t="s">
        <v>57</v>
      </c>
      <c r="C51" s="22" t="s">
        <v>22</v>
      </c>
      <c r="D51" s="48" t="s">
        <v>11</v>
      </c>
      <c r="E51" t="s">
        <v>259</v>
      </c>
      <c r="F51">
        <v>2015</v>
      </c>
      <c r="G51" t="s">
        <v>57</v>
      </c>
      <c r="H51" s="42">
        <v>69</v>
      </c>
      <c r="J51" t="s">
        <v>248</v>
      </c>
      <c r="L51" s="34">
        <v>3</v>
      </c>
      <c r="M51" s="38">
        <v>0.75</v>
      </c>
      <c r="N51" s="38">
        <f t="shared" si="0"/>
        <v>2.25</v>
      </c>
    </row>
    <row r="52" spans="1:14">
      <c r="A52" s="29">
        <v>42663</v>
      </c>
      <c r="B52" s="22" t="s">
        <v>57</v>
      </c>
      <c r="C52" s="22" t="s">
        <v>22</v>
      </c>
      <c r="D52" s="48" t="s">
        <v>5</v>
      </c>
      <c r="E52" t="s">
        <v>159</v>
      </c>
      <c r="F52">
        <v>2016</v>
      </c>
      <c r="G52" t="s">
        <v>251</v>
      </c>
      <c r="H52" s="42" t="s">
        <v>57</v>
      </c>
      <c r="J52" t="s">
        <v>248</v>
      </c>
      <c r="L52" s="34">
        <v>2</v>
      </c>
      <c r="M52" s="38">
        <v>0.75</v>
      </c>
      <c r="N52" s="38">
        <f t="shared" si="0"/>
        <v>1.5</v>
      </c>
    </row>
    <row r="53" spans="1:14">
      <c r="A53" s="29">
        <v>42663</v>
      </c>
      <c r="B53" s="22" t="s">
        <v>57</v>
      </c>
      <c r="C53" s="22" t="s">
        <v>22</v>
      </c>
      <c r="D53" s="48" t="s">
        <v>5</v>
      </c>
      <c r="E53" t="s">
        <v>159</v>
      </c>
      <c r="F53">
        <v>2016</v>
      </c>
      <c r="G53" t="s">
        <v>252</v>
      </c>
      <c r="H53" s="42" t="s">
        <v>57</v>
      </c>
      <c r="J53" t="s">
        <v>248</v>
      </c>
      <c r="L53" s="34">
        <v>2</v>
      </c>
      <c r="M53" s="38">
        <v>0.75</v>
      </c>
      <c r="N53" s="38">
        <f t="shared" si="0"/>
        <v>1.5</v>
      </c>
    </row>
    <row r="54" spans="1:14">
      <c r="A54" s="29">
        <v>42663</v>
      </c>
      <c r="B54" s="22" t="s">
        <v>57</v>
      </c>
      <c r="C54" s="22" t="s">
        <v>22</v>
      </c>
      <c r="D54" s="48" t="s">
        <v>5</v>
      </c>
      <c r="E54" t="s">
        <v>159</v>
      </c>
      <c r="F54">
        <v>2016</v>
      </c>
      <c r="G54" t="s">
        <v>253</v>
      </c>
      <c r="H54" s="42" t="s">
        <v>57</v>
      </c>
      <c r="J54" t="s">
        <v>248</v>
      </c>
      <c r="L54" s="34">
        <v>2</v>
      </c>
      <c r="M54" s="38">
        <v>0.75</v>
      </c>
      <c r="N54" s="38">
        <f t="shared" si="0"/>
        <v>1.5</v>
      </c>
    </row>
    <row r="55" spans="1:14">
      <c r="A55" s="29">
        <v>42663</v>
      </c>
      <c r="B55" s="22" t="s">
        <v>57</v>
      </c>
      <c r="C55" s="22" t="s">
        <v>22</v>
      </c>
      <c r="D55" s="48" t="s">
        <v>5</v>
      </c>
      <c r="E55" t="s">
        <v>157</v>
      </c>
      <c r="F55">
        <v>2016</v>
      </c>
      <c r="G55" t="s">
        <v>250</v>
      </c>
      <c r="H55" s="42" t="s">
        <v>57</v>
      </c>
      <c r="J55" t="s">
        <v>248</v>
      </c>
      <c r="L55" s="34">
        <v>2</v>
      </c>
      <c r="M55" s="38">
        <v>0.75</v>
      </c>
      <c r="N55" s="38">
        <f t="shared" si="0"/>
        <v>1.5</v>
      </c>
    </row>
    <row r="56" spans="1:14">
      <c r="A56" s="29">
        <v>42663</v>
      </c>
      <c r="B56" s="22" t="s">
        <v>57</v>
      </c>
      <c r="C56" s="22" t="s">
        <v>22</v>
      </c>
      <c r="D56" s="48" t="s">
        <v>5</v>
      </c>
      <c r="E56" t="s">
        <v>157</v>
      </c>
      <c r="F56">
        <v>2016</v>
      </c>
      <c r="G56" t="s">
        <v>254</v>
      </c>
      <c r="H56" s="42" t="s">
        <v>57</v>
      </c>
      <c r="J56" t="s">
        <v>248</v>
      </c>
      <c r="L56" s="34">
        <v>2</v>
      </c>
      <c r="M56" s="38">
        <v>0.75</v>
      </c>
      <c r="N56" s="38">
        <f t="shared" si="0"/>
        <v>1.5</v>
      </c>
    </row>
    <row r="57" spans="1:14">
      <c r="A57" s="29">
        <v>42663</v>
      </c>
      <c r="B57" s="22" t="s">
        <v>57</v>
      </c>
      <c r="C57" s="22" t="s">
        <v>22</v>
      </c>
      <c r="D57" s="48" t="s">
        <v>5</v>
      </c>
      <c r="E57" t="s">
        <v>157</v>
      </c>
      <c r="F57">
        <v>2016</v>
      </c>
      <c r="G57" t="s">
        <v>253</v>
      </c>
      <c r="H57" s="42" t="s">
        <v>57</v>
      </c>
      <c r="J57" t="s">
        <v>248</v>
      </c>
      <c r="L57" s="34">
        <v>2</v>
      </c>
      <c r="M57" s="38">
        <v>0.75</v>
      </c>
      <c r="N57" s="38">
        <f t="shared" si="0"/>
        <v>1.5</v>
      </c>
    </row>
    <row r="58" spans="1:14">
      <c r="A58" s="29">
        <v>42664</v>
      </c>
      <c r="B58" s="22" t="s">
        <v>63</v>
      </c>
      <c r="C58" s="22" t="s">
        <v>57</v>
      </c>
      <c r="D58" s="48" t="s">
        <v>5</v>
      </c>
      <c r="E58" t="s">
        <v>159</v>
      </c>
      <c r="F58">
        <v>2016</v>
      </c>
      <c r="G58" t="s">
        <v>251</v>
      </c>
      <c r="H58" s="42" t="s">
        <v>57</v>
      </c>
      <c r="J58" t="s">
        <v>248</v>
      </c>
      <c r="L58" s="34">
        <v>3</v>
      </c>
      <c r="M58" s="38">
        <v>0.75</v>
      </c>
      <c r="N58" s="38">
        <f t="shared" si="0"/>
        <v>2.25</v>
      </c>
    </row>
    <row r="59" spans="1:14">
      <c r="A59" s="29">
        <v>42664</v>
      </c>
      <c r="B59" s="22" t="s">
        <v>63</v>
      </c>
      <c r="C59" s="22" t="s">
        <v>57</v>
      </c>
      <c r="D59" s="48" t="s">
        <v>5</v>
      </c>
      <c r="E59" t="s">
        <v>159</v>
      </c>
      <c r="F59">
        <v>2016</v>
      </c>
      <c r="G59" t="s">
        <v>252</v>
      </c>
      <c r="H59" s="42" t="s">
        <v>57</v>
      </c>
      <c r="J59" t="s">
        <v>248</v>
      </c>
      <c r="L59" s="34">
        <v>3</v>
      </c>
      <c r="M59" s="38">
        <v>0.75</v>
      </c>
      <c r="N59" s="38">
        <f t="shared" si="0"/>
        <v>2.25</v>
      </c>
    </row>
    <row r="60" spans="1:14">
      <c r="A60" s="29">
        <v>42664</v>
      </c>
      <c r="B60" s="22" t="s">
        <v>63</v>
      </c>
      <c r="C60" s="22" t="s">
        <v>57</v>
      </c>
      <c r="D60" s="48" t="s">
        <v>5</v>
      </c>
      <c r="E60" t="s">
        <v>159</v>
      </c>
      <c r="F60">
        <v>2016</v>
      </c>
      <c r="G60" t="s">
        <v>253</v>
      </c>
      <c r="H60" s="42" t="s">
        <v>57</v>
      </c>
      <c r="J60" t="s">
        <v>248</v>
      </c>
      <c r="L60" s="34">
        <v>3</v>
      </c>
      <c r="M60" s="38">
        <v>0.75</v>
      </c>
      <c r="N60" s="38">
        <f t="shared" si="0"/>
        <v>2.25</v>
      </c>
    </row>
    <row r="61" spans="1:14">
      <c r="A61" s="29">
        <v>42664</v>
      </c>
      <c r="B61" s="22" t="s">
        <v>63</v>
      </c>
      <c r="C61" s="22" t="s">
        <v>57</v>
      </c>
      <c r="D61" s="48" t="s">
        <v>5</v>
      </c>
      <c r="E61" t="s">
        <v>157</v>
      </c>
      <c r="F61">
        <v>2016</v>
      </c>
      <c r="G61" t="s">
        <v>250</v>
      </c>
      <c r="H61" s="42" t="s">
        <v>57</v>
      </c>
      <c r="J61" t="s">
        <v>248</v>
      </c>
      <c r="L61" s="34">
        <v>3</v>
      </c>
      <c r="M61" s="38">
        <v>0.75</v>
      </c>
      <c r="N61" s="38">
        <f t="shared" si="0"/>
        <v>2.25</v>
      </c>
    </row>
    <row r="62" spans="1:14">
      <c r="A62" s="29">
        <v>42664</v>
      </c>
      <c r="B62" s="22" t="s">
        <v>63</v>
      </c>
      <c r="C62" s="22" t="s">
        <v>57</v>
      </c>
      <c r="D62" s="48" t="s">
        <v>5</v>
      </c>
      <c r="E62" t="s">
        <v>157</v>
      </c>
      <c r="F62">
        <v>2016</v>
      </c>
      <c r="G62" t="s">
        <v>254</v>
      </c>
      <c r="H62" s="42" t="s">
        <v>57</v>
      </c>
      <c r="J62" t="s">
        <v>248</v>
      </c>
      <c r="L62" s="34">
        <v>3</v>
      </c>
      <c r="M62" s="38">
        <v>0.75</v>
      </c>
      <c r="N62" s="38">
        <f t="shared" si="0"/>
        <v>2.25</v>
      </c>
    </row>
    <row r="63" spans="1:14">
      <c r="A63" s="29">
        <v>42664</v>
      </c>
      <c r="B63" s="22" t="s">
        <v>63</v>
      </c>
      <c r="C63" s="22" t="s">
        <v>57</v>
      </c>
      <c r="D63" s="48" t="s">
        <v>5</v>
      </c>
      <c r="E63" t="s">
        <v>157</v>
      </c>
      <c r="F63">
        <v>2016</v>
      </c>
      <c r="G63" t="s">
        <v>253</v>
      </c>
      <c r="H63" s="42" t="s">
        <v>57</v>
      </c>
      <c r="J63" t="s">
        <v>248</v>
      </c>
      <c r="L63" s="34">
        <v>3</v>
      </c>
      <c r="M63" s="38">
        <v>0.75</v>
      </c>
      <c r="N63" s="38">
        <f t="shared" si="0"/>
        <v>2.25</v>
      </c>
    </row>
    <row r="64" spans="1:14">
      <c r="A64" s="29">
        <v>42667</v>
      </c>
      <c r="B64" s="22" t="s">
        <v>63</v>
      </c>
      <c r="C64" s="22" t="s">
        <v>57</v>
      </c>
      <c r="D64" s="48" t="s">
        <v>5</v>
      </c>
      <c r="E64" t="s">
        <v>159</v>
      </c>
      <c r="F64">
        <v>2016</v>
      </c>
      <c r="G64" t="s">
        <v>251</v>
      </c>
      <c r="H64" s="42" t="s">
        <v>57</v>
      </c>
      <c r="J64" t="s">
        <v>248</v>
      </c>
      <c r="L64" s="34">
        <v>3</v>
      </c>
      <c r="M64" s="38">
        <v>0.75</v>
      </c>
      <c r="N64" s="38">
        <f t="shared" si="0"/>
        <v>2.25</v>
      </c>
    </row>
    <row r="65" spans="1:14">
      <c r="A65" s="29">
        <v>42667</v>
      </c>
      <c r="B65" s="22" t="s">
        <v>63</v>
      </c>
      <c r="C65" s="22" t="s">
        <v>57</v>
      </c>
      <c r="D65" s="48" t="s">
        <v>5</v>
      </c>
      <c r="E65" t="s">
        <v>159</v>
      </c>
      <c r="F65">
        <v>2016</v>
      </c>
      <c r="G65" t="s">
        <v>252</v>
      </c>
      <c r="H65" s="42" t="s">
        <v>57</v>
      </c>
      <c r="J65" t="s">
        <v>248</v>
      </c>
      <c r="L65" s="34">
        <v>3</v>
      </c>
      <c r="M65" s="38">
        <v>0.75</v>
      </c>
      <c r="N65" s="38">
        <f t="shared" si="0"/>
        <v>2.25</v>
      </c>
    </row>
    <row r="66" spans="1:14">
      <c r="A66" s="29">
        <v>42667</v>
      </c>
      <c r="B66" s="22" t="s">
        <v>63</v>
      </c>
      <c r="C66" s="25" t="s">
        <v>57</v>
      </c>
      <c r="D66" s="48" t="s">
        <v>5</v>
      </c>
      <c r="E66" t="s">
        <v>159</v>
      </c>
      <c r="F66">
        <v>2016</v>
      </c>
      <c r="G66" t="s">
        <v>253</v>
      </c>
      <c r="H66" s="42" t="s">
        <v>57</v>
      </c>
      <c r="J66" t="s">
        <v>248</v>
      </c>
      <c r="L66" s="34">
        <v>3</v>
      </c>
      <c r="M66" s="38">
        <v>0.75</v>
      </c>
      <c r="N66" s="38">
        <f t="shared" si="0"/>
        <v>2.25</v>
      </c>
    </row>
    <row r="67" spans="1:14">
      <c r="A67" s="29">
        <v>42667</v>
      </c>
      <c r="B67" s="22" t="s">
        <v>63</v>
      </c>
      <c r="C67" s="22" t="s">
        <v>57</v>
      </c>
      <c r="D67" s="48" t="s">
        <v>5</v>
      </c>
      <c r="E67" t="s">
        <v>157</v>
      </c>
      <c r="F67">
        <v>2016</v>
      </c>
      <c r="G67" t="s">
        <v>250</v>
      </c>
      <c r="H67" s="42" t="s">
        <v>57</v>
      </c>
      <c r="J67" t="s">
        <v>248</v>
      </c>
      <c r="L67" s="34">
        <v>3</v>
      </c>
      <c r="M67" s="38">
        <v>0.75</v>
      </c>
      <c r="N67" s="38">
        <f t="shared" ref="N67:N130" si="1">M67*L67</f>
        <v>2.25</v>
      </c>
    </row>
    <row r="68" spans="1:14">
      <c r="A68" s="29">
        <v>42667</v>
      </c>
      <c r="B68" s="22" t="s">
        <v>63</v>
      </c>
      <c r="C68" s="22" t="s">
        <v>57</v>
      </c>
      <c r="D68" s="48" t="s">
        <v>5</v>
      </c>
      <c r="E68" t="s">
        <v>157</v>
      </c>
      <c r="F68">
        <v>2016</v>
      </c>
      <c r="G68" t="s">
        <v>254</v>
      </c>
      <c r="H68" s="42" t="s">
        <v>57</v>
      </c>
      <c r="J68" t="s">
        <v>248</v>
      </c>
      <c r="L68" s="34">
        <v>3</v>
      </c>
      <c r="M68" s="38">
        <v>0.75</v>
      </c>
      <c r="N68" s="38">
        <f t="shared" si="1"/>
        <v>2.25</v>
      </c>
    </row>
    <row r="69" spans="1:14">
      <c r="A69" s="29">
        <v>42667</v>
      </c>
      <c r="B69" s="22" t="s">
        <v>63</v>
      </c>
      <c r="C69" s="22" t="s">
        <v>57</v>
      </c>
      <c r="D69" s="48" t="s">
        <v>5</v>
      </c>
      <c r="E69" t="s">
        <v>157</v>
      </c>
      <c r="F69">
        <v>2016</v>
      </c>
      <c r="G69" t="s">
        <v>253</v>
      </c>
      <c r="H69" s="42" t="s">
        <v>57</v>
      </c>
      <c r="J69" t="s">
        <v>248</v>
      </c>
      <c r="L69" s="34">
        <v>3</v>
      </c>
      <c r="M69" s="38">
        <v>0.75</v>
      </c>
      <c r="N69" s="38">
        <f t="shared" si="1"/>
        <v>2.25</v>
      </c>
    </row>
    <row r="70" spans="1:14">
      <c r="A70" s="29">
        <v>42667</v>
      </c>
      <c r="B70" s="22" t="s">
        <v>63</v>
      </c>
      <c r="C70" s="22" t="s">
        <v>57</v>
      </c>
      <c r="D70" s="48" t="s">
        <v>5</v>
      </c>
      <c r="E70" t="s">
        <v>158</v>
      </c>
      <c r="F70">
        <v>2016</v>
      </c>
      <c r="G70" s="3" t="s">
        <v>264</v>
      </c>
      <c r="H70" s="42">
        <v>36</v>
      </c>
      <c r="J70" t="s">
        <v>248</v>
      </c>
      <c r="L70" s="34">
        <v>3</v>
      </c>
      <c r="M70" s="38">
        <v>0.75</v>
      </c>
      <c r="N70" s="38">
        <f t="shared" si="1"/>
        <v>2.25</v>
      </c>
    </row>
    <row r="71" spans="1:14">
      <c r="A71" s="29">
        <v>42667</v>
      </c>
      <c r="B71" s="22" t="s">
        <v>63</v>
      </c>
      <c r="C71" s="22" t="s">
        <v>57</v>
      </c>
      <c r="D71" s="48" t="s">
        <v>5</v>
      </c>
      <c r="E71" t="s">
        <v>158</v>
      </c>
      <c r="F71">
        <v>2016</v>
      </c>
      <c r="G71" t="s">
        <v>257</v>
      </c>
      <c r="H71" s="42">
        <v>30</v>
      </c>
      <c r="J71" t="s">
        <v>248</v>
      </c>
      <c r="L71" s="34">
        <v>3</v>
      </c>
      <c r="M71" s="38">
        <v>0.75</v>
      </c>
      <c r="N71" s="38">
        <f t="shared" si="1"/>
        <v>2.25</v>
      </c>
    </row>
    <row r="72" spans="1:14">
      <c r="A72" s="29">
        <v>42667</v>
      </c>
      <c r="B72" s="22" t="s">
        <v>63</v>
      </c>
      <c r="C72" s="22" t="s">
        <v>57</v>
      </c>
      <c r="D72" s="48" t="s">
        <v>5</v>
      </c>
      <c r="E72" t="s">
        <v>255</v>
      </c>
      <c r="F72">
        <v>2016</v>
      </c>
      <c r="G72" t="s">
        <v>57</v>
      </c>
      <c r="H72" s="42">
        <v>424</v>
      </c>
      <c r="J72" t="s">
        <v>248</v>
      </c>
      <c r="L72" s="34">
        <v>3</v>
      </c>
      <c r="M72" s="38">
        <v>0.75</v>
      </c>
      <c r="N72" s="38">
        <f t="shared" si="1"/>
        <v>2.25</v>
      </c>
    </row>
    <row r="73" spans="1:14">
      <c r="A73" s="29">
        <v>42667</v>
      </c>
      <c r="B73" s="22" t="s">
        <v>50</v>
      </c>
      <c r="C73" s="22" t="s">
        <v>57</v>
      </c>
      <c r="D73" s="48" t="s">
        <v>5</v>
      </c>
      <c r="E73" t="s">
        <v>159</v>
      </c>
      <c r="F73">
        <v>2016</v>
      </c>
      <c r="G73" t="s">
        <v>252</v>
      </c>
      <c r="H73" s="42">
        <v>423</v>
      </c>
      <c r="J73" t="s">
        <v>248</v>
      </c>
      <c r="L73" s="34">
        <v>1</v>
      </c>
      <c r="M73" s="38">
        <v>0.75</v>
      </c>
      <c r="N73" s="38">
        <f t="shared" si="1"/>
        <v>0.75</v>
      </c>
    </row>
    <row r="74" spans="1:14">
      <c r="A74" s="29">
        <v>42667</v>
      </c>
      <c r="B74" s="22" t="s">
        <v>50</v>
      </c>
      <c r="C74" s="22" t="s">
        <v>57</v>
      </c>
      <c r="D74" s="48" t="s">
        <v>5</v>
      </c>
      <c r="E74" t="s">
        <v>159</v>
      </c>
      <c r="F74">
        <v>2016</v>
      </c>
      <c r="G74" t="s">
        <v>253</v>
      </c>
      <c r="H74" s="42" t="s">
        <v>57</v>
      </c>
      <c r="J74" t="s">
        <v>248</v>
      </c>
      <c r="L74" s="34">
        <v>2</v>
      </c>
      <c r="M74" s="38">
        <v>0.75</v>
      </c>
      <c r="N74" s="38">
        <f t="shared" si="1"/>
        <v>1.5</v>
      </c>
    </row>
    <row r="75" spans="1:14">
      <c r="A75" s="29">
        <v>42667</v>
      </c>
      <c r="B75" s="22" t="s">
        <v>50</v>
      </c>
      <c r="C75" s="22" t="s">
        <v>57</v>
      </c>
      <c r="D75" s="48" t="s">
        <v>5</v>
      </c>
      <c r="E75" t="s">
        <v>159</v>
      </c>
      <c r="F75">
        <v>2016</v>
      </c>
      <c r="G75" t="s">
        <v>251</v>
      </c>
      <c r="H75" s="42" t="s">
        <v>57</v>
      </c>
      <c r="J75" t="s">
        <v>248</v>
      </c>
      <c r="L75" s="34">
        <v>1</v>
      </c>
      <c r="M75" s="38">
        <v>0.75</v>
      </c>
      <c r="N75" s="38">
        <f t="shared" si="1"/>
        <v>0.75</v>
      </c>
    </row>
    <row r="76" spans="1:14">
      <c r="A76" s="29">
        <v>42668</v>
      </c>
      <c r="B76" s="22" t="s">
        <v>57</v>
      </c>
      <c r="C76" s="22" t="s">
        <v>38</v>
      </c>
      <c r="D76" s="48" t="s">
        <v>5</v>
      </c>
      <c r="E76" t="s">
        <v>159</v>
      </c>
      <c r="F76">
        <v>2016</v>
      </c>
      <c r="G76" t="s">
        <v>253</v>
      </c>
      <c r="H76" s="42" t="s">
        <v>57</v>
      </c>
      <c r="J76" t="s">
        <v>248</v>
      </c>
      <c r="L76" s="34">
        <v>1</v>
      </c>
      <c r="M76" s="38">
        <v>0.75</v>
      </c>
      <c r="N76" s="38">
        <f t="shared" si="1"/>
        <v>0.75</v>
      </c>
    </row>
    <row r="77" spans="1:14">
      <c r="A77" s="29">
        <v>42668</v>
      </c>
      <c r="B77" s="22" t="s">
        <v>57</v>
      </c>
      <c r="C77" s="22" t="s">
        <v>43</v>
      </c>
      <c r="D77" s="48" t="s">
        <v>5</v>
      </c>
      <c r="E77" t="s">
        <v>159</v>
      </c>
      <c r="F77">
        <v>2016</v>
      </c>
      <c r="G77" t="s">
        <v>251</v>
      </c>
      <c r="H77" s="42" t="s">
        <v>57</v>
      </c>
      <c r="J77" t="s">
        <v>248</v>
      </c>
      <c r="L77" s="34">
        <v>3</v>
      </c>
      <c r="M77" s="38">
        <v>0.75</v>
      </c>
      <c r="N77" s="38">
        <f t="shared" si="1"/>
        <v>2.25</v>
      </c>
    </row>
    <row r="78" spans="1:14">
      <c r="A78" s="29">
        <v>42668</v>
      </c>
      <c r="B78" s="22" t="s">
        <v>57</v>
      </c>
      <c r="C78" s="22" t="s">
        <v>43</v>
      </c>
      <c r="D78" s="48" t="s">
        <v>5</v>
      </c>
      <c r="E78" t="s">
        <v>159</v>
      </c>
      <c r="F78">
        <v>2016</v>
      </c>
      <c r="G78" t="s">
        <v>252</v>
      </c>
      <c r="H78" s="42">
        <v>423</v>
      </c>
      <c r="J78" t="s">
        <v>248</v>
      </c>
      <c r="L78" s="34">
        <v>3</v>
      </c>
      <c r="M78" s="38">
        <v>0.75</v>
      </c>
      <c r="N78" s="38">
        <f t="shared" si="1"/>
        <v>2.25</v>
      </c>
    </row>
    <row r="79" spans="1:14">
      <c r="A79" s="29">
        <v>42668</v>
      </c>
      <c r="B79" s="22" t="s">
        <v>57</v>
      </c>
      <c r="C79" s="22" t="s">
        <v>43</v>
      </c>
      <c r="D79" s="48" t="s">
        <v>5</v>
      </c>
      <c r="E79" t="s">
        <v>159</v>
      </c>
      <c r="F79">
        <v>2016</v>
      </c>
      <c r="G79" t="s">
        <v>253</v>
      </c>
      <c r="H79" s="42" t="s">
        <v>57</v>
      </c>
      <c r="J79" t="s">
        <v>248</v>
      </c>
      <c r="L79" s="34">
        <v>3</v>
      </c>
      <c r="M79" s="38">
        <v>0.75</v>
      </c>
      <c r="N79" s="38">
        <f t="shared" si="1"/>
        <v>2.25</v>
      </c>
    </row>
    <row r="80" spans="1:14">
      <c r="A80" s="29">
        <v>42668</v>
      </c>
      <c r="B80" s="22" t="s">
        <v>57</v>
      </c>
      <c r="C80" s="22" t="s">
        <v>43</v>
      </c>
      <c r="D80" s="48" t="s">
        <v>5</v>
      </c>
      <c r="E80" t="s">
        <v>157</v>
      </c>
      <c r="F80">
        <v>2016</v>
      </c>
      <c r="G80" t="s">
        <v>250</v>
      </c>
      <c r="H80" s="42" t="s">
        <v>57</v>
      </c>
      <c r="J80" t="s">
        <v>248</v>
      </c>
      <c r="L80" s="34">
        <v>3</v>
      </c>
      <c r="M80" s="38">
        <v>0.75</v>
      </c>
      <c r="N80" s="38">
        <f t="shared" si="1"/>
        <v>2.25</v>
      </c>
    </row>
    <row r="81" spans="1:14">
      <c r="A81" s="29">
        <v>42668</v>
      </c>
      <c r="B81" s="22" t="s">
        <v>57</v>
      </c>
      <c r="C81" s="22" t="s">
        <v>43</v>
      </c>
      <c r="D81" s="48" t="s">
        <v>5</v>
      </c>
      <c r="E81" t="s">
        <v>157</v>
      </c>
      <c r="F81">
        <v>2016</v>
      </c>
      <c r="G81" t="s">
        <v>254</v>
      </c>
      <c r="H81" s="42" t="s">
        <v>57</v>
      </c>
      <c r="J81" t="s">
        <v>248</v>
      </c>
      <c r="L81" s="34">
        <v>3</v>
      </c>
      <c r="M81" s="38">
        <v>0.75</v>
      </c>
      <c r="N81" s="38">
        <f t="shared" si="1"/>
        <v>2.25</v>
      </c>
    </row>
    <row r="82" spans="1:14">
      <c r="A82" s="29">
        <v>42668</v>
      </c>
      <c r="B82" s="22" t="s">
        <v>57</v>
      </c>
      <c r="C82" s="22" t="s">
        <v>43</v>
      </c>
      <c r="D82" s="48" t="s">
        <v>5</v>
      </c>
      <c r="E82" t="s">
        <v>157</v>
      </c>
      <c r="F82">
        <v>2016</v>
      </c>
      <c r="G82" t="s">
        <v>253</v>
      </c>
      <c r="H82" s="42" t="s">
        <v>57</v>
      </c>
      <c r="J82" t="s">
        <v>248</v>
      </c>
      <c r="L82" s="34">
        <v>3</v>
      </c>
      <c r="M82" s="38">
        <v>0.75</v>
      </c>
      <c r="N82" s="38">
        <f t="shared" si="1"/>
        <v>2.25</v>
      </c>
    </row>
    <row r="83" spans="1:14">
      <c r="A83" s="29">
        <v>42668</v>
      </c>
      <c r="B83" s="22" t="s">
        <v>57</v>
      </c>
      <c r="C83" s="22" t="s">
        <v>43</v>
      </c>
      <c r="D83" s="48" t="s">
        <v>5</v>
      </c>
      <c r="E83" t="s">
        <v>255</v>
      </c>
      <c r="F83">
        <v>2016</v>
      </c>
      <c r="G83" t="s">
        <v>57</v>
      </c>
      <c r="H83" s="42">
        <v>424</v>
      </c>
      <c r="J83" t="s">
        <v>248</v>
      </c>
      <c r="L83" s="34">
        <v>3</v>
      </c>
      <c r="M83" s="38">
        <v>0.75</v>
      </c>
      <c r="N83" s="38">
        <f t="shared" si="1"/>
        <v>2.25</v>
      </c>
    </row>
    <row r="84" spans="1:14">
      <c r="A84" s="29">
        <v>42669</v>
      </c>
      <c r="B84" s="22" t="s">
        <v>63</v>
      </c>
      <c r="C84" s="22" t="s">
        <v>57</v>
      </c>
      <c r="D84" s="48" t="s">
        <v>8</v>
      </c>
      <c r="E84" t="s">
        <v>179</v>
      </c>
      <c r="F84">
        <v>2016</v>
      </c>
      <c r="G84" t="s">
        <v>265</v>
      </c>
      <c r="H84" s="42">
        <v>209</v>
      </c>
      <c r="J84" t="s">
        <v>248</v>
      </c>
      <c r="L84" s="34">
        <v>3</v>
      </c>
      <c r="M84" s="38">
        <v>0.75</v>
      </c>
      <c r="N84" s="38">
        <f t="shared" si="1"/>
        <v>2.25</v>
      </c>
    </row>
    <row r="85" spans="1:14">
      <c r="A85" s="29">
        <v>42669</v>
      </c>
      <c r="B85" s="22" t="s">
        <v>57</v>
      </c>
      <c r="C85" s="22" t="s">
        <v>47</v>
      </c>
      <c r="D85" s="48" t="s">
        <v>8</v>
      </c>
      <c r="E85" t="s">
        <v>178</v>
      </c>
      <c r="F85">
        <v>2016</v>
      </c>
      <c r="G85" t="s">
        <v>266</v>
      </c>
      <c r="H85" s="42" t="s">
        <v>57</v>
      </c>
      <c r="J85" t="s">
        <v>248</v>
      </c>
      <c r="L85" s="34">
        <v>2</v>
      </c>
      <c r="M85" s="38">
        <v>0.75</v>
      </c>
      <c r="N85" s="38">
        <f t="shared" si="1"/>
        <v>1.5</v>
      </c>
    </row>
    <row r="86" spans="1:14">
      <c r="A86" s="29">
        <v>42669</v>
      </c>
      <c r="B86" s="22" t="s">
        <v>57</v>
      </c>
      <c r="C86" s="22" t="s">
        <v>47</v>
      </c>
      <c r="D86" s="48" t="s">
        <v>5</v>
      </c>
      <c r="E86" t="s">
        <v>159</v>
      </c>
      <c r="F86">
        <v>2016</v>
      </c>
      <c r="G86" t="s">
        <v>253</v>
      </c>
      <c r="H86" s="42" t="s">
        <v>57</v>
      </c>
      <c r="J86" t="s">
        <v>248</v>
      </c>
      <c r="L86" s="34">
        <v>2</v>
      </c>
      <c r="M86" s="38">
        <v>0.75</v>
      </c>
      <c r="N86" s="38">
        <f t="shared" si="1"/>
        <v>1.5</v>
      </c>
    </row>
    <row r="87" spans="1:14">
      <c r="A87" s="29">
        <v>42669</v>
      </c>
      <c r="B87" s="22" t="s">
        <v>57</v>
      </c>
      <c r="C87" s="22" t="s">
        <v>47</v>
      </c>
      <c r="D87" s="48" t="s">
        <v>5</v>
      </c>
      <c r="E87" t="s">
        <v>159</v>
      </c>
      <c r="F87">
        <v>2016</v>
      </c>
      <c r="G87" t="s">
        <v>252</v>
      </c>
      <c r="H87" s="42">
        <v>423</v>
      </c>
      <c r="J87" t="s">
        <v>248</v>
      </c>
      <c r="L87" s="34">
        <v>2</v>
      </c>
      <c r="M87" s="38">
        <v>0.75</v>
      </c>
      <c r="N87" s="38">
        <f t="shared" si="1"/>
        <v>1.5</v>
      </c>
    </row>
    <row r="88" spans="1:14">
      <c r="A88" s="29">
        <v>42669</v>
      </c>
      <c r="B88" s="22" t="s">
        <v>57</v>
      </c>
      <c r="C88" s="22" t="s">
        <v>47</v>
      </c>
      <c r="D88" s="48" t="s">
        <v>5</v>
      </c>
      <c r="E88" t="s">
        <v>159</v>
      </c>
      <c r="F88">
        <v>2016</v>
      </c>
      <c r="G88" t="s">
        <v>253</v>
      </c>
      <c r="H88" s="42" t="s">
        <v>57</v>
      </c>
      <c r="J88" t="s">
        <v>248</v>
      </c>
      <c r="L88" s="34">
        <v>2</v>
      </c>
      <c r="M88" s="38">
        <v>0.75</v>
      </c>
      <c r="N88" s="38">
        <f t="shared" si="1"/>
        <v>1.5</v>
      </c>
    </row>
    <row r="89" spans="1:14">
      <c r="A89" s="29">
        <v>42670</v>
      </c>
      <c r="B89" s="22" t="s">
        <v>110</v>
      </c>
      <c r="C89" s="22" t="s">
        <v>57</v>
      </c>
      <c r="D89" s="48" t="s">
        <v>5</v>
      </c>
      <c r="E89" t="s">
        <v>267</v>
      </c>
      <c r="F89">
        <v>2016</v>
      </c>
      <c r="G89" t="s">
        <v>57</v>
      </c>
      <c r="H89" s="42">
        <v>87</v>
      </c>
      <c r="J89" t="s">
        <v>248</v>
      </c>
      <c r="L89" s="34">
        <v>2</v>
      </c>
      <c r="M89" s="38">
        <v>0.75</v>
      </c>
      <c r="N89" s="38">
        <f t="shared" si="1"/>
        <v>1.5</v>
      </c>
    </row>
    <row r="90" spans="1:14">
      <c r="A90" s="29">
        <v>42670</v>
      </c>
      <c r="B90" s="22" t="s">
        <v>110</v>
      </c>
      <c r="C90" s="22" t="s">
        <v>57</v>
      </c>
      <c r="D90" s="48" t="s">
        <v>5</v>
      </c>
      <c r="E90" t="s">
        <v>159</v>
      </c>
      <c r="F90">
        <v>2016</v>
      </c>
      <c r="G90" t="s">
        <v>252</v>
      </c>
      <c r="H90" s="42">
        <v>423</v>
      </c>
      <c r="J90" t="s">
        <v>248</v>
      </c>
      <c r="L90" s="34">
        <v>3</v>
      </c>
      <c r="M90" s="38">
        <v>0.75</v>
      </c>
      <c r="N90" s="38">
        <f t="shared" si="1"/>
        <v>2.25</v>
      </c>
    </row>
    <row r="91" spans="1:14">
      <c r="A91" s="29">
        <v>42670</v>
      </c>
      <c r="B91" s="22" t="s">
        <v>106</v>
      </c>
      <c r="C91" s="22" t="s">
        <v>34</v>
      </c>
      <c r="D91" s="48" t="s">
        <v>5</v>
      </c>
      <c r="E91" t="s">
        <v>157</v>
      </c>
      <c r="F91">
        <v>2016</v>
      </c>
      <c r="G91" t="s">
        <v>33</v>
      </c>
      <c r="H91" s="42" t="s">
        <v>57</v>
      </c>
      <c r="J91" t="s">
        <v>248</v>
      </c>
      <c r="K91" t="s">
        <v>268</v>
      </c>
      <c r="L91" s="34">
        <v>3</v>
      </c>
      <c r="M91" s="38">
        <v>0.75</v>
      </c>
      <c r="N91" s="38">
        <f t="shared" si="1"/>
        <v>2.25</v>
      </c>
    </row>
    <row r="92" spans="1:14">
      <c r="A92" s="29">
        <v>42670</v>
      </c>
      <c r="B92" s="22" t="s">
        <v>106</v>
      </c>
      <c r="C92" s="22" t="s">
        <v>34</v>
      </c>
      <c r="D92" s="48" t="s">
        <v>5</v>
      </c>
      <c r="E92" t="s">
        <v>157</v>
      </c>
      <c r="F92">
        <v>2016</v>
      </c>
      <c r="G92" t="s">
        <v>57</v>
      </c>
      <c r="H92" s="42">
        <v>313</v>
      </c>
      <c r="J92" t="s">
        <v>248</v>
      </c>
      <c r="K92" t="s">
        <v>269</v>
      </c>
      <c r="L92" s="34">
        <v>1</v>
      </c>
      <c r="M92" s="38">
        <v>0.75</v>
      </c>
      <c r="N92" s="38">
        <f t="shared" si="1"/>
        <v>0.75</v>
      </c>
    </row>
    <row r="93" spans="1:14">
      <c r="A93" s="29">
        <v>42671</v>
      </c>
      <c r="B93" s="22" t="s">
        <v>63</v>
      </c>
      <c r="C93" s="22" t="s">
        <v>57</v>
      </c>
      <c r="D93" s="48" t="s">
        <v>8</v>
      </c>
      <c r="E93" t="s">
        <v>178</v>
      </c>
      <c r="F93">
        <v>2015</v>
      </c>
      <c r="G93" t="s">
        <v>57</v>
      </c>
      <c r="H93" s="42">
        <v>328</v>
      </c>
      <c r="J93" t="s">
        <v>248</v>
      </c>
      <c r="K93" t="s">
        <v>270</v>
      </c>
      <c r="L93" s="34">
        <v>3</v>
      </c>
      <c r="M93" s="38">
        <v>0.75</v>
      </c>
      <c r="N93" s="38">
        <f t="shared" si="1"/>
        <v>2.25</v>
      </c>
    </row>
    <row r="94" spans="1:14">
      <c r="A94" s="29">
        <v>42676</v>
      </c>
      <c r="B94" s="22" t="s">
        <v>28</v>
      </c>
      <c r="C94" s="22" t="s">
        <v>271</v>
      </c>
      <c r="D94" s="48" t="s">
        <v>8</v>
      </c>
      <c r="E94" t="s">
        <v>272</v>
      </c>
      <c r="F94">
        <v>2016</v>
      </c>
      <c r="G94" t="s">
        <v>273</v>
      </c>
      <c r="H94" s="42" t="s">
        <v>57</v>
      </c>
      <c r="J94" t="s">
        <v>248</v>
      </c>
      <c r="K94" t="s">
        <v>274</v>
      </c>
      <c r="L94" s="34">
        <v>2</v>
      </c>
      <c r="M94" s="38">
        <v>0.75</v>
      </c>
      <c r="N94" s="38">
        <f t="shared" si="1"/>
        <v>1.5</v>
      </c>
    </row>
    <row r="95" spans="1:14">
      <c r="A95" s="29">
        <v>42676</v>
      </c>
      <c r="B95" s="22" t="s">
        <v>28</v>
      </c>
      <c r="C95" s="22" t="s">
        <v>271</v>
      </c>
      <c r="D95" s="48" t="s">
        <v>8</v>
      </c>
      <c r="E95" t="s">
        <v>272</v>
      </c>
      <c r="F95">
        <v>2016</v>
      </c>
      <c r="G95" t="s">
        <v>273</v>
      </c>
      <c r="H95" s="42" t="s">
        <v>57</v>
      </c>
      <c r="J95" t="s">
        <v>248</v>
      </c>
      <c r="K95" t="s">
        <v>274</v>
      </c>
      <c r="L95" s="34">
        <v>1</v>
      </c>
      <c r="M95" s="38">
        <v>5</v>
      </c>
      <c r="N95" s="38">
        <f t="shared" si="1"/>
        <v>5</v>
      </c>
    </row>
    <row r="96" spans="1:14">
      <c r="A96" s="29">
        <v>42676</v>
      </c>
      <c r="B96" s="22" t="s">
        <v>28</v>
      </c>
      <c r="C96" s="22" t="s">
        <v>271</v>
      </c>
      <c r="D96" s="48" t="s">
        <v>8</v>
      </c>
      <c r="E96" t="s">
        <v>272</v>
      </c>
      <c r="F96">
        <v>2016</v>
      </c>
      <c r="G96" t="s">
        <v>275</v>
      </c>
      <c r="H96" s="42" t="s">
        <v>57</v>
      </c>
      <c r="J96" t="s">
        <v>248</v>
      </c>
      <c r="K96" t="s">
        <v>276</v>
      </c>
      <c r="L96" s="34">
        <v>1</v>
      </c>
      <c r="M96" s="38">
        <v>5</v>
      </c>
      <c r="N96" s="38">
        <f t="shared" si="1"/>
        <v>5</v>
      </c>
    </row>
    <row r="97" spans="1:14">
      <c r="A97" s="29">
        <v>42676</v>
      </c>
      <c r="B97" s="22" t="s">
        <v>28</v>
      </c>
      <c r="C97" s="22" t="s">
        <v>271</v>
      </c>
      <c r="D97" s="48" t="s">
        <v>8</v>
      </c>
      <c r="E97" t="s">
        <v>272</v>
      </c>
      <c r="F97">
        <v>2016</v>
      </c>
      <c r="G97" t="s">
        <v>275</v>
      </c>
      <c r="H97" s="42" t="s">
        <v>57</v>
      </c>
      <c r="J97" t="s">
        <v>248</v>
      </c>
      <c r="K97" t="s">
        <v>276</v>
      </c>
      <c r="L97" s="34">
        <v>2</v>
      </c>
      <c r="M97" s="38">
        <v>0.75</v>
      </c>
      <c r="N97" s="38">
        <f t="shared" si="1"/>
        <v>1.5</v>
      </c>
    </row>
    <row r="98" spans="1:14">
      <c r="A98" s="29">
        <v>42676</v>
      </c>
      <c r="B98" s="22" t="s">
        <v>28</v>
      </c>
      <c r="C98" s="22" t="s">
        <v>271</v>
      </c>
      <c r="D98" s="48" t="s">
        <v>5</v>
      </c>
      <c r="E98" t="s">
        <v>158</v>
      </c>
      <c r="F98">
        <v>2016</v>
      </c>
      <c r="G98" t="s">
        <v>277</v>
      </c>
      <c r="H98" s="42" t="s">
        <v>57</v>
      </c>
      <c r="J98" t="s">
        <v>248</v>
      </c>
      <c r="K98" t="s">
        <v>278</v>
      </c>
      <c r="L98" s="34">
        <v>2</v>
      </c>
      <c r="M98" s="38">
        <v>0.75</v>
      </c>
      <c r="N98" s="38">
        <f t="shared" si="1"/>
        <v>1.5</v>
      </c>
    </row>
    <row r="99" spans="1:14">
      <c r="A99" s="29">
        <v>42676</v>
      </c>
      <c r="B99" s="22" t="s">
        <v>28</v>
      </c>
      <c r="C99" s="22" t="s">
        <v>271</v>
      </c>
      <c r="D99" s="48" t="s">
        <v>5</v>
      </c>
      <c r="E99" t="s">
        <v>158</v>
      </c>
      <c r="F99">
        <v>2016</v>
      </c>
      <c r="G99" t="s">
        <v>279</v>
      </c>
      <c r="H99" s="42" t="s">
        <v>57</v>
      </c>
      <c r="J99" t="s">
        <v>248</v>
      </c>
      <c r="K99" t="s">
        <v>280</v>
      </c>
      <c r="L99" s="34">
        <v>2</v>
      </c>
      <c r="M99" s="38">
        <v>0.75</v>
      </c>
      <c r="N99" s="38">
        <f t="shared" si="1"/>
        <v>1.5</v>
      </c>
    </row>
    <row r="100" spans="1:14">
      <c r="A100" s="29">
        <v>42676</v>
      </c>
      <c r="B100" s="22" t="s">
        <v>28</v>
      </c>
      <c r="C100" s="22" t="s">
        <v>271</v>
      </c>
      <c r="D100" s="48" t="s">
        <v>5</v>
      </c>
      <c r="E100" t="s">
        <v>158</v>
      </c>
      <c r="F100">
        <v>2016</v>
      </c>
      <c r="G100" t="s">
        <v>281</v>
      </c>
      <c r="H100" s="42" t="s">
        <v>57</v>
      </c>
      <c r="J100" t="s">
        <v>248</v>
      </c>
      <c r="K100" t="s">
        <v>282</v>
      </c>
      <c r="L100" s="34">
        <v>2</v>
      </c>
      <c r="M100" s="38">
        <v>0.75</v>
      </c>
      <c r="N100" s="38">
        <f t="shared" si="1"/>
        <v>1.5</v>
      </c>
    </row>
    <row r="101" spans="1:14">
      <c r="A101" s="29">
        <v>42676</v>
      </c>
      <c r="B101" s="22" t="s">
        <v>9</v>
      </c>
      <c r="C101" s="22" t="s">
        <v>41</v>
      </c>
      <c r="D101" s="48" t="s">
        <v>5</v>
      </c>
      <c r="E101" t="s">
        <v>159</v>
      </c>
      <c r="F101">
        <v>2016</v>
      </c>
      <c r="G101" t="s">
        <v>251</v>
      </c>
      <c r="H101" s="42">
        <v>198</v>
      </c>
      <c r="J101" t="s">
        <v>248</v>
      </c>
      <c r="L101" s="34">
        <v>3</v>
      </c>
      <c r="M101" s="38">
        <v>0.75</v>
      </c>
      <c r="N101" s="38">
        <f t="shared" si="1"/>
        <v>2.25</v>
      </c>
    </row>
    <row r="102" spans="1:14">
      <c r="A102" s="29">
        <v>42676</v>
      </c>
      <c r="B102" s="22" t="s">
        <v>9</v>
      </c>
      <c r="C102" s="22" t="s">
        <v>41</v>
      </c>
      <c r="D102" s="48" t="s">
        <v>5</v>
      </c>
      <c r="E102" t="s">
        <v>159</v>
      </c>
      <c r="F102">
        <v>2016</v>
      </c>
      <c r="G102" t="s">
        <v>252</v>
      </c>
      <c r="H102" s="42">
        <v>423</v>
      </c>
      <c r="J102" t="s">
        <v>248</v>
      </c>
      <c r="L102" s="34">
        <v>3</v>
      </c>
      <c r="M102" s="38">
        <v>0.75</v>
      </c>
      <c r="N102" s="38">
        <f t="shared" si="1"/>
        <v>2.25</v>
      </c>
    </row>
    <row r="103" spans="1:14">
      <c r="A103" s="29">
        <v>42676</v>
      </c>
      <c r="B103" s="22" t="s">
        <v>9</v>
      </c>
      <c r="C103" s="22" t="s">
        <v>41</v>
      </c>
      <c r="D103" s="48" t="s">
        <v>5</v>
      </c>
      <c r="E103" t="s">
        <v>159</v>
      </c>
      <c r="F103">
        <v>2016</v>
      </c>
      <c r="G103" t="s">
        <v>253</v>
      </c>
      <c r="H103" s="42" t="s">
        <v>57</v>
      </c>
      <c r="J103" t="s">
        <v>248</v>
      </c>
      <c r="L103" s="34">
        <v>3</v>
      </c>
      <c r="M103" s="38">
        <v>0.75</v>
      </c>
      <c r="N103" s="38">
        <f t="shared" si="1"/>
        <v>2.25</v>
      </c>
    </row>
    <row r="104" spans="1:14">
      <c r="A104" s="29">
        <v>42676</v>
      </c>
      <c r="B104" s="22" t="s">
        <v>9</v>
      </c>
      <c r="C104" s="22" t="s">
        <v>41</v>
      </c>
      <c r="D104" s="48" t="s">
        <v>5</v>
      </c>
      <c r="E104" t="s">
        <v>157</v>
      </c>
      <c r="F104">
        <v>2016</v>
      </c>
      <c r="G104" t="s">
        <v>250</v>
      </c>
      <c r="H104" s="42" t="s">
        <v>57</v>
      </c>
      <c r="J104" t="s">
        <v>248</v>
      </c>
      <c r="L104" s="34">
        <v>3</v>
      </c>
      <c r="M104" s="38">
        <v>0.75</v>
      </c>
      <c r="N104" s="38">
        <f t="shared" si="1"/>
        <v>2.25</v>
      </c>
    </row>
    <row r="105" spans="1:14">
      <c r="A105" s="29">
        <v>42676</v>
      </c>
      <c r="B105" s="22" t="s">
        <v>9</v>
      </c>
      <c r="C105" s="22" t="s">
        <v>41</v>
      </c>
      <c r="D105" s="48" t="s">
        <v>5</v>
      </c>
      <c r="E105" t="s">
        <v>157</v>
      </c>
      <c r="F105">
        <v>2016</v>
      </c>
      <c r="G105" t="s">
        <v>254</v>
      </c>
      <c r="H105" s="42">
        <v>204</v>
      </c>
      <c r="J105" t="s">
        <v>248</v>
      </c>
      <c r="L105" s="34">
        <v>3</v>
      </c>
      <c r="M105" s="38">
        <v>0.75</v>
      </c>
      <c r="N105" s="38">
        <f t="shared" si="1"/>
        <v>2.25</v>
      </c>
    </row>
    <row r="106" spans="1:14">
      <c r="A106" s="29">
        <v>42676</v>
      </c>
      <c r="B106" s="22" t="s">
        <v>9</v>
      </c>
      <c r="C106" s="22" t="s">
        <v>41</v>
      </c>
      <c r="D106" s="48" t="s">
        <v>5</v>
      </c>
      <c r="E106" t="s">
        <v>157</v>
      </c>
      <c r="F106">
        <v>2016</v>
      </c>
      <c r="G106" t="s">
        <v>253</v>
      </c>
      <c r="H106" s="42" t="s">
        <v>57</v>
      </c>
      <c r="J106" t="s">
        <v>248</v>
      </c>
      <c r="L106" s="34">
        <v>3</v>
      </c>
      <c r="M106" s="38">
        <v>0.75</v>
      </c>
      <c r="N106" s="38">
        <f t="shared" si="1"/>
        <v>2.25</v>
      </c>
    </row>
    <row r="107" spans="1:14">
      <c r="A107" s="29">
        <v>42676</v>
      </c>
      <c r="B107" s="22" t="s">
        <v>9</v>
      </c>
      <c r="C107" s="22" t="s">
        <v>41</v>
      </c>
      <c r="D107" s="48" t="s">
        <v>8</v>
      </c>
      <c r="E107" t="s">
        <v>272</v>
      </c>
      <c r="F107">
        <v>2016</v>
      </c>
      <c r="G107" t="s">
        <v>273</v>
      </c>
      <c r="H107" s="42" t="s">
        <v>57</v>
      </c>
      <c r="J107" t="s">
        <v>248</v>
      </c>
      <c r="K107" t="s">
        <v>274</v>
      </c>
      <c r="L107" s="34">
        <v>3</v>
      </c>
      <c r="M107" s="38">
        <v>0.75</v>
      </c>
      <c r="N107" s="38">
        <f t="shared" si="1"/>
        <v>2.25</v>
      </c>
    </row>
    <row r="108" spans="1:14">
      <c r="A108" s="29">
        <v>42676</v>
      </c>
      <c r="B108" s="22" t="s">
        <v>9</v>
      </c>
      <c r="C108" s="22" t="s">
        <v>41</v>
      </c>
      <c r="D108" s="48" t="s">
        <v>8</v>
      </c>
      <c r="E108" t="s">
        <v>272</v>
      </c>
      <c r="F108">
        <v>2016</v>
      </c>
      <c r="G108" t="s">
        <v>275</v>
      </c>
      <c r="H108" s="42" t="s">
        <v>57</v>
      </c>
      <c r="J108" t="s">
        <v>248</v>
      </c>
      <c r="K108" t="s">
        <v>276</v>
      </c>
      <c r="L108" s="34">
        <v>3</v>
      </c>
      <c r="M108" s="38">
        <v>0.75</v>
      </c>
      <c r="N108" s="38">
        <f t="shared" si="1"/>
        <v>2.25</v>
      </c>
    </row>
    <row r="109" spans="1:14">
      <c r="A109" s="29">
        <v>42676</v>
      </c>
      <c r="B109" s="22" t="s">
        <v>57</v>
      </c>
      <c r="C109" s="22" t="s">
        <v>49</v>
      </c>
      <c r="D109" s="48" t="s">
        <v>5</v>
      </c>
      <c r="E109" t="s">
        <v>157</v>
      </c>
      <c r="F109">
        <v>2016</v>
      </c>
      <c r="G109" t="s">
        <v>250</v>
      </c>
      <c r="H109" s="42" t="s">
        <v>57</v>
      </c>
      <c r="J109" t="s">
        <v>248</v>
      </c>
      <c r="L109" s="34">
        <v>4</v>
      </c>
      <c r="M109" s="38">
        <v>0.75</v>
      </c>
      <c r="N109" s="38">
        <f t="shared" si="1"/>
        <v>3</v>
      </c>
    </row>
    <row r="110" spans="1:14">
      <c r="A110" s="29">
        <v>42676</v>
      </c>
      <c r="B110" s="22" t="s">
        <v>57</v>
      </c>
      <c r="C110" s="22" t="s">
        <v>49</v>
      </c>
      <c r="D110" s="48" t="s">
        <v>5</v>
      </c>
      <c r="E110" t="s">
        <v>159</v>
      </c>
      <c r="F110">
        <v>2016</v>
      </c>
      <c r="G110" t="s">
        <v>251</v>
      </c>
      <c r="H110" s="42">
        <v>198</v>
      </c>
      <c r="J110" t="s">
        <v>248</v>
      </c>
      <c r="L110" s="34">
        <v>4</v>
      </c>
      <c r="M110" s="38">
        <v>0.75</v>
      </c>
      <c r="N110" s="38">
        <f t="shared" si="1"/>
        <v>3</v>
      </c>
    </row>
    <row r="111" spans="1:14">
      <c r="A111" s="29">
        <v>42676</v>
      </c>
      <c r="B111" s="22" t="s">
        <v>63</v>
      </c>
      <c r="C111" s="22" t="s">
        <v>57</v>
      </c>
      <c r="D111" s="48" t="s">
        <v>5</v>
      </c>
      <c r="E111" t="s">
        <v>159</v>
      </c>
      <c r="F111">
        <v>2016</v>
      </c>
      <c r="G111" t="s">
        <v>251</v>
      </c>
      <c r="H111" s="42">
        <v>198</v>
      </c>
      <c r="J111" t="s">
        <v>248</v>
      </c>
      <c r="L111" s="34">
        <v>3</v>
      </c>
      <c r="M111" s="38">
        <v>0.75</v>
      </c>
      <c r="N111" s="38">
        <f t="shared" si="1"/>
        <v>2.25</v>
      </c>
    </row>
    <row r="112" spans="1:14">
      <c r="A112" s="29">
        <v>42676</v>
      </c>
      <c r="B112" s="22" t="s">
        <v>63</v>
      </c>
      <c r="C112" s="22" t="s">
        <v>57</v>
      </c>
      <c r="D112" s="48" t="s">
        <v>5</v>
      </c>
      <c r="E112" t="s">
        <v>159</v>
      </c>
      <c r="F112">
        <v>2016</v>
      </c>
      <c r="G112" t="s">
        <v>252</v>
      </c>
      <c r="H112" s="42">
        <v>423</v>
      </c>
      <c r="J112" t="s">
        <v>248</v>
      </c>
      <c r="L112" s="34">
        <v>3</v>
      </c>
      <c r="M112" s="38">
        <v>0.75</v>
      </c>
      <c r="N112" s="38">
        <f t="shared" si="1"/>
        <v>2.25</v>
      </c>
    </row>
    <row r="113" spans="1:14">
      <c r="A113" s="29">
        <v>42676</v>
      </c>
      <c r="B113" s="22" t="s">
        <v>63</v>
      </c>
      <c r="C113" s="22" t="s">
        <v>57</v>
      </c>
      <c r="D113" s="48" t="s">
        <v>5</v>
      </c>
      <c r="E113" t="s">
        <v>159</v>
      </c>
      <c r="F113">
        <v>2016</v>
      </c>
      <c r="G113" t="s">
        <v>253</v>
      </c>
      <c r="H113" s="42" t="s">
        <v>57</v>
      </c>
      <c r="J113" t="s">
        <v>248</v>
      </c>
      <c r="L113" s="34">
        <v>3</v>
      </c>
      <c r="M113" s="38">
        <v>0.75</v>
      </c>
      <c r="N113" s="38">
        <f t="shared" si="1"/>
        <v>2.25</v>
      </c>
    </row>
    <row r="114" spans="1:14">
      <c r="A114" s="29">
        <v>42676</v>
      </c>
      <c r="B114" s="22" t="s">
        <v>63</v>
      </c>
      <c r="C114" s="22" t="s">
        <v>57</v>
      </c>
      <c r="D114" s="48" t="s">
        <v>5</v>
      </c>
      <c r="E114" t="s">
        <v>157</v>
      </c>
      <c r="F114">
        <v>2016</v>
      </c>
      <c r="G114" t="s">
        <v>250</v>
      </c>
      <c r="H114" s="42" t="s">
        <v>57</v>
      </c>
      <c r="J114" t="s">
        <v>248</v>
      </c>
      <c r="L114" s="34">
        <v>3</v>
      </c>
      <c r="M114" s="38">
        <v>0.75</v>
      </c>
      <c r="N114" s="38">
        <f t="shared" si="1"/>
        <v>2.25</v>
      </c>
    </row>
    <row r="115" spans="1:14">
      <c r="A115" s="29">
        <v>42676</v>
      </c>
      <c r="B115" s="22" t="s">
        <v>63</v>
      </c>
      <c r="C115" s="22" t="s">
        <v>57</v>
      </c>
      <c r="D115" s="48" t="s">
        <v>5</v>
      </c>
      <c r="E115" t="s">
        <v>157</v>
      </c>
      <c r="F115">
        <v>2016</v>
      </c>
      <c r="G115" t="s">
        <v>254</v>
      </c>
      <c r="H115" s="42">
        <v>204</v>
      </c>
      <c r="J115" t="s">
        <v>248</v>
      </c>
      <c r="L115" s="34">
        <v>3</v>
      </c>
      <c r="M115" s="38">
        <v>0.75</v>
      </c>
      <c r="N115" s="38">
        <f t="shared" si="1"/>
        <v>2.25</v>
      </c>
    </row>
    <row r="116" spans="1:14">
      <c r="A116" s="29">
        <v>42676</v>
      </c>
      <c r="B116" s="22" t="s">
        <v>63</v>
      </c>
      <c r="C116" s="22" t="s">
        <v>57</v>
      </c>
      <c r="D116" s="48" t="s">
        <v>5</v>
      </c>
      <c r="E116" t="s">
        <v>157</v>
      </c>
      <c r="F116">
        <v>2016</v>
      </c>
      <c r="G116" t="s">
        <v>253</v>
      </c>
      <c r="H116" s="42" t="s">
        <v>57</v>
      </c>
      <c r="J116" t="s">
        <v>248</v>
      </c>
      <c r="L116" s="34">
        <v>3</v>
      </c>
      <c r="M116" s="38">
        <v>0.75</v>
      </c>
      <c r="N116" s="38">
        <f t="shared" si="1"/>
        <v>2.25</v>
      </c>
    </row>
    <row r="117" spans="1:14">
      <c r="A117" s="29">
        <v>42676</v>
      </c>
      <c r="B117" s="22" t="s">
        <v>63</v>
      </c>
      <c r="C117" s="22" t="s">
        <v>57</v>
      </c>
      <c r="D117" s="48" t="s">
        <v>5</v>
      </c>
      <c r="E117" t="s">
        <v>255</v>
      </c>
      <c r="F117">
        <v>2015</v>
      </c>
      <c r="G117" t="s">
        <v>253</v>
      </c>
      <c r="H117" s="42">
        <v>48</v>
      </c>
      <c r="J117" t="s">
        <v>248</v>
      </c>
      <c r="L117" s="34">
        <v>2</v>
      </c>
      <c r="M117" s="38">
        <v>0.75</v>
      </c>
      <c r="N117" s="38">
        <f t="shared" si="1"/>
        <v>1.5</v>
      </c>
    </row>
    <row r="118" spans="1:14">
      <c r="A118" s="29">
        <v>42677</v>
      </c>
      <c r="B118" s="22" t="s">
        <v>79</v>
      </c>
      <c r="C118" s="22" t="s">
        <v>57</v>
      </c>
      <c r="D118" s="48" t="s">
        <v>5</v>
      </c>
      <c r="E118" t="s">
        <v>159</v>
      </c>
      <c r="F118">
        <v>2016</v>
      </c>
      <c r="G118" t="s">
        <v>251</v>
      </c>
      <c r="H118" s="42">
        <v>401</v>
      </c>
      <c r="J118" t="s">
        <v>248</v>
      </c>
      <c r="L118" s="34">
        <v>2</v>
      </c>
      <c r="M118" s="38">
        <v>0.75</v>
      </c>
      <c r="N118" s="38">
        <f t="shared" si="1"/>
        <v>1.5</v>
      </c>
    </row>
    <row r="119" spans="1:14">
      <c r="A119" s="29">
        <v>42677</v>
      </c>
      <c r="B119" s="22" t="s">
        <v>79</v>
      </c>
      <c r="C119" s="22" t="s">
        <v>57</v>
      </c>
      <c r="D119" s="48" t="s">
        <v>5</v>
      </c>
      <c r="E119" t="s">
        <v>159</v>
      </c>
      <c r="F119">
        <v>2016</v>
      </c>
      <c r="G119" t="s">
        <v>252</v>
      </c>
      <c r="H119" s="42">
        <v>423</v>
      </c>
      <c r="J119" t="s">
        <v>248</v>
      </c>
      <c r="L119" s="34">
        <v>2</v>
      </c>
      <c r="M119" s="38">
        <v>0.75</v>
      </c>
      <c r="N119" s="38">
        <f t="shared" si="1"/>
        <v>1.5</v>
      </c>
    </row>
    <row r="120" spans="1:14">
      <c r="A120" s="29">
        <v>42677</v>
      </c>
      <c r="B120" s="22" t="s">
        <v>79</v>
      </c>
      <c r="C120" s="22" t="s">
        <v>57</v>
      </c>
      <c r="D120" s="48" t="s">
        <v>5</v>
      </c>
      <c r="E120" t="s">
        <v>159</v>
      </c>
      <c r="F120">
        <v>2016</v>
      </c>
      <c r="G120" t="s">
        <v>253</v>
      </c>
      <c r="H120" s="42" t="s">
        <v>57</v>
      </c>
      <c r="J120" t="s">
        <v>248</v>
      </c>
      <c r="L120" s="34">
        <v>2</v>
      </c>
      <c r="M120" s="38">
        <v>0.75</v>
      </c>
      <c r="N120" s="38">
        <f t="shared" si="1"/>
        <v>1.5</v>
      </c>
    </row>
    <row r="121" spans="1:14">
      <c r="A121" s="29">
        <v>42677</v>
      </c>
      <c r="B121" s="22" t="s">
        <v>79</v>
      </c>
      <c r="C121" s="22" t="s">
        <v>57</v>
      </c>
      <c r="D121" s="48" t="s">
        <v>5</v>
      </c>
      <c r="E121" t="s">
        <v>157</v>
      </c>
      <c r="F121">
        <v>2016</v>
      </c>
      <c r="G121" t="s">
        <v>250</v>
      </c>
      <c r="H121" s="42" t="s">
        <v>57</v>
      </c>
      <c r="J121" t="s">
        <v>248</v>
      </c>
      <c r="L121" s="34">
        <v>2</v>
      </c>
      <c r="M121" s="38">
        <v>0.75</v>
      </c>
      <c r="N121" s="38">
        <f t="shared" si="1"/>
        <v>1.5</v>
      </c>
    </row>
    <row r="122" spans="1:14">
      <c r="A122" s="29">
        <v>42677</v>
      </c>
      <c r="B122" s="22" t="s">
        <v>79</v>
      </c>
      <c r="C122" s="22" t="s">
        <v>57</v>
      </c>
      <c r="D122" s="48" t="s">
        <v>5</v>
      </c>
      <c r="E122" t="s">
        <v>157</v>
      </c>
      <c r="F122">
        <v>2016</v>
      </c>
      <c r="G122" t="s">
        <v>254</v>
      </c>
      <c r="H122" s="42">
        <v>204</v>
      </c>
      <c r="J122" t="s">
        <v>248</v>
      </c>
      <c r="L122" s="34">
        <v>2</v>
      </c>
      <c r="M122" s="38">
        <v>0.75</v>
      </c>
      <c r="N122" s="38">
        <f t="shared" si="1"/>
        <v>1.5</v>
      </c>
    </row>
    <row r="123" spans="1:14">
      <c r="A123" s="29">
        <v>42677</v>
      </c>
      <c r="B123" s="22" t="s">
        <v>79</v>
      </c>
      <c r="C123" s="22" t="s">
        <v>57</v>
      </c>
      <c r="D123" s="48" t="s">
        <v>5</v>
      </c>
      <c r="E123" t="s">
        <v>157</v>
      </c>
      <c r="F123">
        <v>2016</v>
      </c>
      <c r="G123" t="s">
        <v>253</v>
      </c>
      <c r="H123" s="42" t="s">
        <v>57</v>
      </c>
      <c r="J123" t="s">
        <v>248</v>
      </c>
      <c r="L123" s="34">
        <v>2</v>
      </c>
      <c r="M123" s="38">
        <v>0.75</v>
      </c>
      <c r="N123" s="38">
        <f t="shared" si="1"/>
        <v>1.5</v>
      </c>
    </row>
    <row r="124" spans="1:14">
      <c r="A124" s="29">
        <v>42677</v>
      </c>
      <c r="B124" s="22" t="s">
        <v>79</v>
      </c>
      <c r="C124" s="22" t="s">
        <v>57</v>
      </c>
      <c r="D124" s="48" t="s">
        <v>11</v>
      </c>
      <c r="E124" t="s">
        <v>259</v>
      </c>
      <c r="F124">
        <v>2016</v>
      </c>
      <c r="G124" t="s">
        <v>57</v>
      </c>
      <c r="H124" s="42">
        <v>41</v>
      </c>
      <c r="J124" t="s">
        <v>248</v>
      </c>
      <c r="L124" s="34">
        <v>2</v>
      </c>
      <c r="M124" s="38">
        <v>0.75</v>
      </c>
      <c r="N124" s="38">
        <f t="shared" si="1"/>
        <v>1.5</v>
      </c>
    </row>
    <row r="125" spans="1:14">
      <c r="A125" s="29">
        <v>42677</v>
      </c>
      <c r="B125" s="22" t="s">
        <v>79</v>
      </c>
      <c r="C125" s="22" t="s">
        <v>57</v>
      </c>
      <c r="D125" s="48" t="s">
        <v>8</v>
      </c>
      <c r="E125" t="s">
        <v>179</v>
      </c>
      <c r="F125">
        <v>2016</v>
      </c>
      <c r="G125" t="s">
        <v>265</v>
      </c>
      <c r="H125" s="42" t="s">
        <v>283</v>
      </c>
      <c r="J125" t="s">
        <v>248</v>
      </c>
      <c r="L125" s="34">
        <v>2</v>
      </c>
      <c r="M125" s="38">
        <v>0.75</v>
      </c>
      <c r="N125" s="38">
        <f t="shared" si="1"/>
        <v>1.5</v>
      </c>
    </row>
    <row r="126" spans="1:14">
      <c r="A126" s="29">
        <v>42677</v>
      </c>
      <c r="B126" s="22" t="s">
        <v>57</v>
      </c>
      <c r="C126" s="22" t="s">
        <v>47</v>
      </c>
      <c r="D126" s="48" t="s">
        <v>5</v>
      </c>
      <c r="E126" t="s">
        <v>255</v>
      </c>
      <c r="F126">
        <v>2016</v>
      </c>
      <c r="G126" t="s">
        <v>57</v>
      </c>
      <c r="H126" s="42">
        <v>424</v>
      </c>
      <c r="J126" t="s">
        <v>248</v>
      </c>
      <c r="L126" s="34">
        <v>2</v>
      </c>
      <c r="M126" s="38">
        <v>0.75</v>
      </c>
      <c r="N126" s="38">
        <f t="shared" si="1"/>
        <v>1.5</v>
      </c>
    </row>
    <row r="127" spans="1:14">
      <c r="A127" s="29">
        <v>42678</v>
      </c>
      <c r="B127" s="22" t="s">
        <v>78</v>
      </c>
      <c r="C127" s="22" t="s">
        <v>41</v>
      </c>
      <c r="D127" s="48" t="s">
        <v>5</v>
      </c>
      <c r="E127" t="s">
        <v>158</v>
      </c>
      <c r="F127">
        <v>2016</v>
      </c>
      <c r="G127" t="s">
        <v>284</v>
      </c>
      <c r="H127" s="42" t="s">
        <v>57</v>
      </c>
      <c r="J127" t="s">
        <v>248</v>
      </c>
      <c r="K127" t="s">
        <v>285</v>
      </c>
      <c r="L127" s="34">
        <v>2</v>
      </c>
      <c r="M127" s="38">
        <v>0.75</v>
      </c>
      <c r="N127" s="38">
        <f t="shared" si="1"/>
        <v>1.5</v>
      </c>
    </row>
    <row r="128" spans="1:14">
      <c r="A128" s="29">
        <v>42678</v>
      </c>
      <c r="B128" s="22" t="s">
        <v>78</v>
      </c>
      <c r="C128" s="22" t="s">
        <v>41</v>
      </c>
      <c r="D128" s="48" t="s">
        <v>5</v>
      </c>
      <c r="E128" t="s">
        <v>158</v>
      </c>
      <c r="F128">
        <v>2016</v>
      </c>
      <c r="G128" t="s">
        <v>257</v>
      </c>
      <c r="H128" s="42" t="s">
        <v>57</v>
      </c>
      <c r="J128" t="s">
        <v>248</v>
      </c>
      <c r="K128" t="s">
        <v>286</v>
      </c>
      <c r="L128" s="34">
        <v>2</v>
      </c>
      <c r="M128" s="38">
        <v>0.75</v>
      </c>
      <c r="N128" s="38">
        <f t="shared" si="1"/>
        <v>1.5</v>
      </c>
    </row>
    <row r="129" spans="1:14">
      <c r="A129" s="29">
        <v>42681</v>
      </c>
      <c r="B129" s="22" t="s">
        <v>63</v>
      </c>
      <c r="C129" s="22" t="s">
        <v>57</v>
      </c>
      <c r="D129" s="48" t="s">
        <v>5</v>
      </c>
      <c r="E129" t="s">
        <v>159</v>
      </c>
      <c r="F129">
        <v>2016</v>
      </c>
      <c r="G129" t="s">
        <v>253</v>
      </c>
      <c r="H129" s="42">
        <v>205</v>
      </c>
      <c r="J129" t="s">
        <v>248</v>
      </c>
      <c r="L129" s="34">
        <v>3</v>
      </c>
      <c r="M129" s="38">
        <v>0.75</v>
      </c>
      <c r="N129" s="38">
        <f t="shared" si="1"/>
        <v>2.25</v>
      </c>
    </row>
    <row r="130" spans="1:14">
      <c r="A130" s="29">
        <v>42681</v>
      </c>
      <c r="B130" s="22" t="s">
        <v>63</v>
      </c>
      <c r="C130" s="22" t="s">
        <v>57</v>
      </c>
      <c r="D130" s="48" t="s">
        <v>5</v>
      </c>
      <c r="E130" t="s">
        <v>159</v>
      </c>
      <c r="F130">
        <v>2016</v>
      </c>
      <c r="G130" t="s">
        <v>251</v>
      </c>
      <c r="H130" s="42">
        <v>198</v>
      </c>
      <c r="J130" t="s">
        <v>248</v>
      </c>
      <c r="L130" s="34">
        <v>3</v>
      </c>
      <c r="M130" s="38">
        <v>0.75</v>
      </c>
      <c r="N130" s="38">
        <f t="shared" si="1"/>
        <v>2.25</v>
      </c>
    </row>
    <row r="131" spans="1:14">
      <c r="A131" s="29">
        <v>42681</v>
      </c>
      <c r="B131" s="22" t="s">
        <v>63</v>
      </c>
      <c r="C131" s="22" t="s">
        <v>57</v>
      </c>
      <c r="D131" s="48" t="s">
        <v>5</v>
      </c>
      <c r="E131" t="s">
        <v>157</v>
      </c>
      <c r="F131">
        <v>2016</v>
      </c>
      <c r="G131" t="s">
        <v>254</v>
      </c>
      <c r="H131" s="42">
        <v>204</v>
      </c>
      <c r="J131" t="s">
        <v>248</v>
      </c>
      <c r="L131" s="34">
        <v>3</v>
      </c>
      <c r="M131" s="38">
        <v>0.75</v>
      </c>
      <c r="N131" s="38">
        <f t="shared" ref="N131:N194" si="2">M131*L131</f>
        <v>2.25</v>
      </c>
    </row>
    <row r="132" spans="1:14">
      <c r="A132" s="29">
        <v>42681</v>
      </c>
      <c r="B132" s="22" t="s">
        <v>63</v>
      </c>
      <c r="C132" s="22" t="s">
        <v>57</v>
      </c>
      <c r="D132" s="48" t="s">
        <v>5</v>
      </c>
      <c r="E132" t="s">
        <v>255</v>
      </c>
      <c r="F132">
        <v>2016</v>
      </c>
      <c r="G132" t="s">
        <v>57</v>
      </c>
      <c r="H132" s="42">
        <v>424</v>
      </c>
      <c r="J132" t="s">
        <v>248</v>
      </c>
      <c r="L132" s="34">
        <v>3</v>
      </c>
      <c r="M132" s="38">
        <v>0.75</v>
      </c>
      <c r="N132" s="38">
        <f t="shared" si="2"/>
        <v>2.25</v>
      </c>
    </row>
    <row r="133" spans="1:14">
      <c r="A133" s="29">
        <v>42681</v>
      </c>
      <c r="B133" s="22" t="s">
        <v>63</v>
      </c>
      <c r="C133" s="22" t="s">
        <v>57</v>
      </c>
      <c r="D133" s="48" t="s">
        <v>5</v>
      </c>
      <c r="E133" t="s">
        <v>159</v>
      </c>
      <c r="F133">
        <v>2016</v>
      </c>
      <c r="G133" t="s">
        <v>252</v>
      </c>
      <c r="H133" s="42">
        <v>423</v>
      </c>
      <c r="J133" t="s">
        <v>248</v>
      </c>
      <c r="L133" s="34">
        <v>3</v>
      </c>
      <c r="M133" s="38">
        <v>0.75</v>
      </c>
      <c r="N133" s="38">
        <f t="shared" si="2"/>
        <v>2.25</v>
      </c>
    </row>
    <row r="134" spans="1:14">
      <c r="A134" s="29">
        <v>42681</v>
      </c>
      <c r="B134" s="22" t="s">
        <v>112</v>
      </c>
      <c r="C134" s="22" t="s">
        <v>57</v>
      </c>
      <c r="D134" s="48" t="s">
        <v>5</v>
      </c>
      <c r="E134" t="s">
        <v>255</v>
      </c>
      <c r="F134">
        <v>2016</v>
      </c>
      <c r="G134" t="s">
        <v>253</v>
      </c>
      <c r="H134" s="42" t="s">
        <v>57</v>
      </c>
      <c r="J134" t="s">
        <v>248</v>
      </c>
      <c r="L134" s="34">
        <v>2</v>
      </c>
      <c r="M134" s="38">
        <v>0.75</v>
      </c>
      <c r="N134" s="38">
        <f t="shared" si="2"/>
        <v>1.5</v>
      </c>
    </row>
    <row r="135" spans="1:14">
      <c r="A135" s="29">
        <v>42681</v>
      </c>
      <c r="B135" s="22" t="s">
        <v>57</v>
      </c>
      <c r="C135" s="22" t="s">
        <v>21</v>
      </c>
      <c r="D135" s="48" t="s">
        <v>5</v>
      </c>
      <c r="E135" t="s">
        <v>157</v>
      </c>
      <c r="F135">
        <v>2016</v>
      </c>
      <c r="G135" t="s">
        <v>250</v>
      </c>
      <c r="H135" s="42" t="s">
        <v>57</v>
      </c>
      <c r="J135" t="s">
        <v>248</v>
      </c>
      <c r="L135" s="34">
        <v>3</v>
      </c>
      <c r="M135" s="38">
        <v>0.75</v>
      </c>
      <c r="N135" s="38">
        <f t="shared" si="2"/>
        <v>2.25</v>
      </c>
    </row>
    <row r="136" spans="1:14">
      <c r="A136" s="29">
        <v>42681</v>
      </c>
      <c r="B136" s="22" t="s">
        <v>57</v>
      </c>
      <c r="C136" s="22" t="s">
        <v>21</v>
      </c>
      <c r="D136" s="48" t="s">
        <v>5</v>
      </c>
      <c r="E136" t="s">
        <v>159</v>
      </c>
      <c r="F136">
        <v>2016</v>
      </c>
      <c r="G136" t="s">
        <v>251</v>
      </c>
      <c r="H136" s="42">
        <v>198</v>
      </c>
      <c r="J136" t="s">
        <v>248</v>
      </c>
      <c r="L136" s="34">
        <v>4</v>
      </c>
      <c r="M136" s="38">
        <v>0.75</v>
      </c>
      <c r="N136" s="38">
        <f t="shared" si="2"/>
        <v>3</v>
      </c>
    </row>
    <row r="137" spans="1:14">
      <c r="A137" s="29">
        <v>42681</v>
      </c>
      <c r="B137" s="22" t="s">
        <v>109</v>
      </c>
      <c r="C137" s="22" t="s">
        <v>57</v>
      </c>
      <c r="D137" s="48" t="s">
        <v>5</v>
      </c>
      <c r="E137" t="s">
        <v>157</v>
      </c>
      <c r="F137">
        <v>2016</v>
      </c>
      <c r="G137" t="s">
        <v>250</v>
      </c>
      <c r="H137" s="42" t="s">
        <v>57</v>
      </c>
      <c r="J137" t="s">
        <v>248</v>
      </c>
      <c r="L137" s="34">
        <v>4</v>
      </c>
      <c r="M137" s="38">
        <v>0.75</v>
      </c>
      <c r="N137" s="38">
        <f t="shared" si="2"/>
        <v>3</v>
      </c>
    </row>
    <row r="138" spans="1:14">
      <c r="A138" s="29">
        <v>42681</v>
      </c>
      <c r="B138" s="22" t="s">
        <v>109</v>
      </c>
      <c r="C138" s="22" t="s">
        <v>57</v>
      </c>
      <c r="D138" s="48" t="s">
        <v>5</v>
      </c>
      <c r="E138" t="s">
        <v>157</v>
      </c>
      <c r="F138">
        <v>2016</v>
      </c>
      <c r="G138" t="s">
        <v>253</v>
      </c>
      <c r="H138" s="42" t="s">
        <v>57</v>
      </c>
      <c r="J138" t="s">
        <v>248</v>
      </c>
      <c r="L138" s="34">
        <v>3</v>
      </c>
      <c r="M138" s="38">
        <v>0.75</v>
      </c>
      <c r="N138" s="38">
        <f t="shared" si="2"/>
        <v>2.25</v>
      </c>
    </row>
    <row r="139" spans="1:14">
      <c r="A139" s="29">
        <v>42681</v>
      </c>
      <c r="B139" s="22" t="s">
        <v>66</v>
      </c>
      <c r="C139" s="22" t="s">
        <v>57</v>
      </c>
      <c r="D139" s="48" t="s">
        <v>5</v>
      </c>
      <c r="E139" t="s">
        <v>157</v>
      </c>
      <c r="F139">
        <v>2016</v>
      </c>
      <c r="G139" t="s">
        <v>250</v>
      </c>
      <c r="H139" s="42" t="s">
        <v>57</v>
      </c>
      <c r="J139" t="s">
        <v>248</v>
      </c>
      <c r="L139" s="34">
        <v>3</v>
      </c>
      <c r="M139" s="38">
        <v>0.75</v>
      </c>
      <c r="N139" s="38">
        <f t="shared" si="2"/>
        <v>2.25</v>
      </c>
    </row>
    <row r="140" spans="1:14">
      <c r="A140" s="29">
        <v>42681</v>
      </c>
      <c r="B140" s="22" t="s">
        <v>66</v>
      </c>
      <c r="C140" s="22" t="s">
        <v>57</v>
      </c>
      <c r="D140" s="48" t="s">
        <v>5</v>
      </c>
      <c r="E140" t="s">
        <v>157</v>
      </c>
      <c r="F140">
        <v>2016</v>
      </c>
      <c r="G140" t="s">
        <v>254</v>
      </c>
      <c r="H140" s="42" t="s">
        <v>57</v>
      </c>
      <c r="J140" t="s">
        <v>248</v>
      </c>
      <c r="L140" s="34">
        <v>3</v>
      </c>
      <c r="M140" s="38">
        <v>0.75</v>
      </c>
      <c r="N140" s="38">
        <f t="shared" si="2"/>
        <v>2.25</v>
      </c>
    </row>
    <row r="141" spans="1:14">
      <c r="A141" s="29">
        <v>42681</v>
      </c>
      <c r="B141" s="22" t="s">
        <v>66</v>
      </c>
      <c r="C141" s="22" t="s">
        <v>57</v>
      </c>
      <c r="D141" s="48" t="s">
        <v>5</v>
      </c>
      <c r="E141" t="s">
        <v>157</v>
      </c>
      <c r="F141">
        <v>2016</v>
      </c>
      <c r="G141" t="s">
        <v>253</v>
      </c>
      <c r="H141" s="42" t="s">
        <v>57</v>
      </c>
      <c r="J141" t="s">
        <v>248</v>
      </c>
      <c r="L141" s="34">
        <v>2</v>
      </c>
      <c r="M141" s="38">
        <v>0.75</v>
      </c>
      <c r="N141" s="38">
        <f t="shared" si="2"/>
        <v>1.5</v>
      </c>
    </row>
    <row r="142" spans="1:14">
      <c r="A142" s="29">
        <v>42681</v>
      </c>
      <c r="B142" s="22" t="s">
        <v>66</v>
      </c>
      <c r="C142" s="22" t="s">
        <v>57</v>
      </c>
      <c r="D142" s="48" t="s">
        <v>5</v>
      </c>
      <c r="E142" t="s">
        <v>157</v>
      </c>
      <c r="F142">
        <v>2016</v>
      </c>
      <c r="G142" t="s">
        <v>250</v>
      </c>
      <c r="H142" s="42" t="s">
        <v>57</v>
      </c>
      <c r="J142" t="s">
        <v>248</v>
      </c>
      <c r="L142" s="34">
        <v>2</v>
      </c>
      <c r="M142" s="38">
        <v>0.75</v>
      </c>
      <c r="N142" s="38">
        <f t="shared" si="2"/>
        <v>1.5</v>
      </c>
    </row>
    <row r="143" spans="1:14">
      <c r="A143" s="29">
        <v>42681</v>
      </c>
      <c r="B143" s="22" t="s">
        <v>66</v>
      </c>
      <c r="C143" s="22" t="s">
        <v>57</v>
      </c>
      <c r="D143" s="48" t="s">
        <v>5</v>
      </c>
      <c r="E143" t="s">
        <v>157</v>
      </c>
      <c r="F143">
        <v>2016</v>
      </c>
      <c r="G143" t="s">
        <v>254</v>
      </c>
      <c r="H143" s="42">
        <v>201</v>
      </c>
      <c r="J143" t="s">
        <v>248</v>
      </c>
      <c r="L143" s="34">
        <v>2</v>
      </c>
      <c r="M143" s="38">
        <v>0.75</v>
      </c>
      <c r="N143" s="38">
        <f t="shared" si="2"/>
        <v>1.5</v>
      </c>
    </row>
    <row r="144" spans="1:14">
      <c r="A144" s="29">
        <v>42681</v>
      </c>
      <c r="B144" s="22" t="s">
        <v>66</v>
      </c>
      <c r="C144" s="22" t="s">
        <v>57</v>
      </c>
      <c r="D144" s="48" t="s">
        <v>5</v>
      </c>
      <c r="E144" t="s">
        <v>159</v>
      </c>
      <c r="F144">
        <v>2016</v>
      </c>
      <c r="G144" t="s">
        <v>251</v>
      </c>
      <c r="H144" s="42">
        <v>198</v>
      </c>
      <c r="J144" t="s">
        <v>248</v>
      </c>
      <c r="L144" s="34">
        <v>2</v>
      </c>
      <c r="M144" s="38">
        <v>0.75</v>
      </c>
      <c r="N144" s="38">
        <f t="shared" si="2"/>
        <v>1.5</v>
      </c>
    </row>
    <row r="145" spans="1:14">
      <c r="A145" s="29">
        <v>42681</v>
      </c>
      <c r="B145" s="22" t="s">
        <v>66</v>
      </c>
      <c r="C145" s="22" t="s">
        <v>57</v>
      </c>
      <c r="D145" s="48" t="s">
        <v>5</v>
      </c>
      <c r="E145" t="s">
        <v>159</v>
      </c>
      <c r="F145">
        <v>2016</v>
      </c>
      <c r="G145" t="s">
        <v>252</v>
      </c>
      <c r="H145" s="42">
        <v>423</v>
      </c>
      <c r="J145" t="s">
        <v>248</v>
      </c>
      <c r="L145" s="34">
        <v>2</v>
      </c>
      <c r="M145" s="38">
        <v>0.75</v>
      </c>
      <c r="N145" s="38">
        <f t="shared" si="2"/>
        <v>1.5</v>
      </c>
    </row>
    <row r="146" spans="1:14">
      <c r="A146" s="29">
        <v>42681</v>
      </c>
      <c r="B146" s="22" t="s">
        <v>66</v>
      </c>
      <c r="C146" s="22" t="s">
        <v>57</v>
      </c>
      <c r="D146" s="48" t="s">
        <v>5</v>
      </c>
      <c r="E146" t="s">
        <v>255</v>
      </c>
      <c r="F146">
        <v>2016</v>
      </c>
      <c r="G146" t="s">
        <v>57</v>
      </c>
      <c r="H146" s="42">
        <v>424</v>
      </c>
      <c r="J146" t="s">
        <v>248</v>
      </c>
      <c r="L146" s="34">
        <v>3</v>
      </c>
      <c r="M146" s="38">
        <v>0.75</v>
      </c>
      <c r="N146" s="38">
        <f t="shared" si="2"/>
        <v>2.25</v>
      </c>
    </row>
    <row r="147" spans="1:14">
      <c r="A147" s="29">
        <v>42681</v>
      </c>
      <c r="B147" s="22" t="s">
        <v>66</v>
      </c>
      <c r="C147" s="22" t="s">
        <v>57</v>
      </c>
      <c r="D147" s="48" t="s">
        <v>5</v>
      </c>
      <c r="E147" t="s">
        <v>267</v>
      </c>
      <c r="F147">
        <v>2016</v>
      </c>
      <c r="G147" t="s">
        <v>57</v>
      </c>
      <c r="H147" s="42">
        <v>87</v>
      </c>
      <c r="J147" t="s">
        <v>248</v>
      </c>
      <c r="L147" s="34">
        <v>2</v>
      </c>
      <c r="M147" s="38">
        <v>0.75</v>
      </c>
      <c r="N147" s="38">
        <f t="shared" si="2"/>
        <v>1.5</v>
      </c>
    </row>
    <row r="148" spans="1:14">
      <c r="A148" s="29">
        <v>42681</v>
      </c>
      <c r="B148" s="22" t="s">
        <v>66</v>
      </c>
      <c r="C148" s="22" t="s">
        <v>57</v>
      </c>
      <c r="D148" s="48" t="s">
        <v>5</v>
      </c>
      <c r="E148" t="s">
        <v>287</v>
      </c>
      <c r="F148">
        <v>2016</v>
      </c>
      <c r="G148" t="s">
        <v>57</v>
      </c>
      <c r="H148" s="42">
        <v>12</v>
      </c>
      <c r="J148" t="s">
        <v>248</v>
      </c>
      <c r="L148" s="34">
        <v>2</v>
      </c>
      <c r="M148" s="38">
        <v>0.75</v>
      </c>
      <c r="N148" s="38">
        <f t="shared" si="2"/>
        <v>1.5</v>
      </c>
    </row>
    <row r="149" spans="1:14">
      <c r="A149" s="29">
        <v>42681</v>
      </c>
      <c r="B149" s="22" t="s">
        <v>66</v>
      </c>
      <c r="C149" s="22" t="s">
        <v>57</v>
      </c>
      <c r="D149" s="48" t="s">
        <v>8</v>
      </c>
      <c r="E149" t="s">
        <v>272</v>
      </c>
      <c r="F149">
        <v>2016</v>
      </c>
      <c r="G149" t="s">
        <v>273</v>
      </c>
      <c r="H149" s="42" t="s">
        <v>57</v>
      </c>
      <c r="J149" t="s">
        <v>248</v>
      </c>
      <c r="L149" s="34">
        <v>2</v>
      </c>
      <c r="M149" s="38">
        <v>0.75</v>
      </c>
      <c r="N149" s="38">
        <f t="shared" si="2"/>
        <v>1.5</v>
      </c>
    </row>
    <row r="150" spans="1:14">
      <c r="A150" s="29">
        <v>42681</v>
      </c>
      <c r="B150" s="22" t="s">
        <v>66</v>
      </c>
      <c r="C150" s="22" t="s">
        <v>57</v>
      </c>
      <c r="D150" s="48" t="s">
        <v>8</v>
      </c>
      <c r="E150" t="s">
        <v>272</v>
      </c>
      <c r="F150">
        <v>2016</v>
      </c>
      <c r="G150" t="s">
        <v>275</v>
      </c>
      <c r="H150" s="42" t="s">
        <v>57</v>
      </c>
      <c r="J150" t="s">
        <v>248</v>
      </c>
      <c r="L150" s="34">
        <v>2</v>
      </c>
      <c r="M150" s="38">
        <v>0.75</v>
      </c>
      <c r="N150" s="38">
        <f t="shared" si="2"/>
        <v>1.5</v>
      </c>
    </row>
    <row r="151" spans="1:14">
      <c r="A151" s="29">
        <v>42682</v>
      </c>
      <c r="B151" s="22" t="s">
        <v>57</v>
      </c>
      <c r="C151" s="22" t="s">
        <v>38</v>
      </c>
      <c r="D151" s="48" t="s">
        <v>5</v>
      </c>
      <c r="E151" t="s">
        <v>157</v>
      </c>
      <c r="F151">
        <v>2016</v>
      </c>
      <c r="G151" t="s">
        <v>254</v>
      </c>
      <c r="H151" s="42">
        <v>201</v>
      </c>
      <c r="J151" t="s">
        <v>248</v>
      </c>
      <c r="L151" s="34">
        <v>5</v>
      </c>
      <c r="M151" s="38">
        <v>0.75</v>
      </c>
      <c r="N151" s="38">
        <f t="shared" si="2"/>
        <v>3.75</v>
      </c>
    </row>
    <row r="152" spans="1:14">
      <c r="A152" s="29">
        <v>42682</v>
      </c>
      <c r="B152" s="22" t="s">
        <v>28</v>
      </c>
      <c r="C152" s="22" t="s">
        <v>271</v>
      </c>
      <c r="D152" s="48" t="s">
        <v>5</v>
      </c>
      <c r="E152" t="s">
        <v>159</v>
      </c>
      <c r="F152">
        <v>2016</v>
      </c>
      <c r="G152" t="s">
        <v>252</v>
      </c>
      <c r="H152" s="42">
        <v>423</v>
      </c>
      <c r="J152" t="s">
        <v>248</v>
      </c>
      <c r="L152" s="34">
        <v>5</v>
      </c>
      <c r="M152" s="38">
        <v>0.75</v>
      </c>
      <c r="N152" s="38">
        <f t="shared" si="2"/>
        <v>3.75</v>
      </c>
    </row>
    <row r="153" spans="1:14">
      <c r="A153" s="29">
        <v>42682</v>
      </c>
      <c r="B153" s="22" t="s">
        <v>28</v>
      </c>
      <c r="C153" s="22" t="s">
        <v>271</v>
      </c>
      <c r="D153" s="48" t="s">
        <v>5</v>
      </c>
      <c r="E153" t="s">
        <v>159</v>
      </c>
      <c r="F153">
        <v>2016</v>
      </c>
      <c r="G153" t="s">
        <v>251</v>
      </c>
      <c r="H153" s="42">
        <v>401</v>
      </c>
      <c r="J153" t="s">
        <v>248</v>
      </c>
      <c r="L153" s="34">
        <v>5</v>
      </c>
      <c r="M153" s="38">
        <v>0.75</v>
      </c>
      <c r="N153" s="38">
        <f t="shared" si="2"/>
        <v>3.75</v>
      </c>
    </row>
    <row r="154" spans="1:14">
      <c r="A154" s="29">
        <v>42682</v>
      </c>
      <c r="B154" s="22" t="s">
        <v>50</v>
      </c>
      <c r="C154" s="22" t="s">
        <v>57</v>
      </c>
      <c r="D154" s="48" t="s">
        <v>8</v>
      </c>
      <c r="E154" t="s">
        <v>272</v>
      </c>
      <c r="F154">
        <v>2016</v>
      </c>
      <c r="G154" t="s">
        <v>273</v>
      </c>
      <c r="H154" s="42" t="s">
        <v>57</v>
      </c>
      <c r="J154" t="s">
        <v>248</v>
      </c>
      <c r="L154" s="34">
        <v>2</v>
      </c>
      <c r="M154" s="38">
        <v>0.75</v>
      </c>
      <c r="N154" s="38">
        <f t="shared" si="2"/>
        <v>1.5</v>
      </c>
    </row>
    <row r="155" spans="1:14">
      <c r="A155" s="29">
        <v>42682</v>
      </c>
      <c r="B155" s="22" t="s">
        <v>50</v>
      </c>
      <c r="C155" s="22" t="s">
        <v>57</v>
      </c>
      <c r="D155" s="48" t="s">
        <v>8</v>
      </c>
      <c r="E155" t="s">
        <v>272</v>
      </c>
      <c r="F155">
        <v>2016</v>
      </c>
      <c r="G155" t="s">
        <v>275</v>
      </c>
      <c r="H155" s="42" t="s">
        <v>57</v>
      </c>
      <c r="J155" t="s">
        <v>248</v>
      </c>
      <c r="L155" s="34">
        <v>2</v>
      </c>
      <c r="M155" s="38">
        <v>0.75</v>
      </c>
      <c r="N155" s="38">
        <f t="shared" si="2"/>
        <v>1.5</v>
      </c>
    </row>
    <row r="156" spans="1:14">
      <c r="A156" s="29">
        <v>42682</v>
      </c>
      <c r="B156" s="22" t="s">
        <v>81</v>
      </c>
      <c r="C156" s="22" t="s">
        <v>57</v>
      </c>
      <c r="D156" s="48" t="s">
        <v>5</v>
      </c>
      <c r="E156" t="s">
        <v>159</v>
      </c>
      <c r="F156">
        <v>2016</v>
      </c>
      <c r="G156" t="s">
        <v>253</v>
      </c>
      <c r="H156" s="42">
        <v>205</v>
      </c>
      <c r="J156" t="s">
        <v>248</v>
      </c>
      <c r="L156" s="34">
        <v>1</v>
      </c>
      <c r="M156" s="38">
        <v>30</v>
      </c>
      <c r="N156" s="38">
        <f t="shared" si="2"/>
        <v>30</v>
      </c>
    </row>
    <row r="157" spans="1:14">
      <c r="A157" s="29">
        <v>42683</v>
      </c>
      <c r="B157" s="22" t="s">
        <v>57</v>
      </c>
      <c r="C157" s="22" t="s">
        <v>49</v>
      </c>
      <c r="D157" s="48" t="s">
        <v>11</v>
      </c>
      <c r="E157" t="s">
        <v>288</v>
      </c>
      <c r="F157">
        <v>2016</v>
      </c>
      <c r="G157" t="s">
        <v>265</v>
      </c>
      <c r="H157" s="42" t="s">
        <v>57</v>
      </c>
      <c r="J157" t="s">
        <v>248</v>
      </c>
      <c r="K157" t="s">
        <v>289</v>
      </c>
      <c r="L157" s="34">
        <v>3</v>
      </c>
      <c r="M157" s="38">
        <v>0.75</v>
      </c>
      <c r="N157" s="38">
        <f t="shared" si="2"/>
        <v>2.25</v>
      </c>
    </row>
    <row r="158" spans="1:14">
      <c r="A158" s="29">
        <v>42683</v>
      </c>
      <c r="B158" s="22" t="s">
        <v>63</v>
      </c>
      <c r="C158" s="22" t="s">
        <v>57</v>
      </c>
      <c r="D158" s="48" t="s">
        <v>11</v>
      </c>
      <c r="E158" t="s">
        <v>179</v>
      </c>
      <c r="F158">
        <v>2015</v>
      </c>
      <c r="G158" t="s">
        <v>290</v>
      </c>
      <c r="H158" s="42" t="s">
        <v>57</v>
      </c>
      <c r="J158" t="s">
        <v>248</v>
      </c>
      <c r="K158" t="s">
        <v>289</v>
      </c>
      <c r="L158" s="34">
        <v>2</v>
      </c>
      <c r="M158" s="38">
        <v>0.75</v>
      </c>
      <c r="N158" s="38">
        <f t="shared" si="2"/>
        <v>1.5</v>
      </c>
    </row>
    <row r="159" spans="1:14">
      <c r="A159" s="29">
        <v>42683</v>
      </c>
      <c r="B159" s="22" t="s">
        <v>63</v>
      </c>
      <c r="C159" s="22" t="s">
        <v>57</v>
      </c>
      <c r="D159" s="48" t="s">
        <v>11</v>
      </c>
      <c r="E159" t="s">
        <v>177</v>
      </c>
      <c r="F159">
        <v>2015</v>
      </c>
      <c r="G159" t="s">
        <v>290</v>
      </c>
      <c r="H159" s="42" t="s">
        <v>57</v>
      </c>
      <c r="J159" t="s">
        <v>248</v>
      </c>
      <c r="K159" t="s">
        <v>289</v>
      </c>
      <c r="L159" s="34">
        <v>2</v>
      </c>
      <c r="M159" s="38">
        <v>0.75</v>
      </c>
      <c r="N159" s="38">
        <f t="shared" si="2"/>
        <v>1.5</v>
      </c>
    </row>
    <row r="160" spans="1:14">
      <c r="A160" s="29">
        <v>42683</v>
      </c>
      <c r="B160" s="22" t="s">
        <v>57</v>
      </c>
      <c r="C160" s="22" t="s">
        <v>49</v>
      </c>
      <c r="D160" s="48" t="s">
        <v>8</v>
      </c>
      <c r="E160" t="s">
        <v>272</v>
      </c>
      <c r="F160">
        <v>2016</v>
      </c>
      <c r="G160" t="s">
        <v>275</v>
      </c>
      <c r="H160" s="42" t="s">
        <v>57</v>
      </c>
      <c r="J160" t="s">
        <v>248</v>
      </c>
      <c r="L160" s="34">
        <v>3</v>
      </c>
      <c r="M160" s="38">
        <v>0.75</v>
      </c>
      <c r="N160" s="38">
        <f t="shared" si="2"/>
        <v>2.25</v>
      </c>
    </row>
    <row r="161" spans="1:14">
      <c r="A161" s="29">
        <v>42683</v>
      </c>
      <c r="B161" s="22" t="s">
        <v>105</v>
      </c>
      <c r="C161" s="22" t="s">
        <v>57</v>
      </c>
      <c r="D161" s="48" t="s">
        <v>8</v>
      </c>
      <c r="E161" t="s">
        <v>177</v>
      </c>
      <c r="F161">
        <v>2016</v>
      </c>
      <c r="G161" t="s">
        <v>57</v>
      </c>
      <c r="H161" s="42">
        <v>302</v>
      </c>
      <c r="J161" t="s">
        <v>248</v>
      </c>
      <c r="L161" s="34">
        <v>2</v>
      </c>
      <c r="M161" s="38">
        <v>0.75</v>
      </c>
      <c r="N161" s="38">
        <f t="shared" si="2"/>
        <v>1.5</v>
      </c>
    </row>
    <row r="162" spans="1:14">
      <c r="A162" s="29">
        <v>42683</v>
      </c>
      <c r="B162" s="22" t="s">
        <v>57</v>
      </c>
      <c r="C162" s="22" t="s">
        <v>249</v>
      </c>
      <c r="D162" s="48" t="s">
        <v>5</v>
      </c>
      <c r="E162" t="s">
        <v>159</v>
      </c>
      <c r="F162">
        <v>2016</v>
      </c>
      <c r="G162" t="s">
        <v>251</v>
      </c>
      <c r="H162" s="42">
        <v>401</v>
      </c>
      <c r="J162" t="s">
        <v>248</v>
      </c>
      <c r="L162" s="34">
        <v>2</v>
      </c>
      <c r="M162" s="38">
        <v>0.75</v>
      </c>
      <c r="N162" s="38">
        <f t="shared" si="2"/>
        <v>1.5</v>
      </c>
    </row>
    <row r="163" spans="1:14">
      <c r="A163" s="29">
        <v>42683</v>
      </c>
      <c r="B163" s="22" t="s">
        <v>57</v>
      </c>
      <c r="C163" s="22" t="s">
        <v>249</v>
      </c>
      <c r="D163" s="48" t="s">
        <v>8</v>
      </c>
      <c r="E163" t="s">
        <v>272</v>
      </c>
      <c r="F163">
        <v>2016</v>
      </c>
      <c r="G163" t="s">
        <v>273</v>
      </c>
      <c r="H163" s="42" t="s">
        <v>57</v>
      </c>
      <c r="J163" t="s">
        <v>248</v>
      </c>
      <c r="L163" s="34">
        <v>2</v>
      </c>
      <c r="M163" s="38">
        <v>0.75</v>
      </c>
      <c r="N163" s="38">
        <f t="shared" si="2"/>
        <v>1.5</v>
      </c>
    </row>
    <row r="164" spans="1:14">
      <c r="A164" s="29">
        <v>42683</v>
      </c>
      <c r="B164" s="22" t="s">
        <v>57</v>
      </c>
      <c r="C164" s="22" t="s">
        <v>249</v>
      </c>
      <c r="D164" s="48" t="s">
        <v>8</v>
      </c>
      <c r="E164" t="s">
        <v>272</v>
      </c>
      <c r="F164">
        <v>2016</v>
      </c>
      <c r="G164" t="s">
        <v>275</v>
      </c>
      <c r="H164" s="42" t="s">
        <v>57</v>
      </c>
      <c r="J164" t="s">
        <v>248</v>
      </c>
      <c r="L164" s="34">
        <v>2</v>
      </c>
      <c r="M164" s="38">
        <v>0.75</v>
      </c>
      <c r="N164" s="38">
        <f t="shared" si="2"/>
        <v>1.5</v>
      </c>
    </row>
    <row r="165" spans="1:14">
      <c r="A165" s="29">
        <v>42684</v>
      </c>
      <c r="B165" s="22" t="s">
        <v>28</v>
      </c>
      <c r="C165" s="22" t="s">
        <v>271</v>
      </c>
      <c r="D165" s="48" t="s">
        <v>5</v>
      </c>
      <c r="E165" t="s">
        <v>158</v>
      </c>
      <c r="F165">
        <v>2016</v>
      </c>
      <c r="G165" t="s">
        <v>279</v>
      </c>
      <c r="H165" s="42" t="s">
        <v>57</v>
      </c>
      <c r="J165" t="s">
        <v>248</v>
      </c>
      <c r="K165" t="s">
        <v>280</v>
      </c>
      <c r="L165" s="34">
        <v>5</v>
      </c>
      <c r="M165" s="38">
        <v>0.75</v>
      </c>
      <c r="N165" s="38">
        <f t="shared" si="2"/>
        <v>3.75</v>
      </c>
    </row>
    <row r="166" spans="1:14">
      <c r="A166" s="29">
        <v>42684</v>
      </c>
      <c r="B166" s="22" t="s">
        <v>57</v>
      </c>
      <c r="C166" s="22" t="s">
        <v>22</v>
      </c>
      <c r="D166" s="48" t="s">
        <v>5</v>
      </c>
      <c r="E166" t="s">
        <v>255</v>
      </c>
      <c r="F166">
        <v>2016</v>
      </c>
      <c r="G166" t="s">
        <v>253</v>
      </c>
      <c r="H166" s="42" t="s">
        <v>57</v>
      </c>
      <c r="J166" t="s">
        <v>248</v>
      </c>
      <c r="L166" s="34">
        <v>2</v>
      </c>
      <c r="M166" s="38">
        <v>0.75</v>
      </c>
      <c r="N166" s="38">
        <f t="shared" si="2"/>
        <v>1.5</v>
      </c>
    </row>
    <row r="167" spans="1:14">
      <c r="A167" s="29">
        <v>42684</v>
      </c>
      <c r="B167" s="22" t="s">
        <v>57</v>
      </c>
      <c r="C167" s="22" t="s">
        <v>22</v>
      </c>
      <c r="D167" s="48" t="s">
        <v>11</v>
      </c>
      <c r="E167" t="s">
        <v>179</v>
      </c>
      <c r="F167">
        <v>2015</v>
      </c>
      <c r="G167" t="s">
        <v>57</v>
      </c>
      <c r="H167" s="42">
        <v>332</v>
      </c>
      <c r="J167" t="s">
        <v>248</v>
      </c>
      <c r="L167" s="34">
        <v>2</v>
      </c>
      <c r="M167" s="38">
        <v>0.75</v>
      </c>
      <c r="N167" s="38">
        <f t="shared" si="2"/>
        <v>1.5</v>
      </c>
    </row>
    <row r="168" spans="1:14">
      <c r="A168" s="29">
        <v>42688</v>
      </c>
      <c r="B168" s="22" t="s">
        <v>63</v>
      </c>
      <c r="C168" s="22" t="s">
        <v>57</v>
      </c>
      <c r="D168" s="48" t="s">
        <v>5</v>
      </c>
      <c r="E168" t="s">
        <v>157</v>
      </c>
      <c r="F168">
        <v>2016</v>
      </c>
      <c r="G168" t="s">
        <v>250</v>
      </c>
      <c r="H168" s="42">
        <v>14</v>
      </c>
      <c r="J168" t="s">
        <v>248</v>
      </c>
      <c r="L168" s="34">
        <v>3</v>
      </c>
      <c r="M168" s="38">
        <v>0.75</v>
      </c>
      <c r="N168" s="38">
        <f t="shared" si="2"/>
        <v>2.25</v>
      </c>
    </row>
    <row r="169" spans="1:14">
      <c r="A169" s="29">
        <v>42688</v>
      </c>
      <c r="B169" s="22" t="s">
        <v>63</v>
      </c>
      <c r="C169" s="22" t="s">
        <v>57</v>
      </c>
      <c r="D169" s="48" t="s">
        <v>5</v>
      </c>
      <c r="E169" t="s">
        <v>157</v>
      </c>
      <c r="F169">
        <v>2016</v>
      </c>
      <c r="G169" t="s">
        <v>254</v>
      </c>
      <c r="H169" s="42">
        <v>201</v>
      </c>
      <c r="J169" t="s">
        <v>248</v>
      </c>
      <c r="L169" s="34">
        <v>3</v>
      </c>
      <c r="M169" s="38">
        <v>0.75</v>
      </c>
      <c r="N169" s="38">
        <f t="shared" si="2"/>
        <v>2.25</v>
      </c>
    </row>
    <row r="170" spans="1:14">
      <c r="A170" s="29">
        <v>42688</v>
      </c>
      <c r="B170" s="22" t="s">
        <v>63</v>
      </c>
      <c r="C170" s="22" t="s">
        <v>57</v>
      </c>
      <c r="D170" s="48" t="s">
        <v>5</v>
      </c>
      <c r="E170" t="s">
        <v>157</v>
      </c>
      <c r="F170">
        <v>2016</v>
      </c>
      <c r="G170" t="s">
        <v>253</v>
      </c>
      <c r="H170" s="42" t="s">
        <v>57</v>
      </c>
      <c r="J170" t="s">
        <v>248</v>
      </c>
      <c r="L170" s="34">
        <v>3</v>
      </c>
      <c r="M170" s="38">
        <v>0.75</v>
      </c>
      <c r="N170" s="38">
        <f t="shared" si="2"/>
        <v>2.25</v>
      </c>
    </row>
    <row r="171" spans="1:14">
      <c r="A171" s="29">
        <v>42688</v>
      </c>
      <c r="B171" s="22" t="s">
        <v>63</v>
      </c>
      <c r="C171" s="22" t="s">
        <v>57</v>
      </c>
      <c r="D171" s="48" t="s">
        <v>5</v>
      </c>
      <c r="E171" t="s">
        <v>255</v>
      </c>
      <c r="F171">
        <v>2016</v>
      </c>
      <c r="G171" t="s">
        <v>284</v>
      </c>
      <c r="H171" s="42" t="s">
        <v>57</v>
      </c>
      <c r="J171" t="s">
        <v>248</v>
      </c>
      <c r="L171" s="34">
        <v>3</v>
      </c>
      <c r="M171" s="38">
        <v>0.75</v>
      </c>
      <c r="N171" s="38">
        <f t="shared" si="2"/>
        <v>2.25</v>
      </c>
    </row>
    <row r="172" spans="1:14">
      <c r="A172" s="29">
        <v>42688</v>
      </c>
      <c r="B172" s="22" t="s">
        <v>78</v>
      </c>
      <c r="C172" s="22" t="s">
        <v>41</v>
      </c>
      <c r="D172" s="48" t="s">
        <v>5</v>
      </c>
      <c r="E172" t="s">
        <v>158</v>
      </c>
      <c r="F172">
        <v>2016</v>
      </c>
      <c r="G172" t="s">
        <v>291</v>
      </c>
      <c r="H172" s="42" t="s">
        <v>57</v>
      </c>
      <c r="J172" t="s">
        <v>248</v>
      </c>
      <c r="K172" t="s">
        <v>292</v>
      </c>
      <c r="L172" s="34">
        <v>2</v>
      </c>
      <c r="M172" s="38">
        <v>0.75</v>
      </c>
      <c r="N172" s="38">
        <f t="shared" si="2"/>
        <v>1.5</v>
      </c>
    </row>
    <row r="173" spans="1:14">
      <c r="A173" s="29">
        <v>42688</v>
      </c>
      <c r="B173" s="22" t="s">
        <v>57</v>
      </c>
      <c r="C173" s="22" t="s">
        <v>38</v>
      </c>
      <c r="D173" s="48" t="s">
        <v>5</v>
      </c>
      <c r="E173" t="s">
        <v>158</v>
      </c>
      <c r="F173">
        <v>2016</v>
      </c>
      <c r="G173" t="s">
        <v>279</v>
      </c>
      <c r="H173" s="42" t="s">
        <v>57</v>
      </c>
      <c r="J173" t="s">
        <v>248</v>
      </c>
      <c r="L173" s="34">
        <v>3</v>
      </c>
      <c r="M173" s="38">
        <v>0.75</v>
      </c>
      <c r="N173" s="38">
        <f t="shared" si="2"/>
        <v>2.25</v>
      </c>
    </row>
    <row r="174" spans="1:14">
      <c r="A174" s="29">
        <v>42688</v>
      </c>
      <c r="B174" s="22" t="s">
        <v>81</v>
      </c>
      <c r="C174" s="22" t="s">
        <v>57</v>
      </c>
      <c r="D174" s="48" t="s">
        <v>5</v>
      </c>
      <c r="E174" t="s">
        <v>159</v>
      </c>
      <c r="F174">
        <v>2016</v>
      </c>
      <c r="G174" t="s">
        <v>253</v>
      </c>
      <c r="H174" s="42">
        <v>75</v>
      </c>
      <c r="J174" t="s">
        <v>248</v>
      </c>
      <c r="L174" s="34">
        <v>1</v>
      </c>
      <c r="M174" s="38">
        <v>50</v>
      </c>
      <c r="N174" s="38">
        <f t="shared" si="2"/>
        <v>50</v>
      </c>
    </row>
    <row r="175" spans="1:14">
      <c r="A175" s="29">
        <v>42688</v>
      </c>
      <c r="B175" s="22" t="s">
        <v>81</v>
      </c>
      <c r="C175" s="22" t="s">
        <v>57</v>
      </c>
      <c r="D175" s="48" t="s">
        <v>5</v>
      </c>
      <c r="E175" t="s">
        <v>159</v>
      </c>
      <c r="F175">
        <v>2016</v>
      </c>
      <c r="G175" t="s">
        <v>252</v>
      </c>
      <c r="H175" s="42">
        <v>423</v>
      </c>
      <c r="J175" t="s">
        <v>248</v>
      </c>
      <c r="L175" s="34">
        <v>1</v>
      </c>
      <c r="M175" s="38">
        <v>50</v>
      </c>
      <c r="N175" s="38">
        <f t="shared" si="2"/>
        <v>50</v>
      </c>
    </row>
    <row r="176" spans="1:14">
      <c r="A176" s="29">
        <v>42689</v>
      </c>
      <c r="B176" s="22" t="s">
        <v>63</v>
      </c>
      <c r="C176" s="22" t="s">
        <v>57</v>
      </c>
      <c r="D176" s="48" t="s">
        <v>5</v>
      </c>
      <c r="E176" t="s">
        <v>157</v>
      </c>
      <c r="F176">
        <v>2016</v>
      </c>
      <c r="G176" t="s">
        <v>250</v>
      </c>
      <c r="H176" s="42">
        <v>14</v>
      </c>
      <c r="J176" t="s">
        <v>248</v>
      </c>
      <c r="L176" s="34">
        <v>3</v>
      </c>
      <c r="M176" s="38">
        <v>0.75</v>
      </c>
      <c r="N176" s="38">
        <f t="shared" si="2"/>
        <v>2.25</v>
      </c>
    </row>
    <row r="177" spans="1:14">
      <c r="A177" s="29">
        <v>42689</v>
      </c>
      <c r="B177" s="22" t="s">
        <v>63</v>
      </c>
      <c r="C177" s="22" t="s">
        <v>57</v>
      </c>
      <c r="D177" s="48" t="s">
        <v>5</v>
      </c>
      <c r="E177" t="s">
        <v>157</v>
      </c>
      <c r="F177">
        <v>2016</v>
      </c>
      <c r="G177" t="s">
        <v>254</v>
      </c>
      <c r="H177" s="42">
        <v>201</v>
      </c>
      <c r="J177" t="s">
        <v>248</v>
      </c>
      <c r="L177" s="34">
        <v>3</v>
      </c>
      <c r="M177" s="38">
        <v>0.75</v>
      </c>
      <c r="N177" s="38">
        <f t="shared" si="2"/>
        <v>2.25</v>
      </c>
    </row>
    <row r="178" spans="1:14">
      <c r="A178" s="29">
        <v>42689</v>
      </c>
      <c r="B178" s="22" t="s">
        <v>63</v>
      </c>
      <c r="C178" s="22" t="s">
        <v>57</v>
      </c>
      <c r="D178" s="48" t="s">
        <v>5</v>
      </c>
      <c r="E178" t="s">
        <v>157</v>
      </c>
      <c r="F178">
        <v>2016</v>
      </c>
      <c r="G178" t="s">
        <v>253</v>
      </c>
      <c r="H178" s="42" t="s">
        <v>57</v>
      </c>
      <c r="J178" t="s">
        <v>248</v>
      </c>
      <c r="L178" s="34">
        <v>3</v>
      </c>
      <c r="M178" s="38">
        <v>0.75</v>
      </c>
      <c r="N178" s="38">
        <f t="shared" si="2"/>
        <v>2.25</v>
      </c>
    </row>
    <row r="179" spans="1:14">
      <c r="A179" s="29">
        <v>42689</v>
      </c>
      <c r="B179" s="22" t="s">
        <v>57</v>
      </c>
      <c r="C179" s="22" t="s">
        <v>49</v>
      </c>
      <c r="D179" s="48" t="s">
        <v>5</v>
      </c>
      <c r="E179" t="s">
        <v>158</v>
      </c>
      <c r="F179">
        <v>2016</v>
      </c>
      <c r="G179" t="s">
        <v>284</v>
      </c>
      <c r="H179" s="42" t="s">
        <v>57</v>
      </c>
      <c r="J179" t="s">
        <v>248</v>
      </c>
      <c r="L179" s="34">
        <v>3</v>
      </c>
      <c r="M179" s="38">
        <v>0.75</v>
      </c>
      <c r="N179" s="38">
        <f t="shared" si="2"/>
        <v>2.25</v>
      </c>
    </row>
    <row r="180" spans="1:14">
      <c r="A180" s="29">
        <v>42690</v>
      </c>
      <c r="B180" s="22" t="s">
        <v>293</v>
      </c>
      <c r="C180" s="22" t="s">
        <v>41</v>
      </c>
      <c r="D180" s="48" t="s">
        <v>5</v>
      </c>
      <c r="E180" t="s">
        <v>159</v>
      </c>
      <c r="F180">
        <v>2016</v>
      </c>
      <c r="G180" t="s">
        <v>251</v>
      </c>
      <c r="H180" s="42">
        <v>401</v>
      </c>
      <c r="J180" t="s">
        <v>248</v>
      </c>
      <c r="L180" s="34">
        <v>3</v>
      </c>
      <c r="M180" s="38">
        <v>0.75</v>
      </c>
      <c r="N180" s="38">
        <f t="shared" si="2"/>
        <v>2.25</v>
      </c>
    </row>
    <row r="181" spans="1:14">
      <c r="A181" s="29">
        <v>42690</v>
      </c>
      <c r="B181" s="22" t="s">
        <v>293</v>
      </c>
      <c r="C181" s="22" t="s">
        <v>41</v>
      </c>
      <c r="D181" s="48" t="s">
        <v>5</v>
      </c>
      <c r="E181" t="s">
        <v>159</v>
      </c>
      <c r="F181">
        <v>2016</v>
      </c>
      <c r="G181" t="s">
        <v>252</v>
      </c>
      <c r="H181" s="42">
        <v>423</v>
      </c>
      <c r="J181" t="s">
        <v>248</v>
      </c>
      <c r="L181" s="34">
        <v>3</v>
      </c>
      <c r="M181" s="38">
        <v>0.75</v>
      </c>
      <c r="N181" s="38">
        <f t="shared" si="2"/>
        <v>2.25</v>
      </c>
    </row>
    <row r="182" spans="1:14">
      <c r="A182" s="29">
        <v>42690</v>
      </c>
      <c r="B182" s="22" t="s">
        <v>293</v>
      </c>
      <c r="C182" s="22" t="s">
        <v>41</v>
      </c>
      <c r="D182" s="48" t="s">
        <v>5</v>
      </c>
      <c r="E182" t="s">
        <v>159</v>
      </c>
      <c r="F182">
        <v>2016</v>
      </c>
      <c r="G182" t="s">
        <v>253</v>
      </c>
      <c r="H182" s="42">
        <v>75</v>
      </c>
      <c r="J182" t="s">
        <v>248</v>
      </c>
      <c r="L182" s="34">
        <v>3</v>
      </c>
      <c r="M182" s="38">
        <v>0.75</v>
      </c>
      <c r="N182" s="38">
        <f t="shared" si="2"/>
        <v>2.25</v>
      </c>
    </row>
    <row r="183" spans="1:14">
      <c r="A183" s="29">
        <v>42690</v>
      </c>
      <c r="B183" s="22" t="s">
        <v>31</v>
      </c>
      <c r="C183" s="22" t="s">
        <v>57</v>
      </c>
      <c r="D183" s="48" t="s">
        <v>8</v>
      </c>
      <c r="E183" t="s">
        <v>294</v>
      </c>
      <c r="F183">
        <v>2016</v>
      </c>
      <c r="G183">
        <v>1</v>
      </c>
      <c r="H183" s="42" t="s">
        <v>57</v>
      </c>
      <c r="J183" t="s">
        <v>248</v>
      </c>
      <c r="K183" t="s">
        <v>295</v>
      </c>
      <c r="L183" s="34">
        <v>2</v>
      </c>
      <c r="M183" s="38">
        <v>0.75</v>
      </c>
      <c r="N183" s="38">
        <f t="shared" si="2"/>
        <v>1.5</v>
      </c>
    </row>
    <row r="184" spans="1:14">
      <c r="A184" s="29">
        <v>42690</v>
      </c>
      <c r="B184" s="22" t="s">
        <v>31</v>
      </c>
      <c r="C184" s="22" t="s">
        <v>57</v>
      </c>
      <c r="D184" s="48" t="s">
        <v>8</v>
      </c>
      <c r="E184" t="s">
        <v>294</v>
      </c>
      <c r="F184">
        <v>2016</v>
      </c>
      <c r="G184">
        <v>2</v>
      </c>
      <c r="H184" s="42" t="s">
        <v>57</v>
      </c>
      <c r="J184" t="s">
        <v>248</v>
      </c>
      <c r="K184" t="s">
        <v>296</v>
      </c>
      <c r="L184" s="34">
        <v>2</v>
      </c>
      <c r="M184" s="38">
        <v>0.75</v>
      </c>
      <c r="N184" s="38">
        <f t="shared" si="2"/>
        <v>1.5</v>
      </c>
    </row>
    <row r="185" spans="1:14">
      <c r="A185" s="29">
        <v>42690</v>
      </c>
      <c r="B185" s="22" t="s">
        <v>31</v>
      </c>
      <c r="C185" s="22" t="s">
        <v>57</v>
      </c>
      <c r="D185" s="48" t="s">
        <v>11</v>
      </c>
      <c r="E185" t="s">
        <v>297</v>
      </c>
      <c r="F185">
        <v>2016</v>
      </c>
      <c r="G185" t="s">
        <v>57</v>
      </c>
      <c r="H185" s="42">
        <v>139</v>
      </c>
      <c r="J185" t="s">
        <v>248</v>
      </c>
      <c r="L185" s="34">
        <v>2</v>
      </c>
      <c r="M185" s="38">
        <v>0.75</v>
      </c>
      <c r="N185" s="38">
        <f t="shared" si="2"/>
        <v>1.5</v>
      </c>
    </row>
    <row r="186" spans="1:14">
      <c r="A186" s="29">
        <v>42690</v>
      </c>
      <c r="B186" s="22" t="s">
        <v>57</v>
      </c>
      <c r="C186" s="22" t="s">
        <v>45</v>
      </c>
      <c r="D186" s="48" t="s">
        <v>5</v>
      </c>
      <c r="E186" t="s">
        <v>159</v>
      </c>
      <c r="F186">
        <v>2016</v>
      </c>
      <c r="G186" t="s">
        <v>251</v>
      </c>
      <c r="H186" s="42">
        <v>401</v>
      </c>
      <c r="J186" t="s">
        <v>248</v>
      </c>
      <c r="L186" s="34">
        <v>3</v>
      </c>
      <c r="M186" s="38">
        <v>0.75</v>
      </c>
      <c r="N186" s="38">
        <f t="shared" si="2"/>
        <v>2.25</v>
      </c>
    </row>
    <row r="187" spans="1:14">
      <c r="A187" s="29">
        <v>42690</v>
      </c>
      <c r="B187" s="22" t="s">
        <v>57</v>
      </c>
      <c r="C187" s="22" t="s">
        <v>45</v>
      </c>
      <c r="D187" s="48" t="s">
        <v>5</v>
      </c>
      <c r="E187" t="s">
        <v>157</v>
      </c>
      <c r="F187">
        <v>2016</v>
      </c>
      <c r="G187" t="s">
        <v>250</v>
      </c>
      <c r="H187" s="42">
        <v>14</v>
      </c>
      <c r="J187" t="s">
        <v>248</v>
      </c>
      <c r="L187" s="34">
        <v>3</v>
      </c>
      <c r="M187" s="38">
        <v>0.75</v>
      </c>
      <c r="N187" s="38">
        <f t="shared" si="2"/>
        <v>2.25</v>
      </c>
    </row>
    <row r="188" spans="1:14">
      <c r="A188" s="29">
        <v>42690</v>
      </c>
      <c r="B188" s="22" t="s">
        <v>57</v>
      </c>
      <c r="C188" s="22" t="s">
        <v>45</v>
      </c>
      <c r="D188" s="48" t="s">
        <v>5</v>
      </c>
      <c r="E188" t="s">
        <v>157</v>
      </c>
      <c r="F188">
        <v>2016</v>
      </c>
      <c r="G188" t="s">
        <v>254</v>
      </c>
      <c r="H188" s="42">
        <v>201</v>
      </c>
      <c r="J188" t="s">
        <v>248</v>
      </c>
      <c r="L188" s="34">
        <v>3</v>
      </c>
      <c r="M188" s="38">
        <v>0.75</v>
      </c>
      <c r="N188" s="38">
        <f t="shared" si="2"/>
        <v>2.25</v>
      </c>
    </row>
    <row r="189" spans="1:14">
      <c r="A189" s="29">
        <v>42690</v>
      </c>
      <c r="B189" s="22" t="s">
        <v>57</v>
      </c>
      <c r="C189" s="22" t="s">
        <v>45</v>
      </c>
      <c r="D189" s="48" t="s">
        <v>8</v>
      </c>
      <c r="E189" t="s">
        <v>272</v>
      </c>
      <c r="F189">
        <v>2016</v>
      </c>
      <c r="G189" t="s">
        <v>273</v>
      </c>
      <c r="H189" s="42" t="s">
        <v>57</v>
      </c>
      <c r="J189" t="s">
        <v>248</v>
      </c>
      <c r="L189" s="34">
        <v>3</v>
      </c>
      <c r="M189" s="38">
        <v>0.75</v>
      </c>
      <c r="N189" s="38">
        <f t="shared" si="2"/>
        <v>2.25</v>
      </c>
    </row>
    <row r="190" spans="1:14">
      <c r="A190" s="29">
        <v>42690</v>
      </c>
      <c r="B190" s="22" t="s">
        <v>57</v>
      </c>
      <c r="C190" s="22" t="s">
        <v>45</v>
      </c>
      <c r="D190" s="48" t="s">
        <v>8</v>
      </c>
      <c r="E190" t="s">
        <v>272</v>
      </c>
      <c r="F190">
        <v>2016</v>
      </c>
      <c r="G190" t="s">
        <v>275</v>
      </c>
      <c r="H190" s="42" t="s">
        <v>57</v>
      </c>
      <c r="J190" t="s">
        <v>248</v>
      </c>
      <c r="L190" s="34">
        <v>3</v>
      </c>
      <c r="M190" s="38">
        <v>0.75</v>
      </c>
      <c r="N190" s="38">
        <f t="shared" si="2"/>
        <v>2.25</v>
      </c>
    </row>
    <row r="191" spans="1:14">
      <c r="A191" s="29">
        <v>42690</v>
      </c>
      <c r="B191" s="22" t="s">
        <v>57</v>
      </c>
      <c r="C191" s="22" t="s">
        <v>45</v>
      </c>
      <c r="D191" s="48" t="s">
        <v>8</v>
      </c>
      <c r="E191" t="s">
        <v>178</v>
      </c>
      <c r="F191">
        <v>2016</v>
      </c>
      <c r="G191" t="s">
        <v>265</v>
      </c>
      <c r="H191" s="42" t="s">
        <v>298</v>
      </c>
      <c r="J191" t="s">
        <v>299</v>
      </c>
      <c r="L191" s="34">
        <v>3</v>
      </c>
      <c r="M191" s="38">
        <v>0.75</v>
      </c>
      <c r="N191" s="38">
        <f t="shared" si="2"/>
        <v>2.25</v>
      </c>
    </row>
    <row r="192" spans="1:14">
      <c r="A192" s="29">
        <v>42691</v>
      </c>
      <c r="B192" s="22" t="s">
        <v>105</v>
      </c>
      <c r="C192" s="22" t="s">
        <v>57</v>
      </c>
      <c r="D192" s="48" t="s">
        <v>5</v>
      </c>
      <c r="E192" t="s">
        <v>158</v>
      </c>
      <c r="F192">
        <v>2016</v>
      </c>
      <c r="G192" t="s">
        <v>257</v>
      </c>
      <c r="H192" s="42" t="s">
        <v>57</v>
      </c>
      <c r="J192" t="s">
        <v>248</v>
      </c>
      <c r="K192" t="s">
        <v>300</v>
      </c>
      <c r="L192" s="34">
        <v>2</v>
      </c>
      <c r="M192" s="38">
        <v>0.75</v>
      </c>
      <c r="N192" s="38">
        <f t="shared" si="2"/>
        <v>1.5</v>
      </c>
    </row>
    <row r="193" spans="1:14">
      <c r="A193" s="29">
        <v>42691</v>
      </c>
      <c r="B193" s="22" t="s">
        <v>105</v>
      </c>
      <c r="C193" s="22" t="s">
        <v>57</v>
      </c>
      <c r="D193" s="48" t="s">
        <v>5</v>
      </c>
      <c r="E193" t="s">
        <v>158</v>
      </c>
      <c r="F193">
        <v>2016</v>
      </c>
      <c r="G193" t="s">
        <v>257</v>
      </c>
      <c r="H193" s="42">
        <v>195</v>
      </c>
      <c r="J193" t="s">
        <v>248</v>
      </c>
      <c r="K193" t="s">
        <v>301</v>
      </c>
      <c r="L193" s="34">
        <v>2</v>
      </c>
      <c r="M193" s="38">
        <v>0.75</v>
      </c>
      <c r="N193" s="38">
        <f t="shared" si="2"/>
        <v>1.5</v>
      </c>
    </row>
    <row r="194" spans="1:14">
      <c r="A194" s="29">
        <v>42691</v>
      </c>
      <c r="B194" s="22" t="s">
        <v>105</v>
      </c>
      <c r="C194" s="22" t="s">
        <v>57</v>
      </c>
      <c r="D194" s="48" t="s">
        <v>5</v>
      </c>
      <c r="E194" t="s">
        <v>158</v>
      </c>
      <c r="F194">
        <v>2016</v>
      </c>
      <c r="G194" t="s">
        <v>279</v>
      </c>
      <c r="H194" s="42" t="s">
        <v>57</v>
      </c>
      <c r="J194" t="s">
        <v>248</v>
      </c>
      <c r="L194" s="34">
        <v>2</v>
      </c>
      <c r="M194" s="38">
        <v>0.75</v>
      </c>
      <c r="N194" s="38">
        <f t="shared" si="2"/>
        <v>1.5</v>
      </c>
    </row>
    <row r="195" spans="1:14">
      <c r="A195" s="29">
        <v>42692</v>
      </c>
      <c r="B195" s="22" t="s">
        <v>63</v>
      </c>
      <c r="C195" s="22" t="s">
        <v>57</v>
      </c>
      <c r="D195" s="48" t="s">
        <v>5</v>
      </c>
      <c r="E195" t="s">
        <v>255</v>
      </c>
      <c r="F195">
        <v>2015</v>
      </c>
      <c r="G195" t="s">
        <v>302</v>
      </c>
      <c r="H195" s="42" t="s">
        <v>57</v>
      </c>
      <c r="J195" t="s">
        <v>248</v>
      </c>
      <c r="K195" t="s">
        <v>303</v>
      </c>
      <c r="L195" s="34">
        <v>2</v>
      </c>
      <c r="M195" s="38">
        <v>0.75</v>
      </c>
      <c r="N195" s="38">
        <f t="shared" ref="N195:N258" si="3">M195*L195</f>
        <v>1.5</v>
      </c>
    </row>
    <row r="196" spans="1:14">
      <c r="A196" s="29">
        <v>42692</v>
      </c>
      <c r="B196" s="22" t="s">
        <v>28</v>
      </c>
      <c r="C196" s="22" t="s">
        <v>271</v>
      </c>
      <c r="D196" s="48" t="s">
        <v>5</v>
      </c>
      <c r="E196" t="s">
        <v>158</v>
      </c>
      <c r="F196">
        <v>2016</v>
      </c>
      <c r="G196" t="s">
        <v>304</v>
      </c>
      <c r="H196" s="42" t="s">
        <v>57</v>
      </c>
      <c r="J196" t="s">
        <v>248</v>
      </c>
      <c r="L196" s="34">
        <v>5</v>
      </c>
      <c r="M196" s="38">
        <v>0.75</v>
      </c>
      <c r="N196" s="38">
        <f t="shared" si="3"/>
        <v>3.75</v>
      </c>
    </row>
    <row r="197" spans="1:14">
      <c r="A197" s="29">
        <v>42692</v>
      </c>
      <c r="B197" s="22" t="s">
        <v>28</v>
      </c>
      <c r="C197" s="22" t="s">
        <v>271</v>
      </c>
      <c r="D197" s="48" t="s">
        <v>5</v>
      </c>
      <c r="E197" t="s">
        <v>158</v>
      </c>
      <c r="F197">
        <v>2016</v>
      </c>
      <c r="G197" t="s">
        <v>279</v>
      </c>
      <c r="H197" s="42" t="s">
        <v>57</v>
      </c>
      <c r="J197" t="s">
        <v>248</v>
      </c>
      <c r="L197" s="34">
        <v>5</v>
      </c>
      <c r="M197" s="38">
        <v>0.75</v>
      </c>
      <c r="N197" s="38">
        <f t="shared" si="3"/>
        <v>3.75</v>
      </c>
    </row>
    <row r="198" spans="1:14">
      <c r="A198" s="29">
        <v>42692</v>
      </c>
      <c r="B198" s="22" t="s">
        <v>28</v>
      </c>
      <c r="C198" s="22" t="s">
        <v>271</v>
      </c>
      <c r="D198" s="48" t="s">
        <v>5</v>
      </c>
      <c r="E198" t="s">
        <v>157</v>
      </c>
      <c r="F198">
        <v>2015</v>
      </c>
      <c r="G198" t="s">
        <v>305</v>
      </c>
      <c r="H198" s="42">
        <v>26</v>
      </c>
      <c r="J198" t="s">
        <v>248</v>
      </c>
      <c r="L198" s="34">
        <v>3</v>
      </c>
      <c r="M198" s="38">
        <v>0.75</v>
      </c>
      <c r="N198" s="38">
        <f t="shared" si="3"/>
        <v>2.25</v>
      </c>
    </row>
    <row r="199" spans="1:14">
      <c r="A199" s="29">
        <v>42692</v>
      </c>
      <c r="B199" s="22" t="s">
        <v>50</v>
      </c>
      <c r="C199" s="22" t="s">
        <v>57</v>
      </c>
      <c r="D199" s="48" t="s">
        <v>5</v>
      </c>
      <c r="E199" t="s">
        <v>306</v>
      </c>
      <c r="F199">
        <v>2016</v>
      </c>
      <c r="G199" t="s">
        <v>307</v>
      </c>
      <c r="H199" s="42" t="s">
        <v>57</v>
      </c>
      <c r="J199" t="s">
        <v>248</v>
      </c>
      <c r="L199" s="34">
        <v>2</v>
      </c>
      <c r="M199" s="38">
        <v>0.75</v>
      </c>
      <c r="N199" s="38">
        <f t="shared" si="3"/>
        <v>1.5</v>
      </c>
    </row>
    <row r="200" spans="1:14">
      <c r="A200" s="29">
        <v>42695</v>
      </c>
      <c r="B200" s="22" t="s">
        <v>63</v>
      </c>
      <c r="C200" s="22" t="s">
        <v>57</v>
      </c>
      <c r="D200" s="48" t="s">
        <v>5</v>
      </c>
      <c r="E200" t="s">
        <v>159</v>
      </c>
      <c r="F200">
        <v>2016</v>
      </c>
      <c r="G200" t="s">
        <v>253</v>
      </c>
      <c r="H200" s="42">
        <v>75</v>
      </c>
      <c r="J200" t="s">
        <v>248</v>
      </c>
      <c r="L200" s="34">
        <v>2</v>
      </c>
      <c r="M200" s="38">
        <v>0.75</v>
      </c>
      <c r="N200" s="38">
        <f t="shared" si="3"/>
        <v>1.5</v>
      </c>
    </row>
    <row r="201" spans="1:14">
      <c r="A201" s="29">
        <v>42695</v>
      </c>
      <c r="B201" s="22" t="s">
        <v>63</v>
      </c>
      <c r="C201" s="22" t="s">
        <v>57</v>
      </c>
      <c r="D201" s="48" t="s">
        <v>5</v>
      </c>
      <c r="E201" t="s">
        <v>159</v>
      </c>
      <c r="F201">
        <v>2016</v>
      </c>
      <c r="G201" t="s">
        <v>252</v>
      </c>
      <c r="H201" s="42">
        <v>423</v>
      </c>
      <c r="J201" t="s">
        <v>248</v>
      </c>
      <c r="L201" s="34">
        <v>2</v>
      </c>
      <c r="M201" s="38">
        <v>0.75</v>
      </c>
      <c r="N201" s="38">
        <f t="shared" si="3"/>
        <v>1.5</v>
      </c>
    </row>
    <row r="202" spans="1:14">
      <c r="A202" s="29">
        <v>42695</v>
      </c>
      <c r="B202" s="22" t="s">
        <v>63</v>
      </c>
      <c r="C202" s="22" t="s">
        <v>57</v>
      </c>
      <c r="D202" s="48" t="s">
        <v>5</v>
      </c>
      <c r="E202" t="s">
        <v>157</v>
      </c>
      <c r="F202">
        <v>2016</v>
      </c>
      <c r="G202" t="s">
        <v>250</v>
      </c>
      <c r="H202" s="42">
        <v>14</v>
      </c>
      <c r="J202" t="s">
        <v>248</v>
      </c>
      <c r="L202" s="34">
        <v>2</v>
      </c>
      <c r="M202" s="38">
        <v>0.75</v>
      </c>
      <c r="N202" s="38">
        <f t="shared" si="3"/>
        <v>1.5</v>
      </c>
    </row>
    <row r="203" spans="1:14">
      <c r="A203" s="29">
        <v>42695</v>
      </c>
      <c r="B203" s="22" t="s">
        <v>63</v>
      </c>
      <c r="C203" s="22" t="s">
        <v>57</v>
      </c>
      <c r="D203" s="48" t="s">
        <v>5</v>
      </c>
      <c r="E203" t="s">
        <v>157</v>
      </c>
      <c r="F203">
        <v>2016</v>
      </c>
      <c r="G203" t="s">
        <v>254</v>
      </c>
      <c r="H203" s="42">
        <v>201</v>
      </c>
      <c r="J203" t="s">
        <v>248</v>
      </c>
      <c r="L203" s="34">
        <v>2</v>
      </c>
      <c r="M203" s="38">
        <v>0.75</v>
      </c>
      <c r="N203" s="38">
        <f t="shared" si="3"/>
        <v>1.5</v>
      </c>
    </row>
    <row r="204" spans="1:14">
      <c r="A204" s="29">
        <v>42695</v>
      </c>
      <c r="B204" s="22" t="s">
        <v>63</v>
      </c>
      <c r="C204" s="22" t="s">
        <v>57</v>
      </c>
      <c r="D204" s="48" t="s">
        <v>5</v>
      </c>
      <c r="E204" t="s">
        <v>157</v>
      </c>
      <c r="F204">
        <v>2016</v>
      </c>
      <c r="G204" t="s">
        <v>253</v>
      </c>
      <c r="H204" s="42">
        <v>309</v>
      </c>
      <c r="J204" t="s">
        <v>248</v>
      </c>
      <c r="L204" s="34">
        <v>2</v>
      </c>
      <c r="M204" s="38">
        <v>0.75</v>
      </c>
      <c r="N204" s="38">
        <f t="shared" si="3"/>
        <v>1.5</v>
      </c>
    </row>
    <row r="205" spans="1:14">
      <c r="A205" s="29">
        <v>42695</v>
      </c>
      <c r="B205" s="22" t="s">
        <v>63</v>
      </c>
      <c r="C205" s="22" t="s">
        <v>57</v>
      </c>
      <c r="D205" s="48" t="s">
        <v>8</v>
      </c>
      <c r="E205" t="s">
        <v>179</v>
      </c>
      <c r="F205">
        <v>2016</v>
      </c>
      <c r="G205" t="s">
        <v>57</v>
      </c>
      <c r="H205" s="42">
        <v>206</v>
      </c>
      <c r="J205" t="s">
        <v>248</v>
      </c>
      <c r="L205" s="34">
        <v>2</v>
      </c>
      <c r="M205" s="38">
        <v>0.75</v>
      </c>
      <c r="N205" s="38">
        <f t="shared" si="3"/>
        <v>1.5</v>
      </c>
    </row>
    <row r="206" spans="1:14">
      <c r="A206" s="29">
        <v>42695</v>
      </c>
      <c r="B206" s="22" t="s">
        <v>63</v>
      </c>
      <c r="C206" s="22" t="s">
        <v>57</v>
      </c>
      <c r="D206" s="48" t="s">
        <v>8</v>
      </c>
      <c r="E206" t="s">
        <v>177</v>
      </c>
      <c r="F206">
        <v>2016</v>
      </c>
      <c r="G206" t="s">
        <v>57</v>
      </c>
      <c r="H206" s="42">
        <v>302</v>
      </c>
      <c r="J206" t="s">
        <v>248</v>
      </c>
      <c r="L206" s="34">
        <v>2</v>
      </c>
      <c r="M206" s="38">
        <v>0.75</v>
      </c>
      <c r="N206" s="38">
        <f t="shared" si="3"/>
        <v>1.5</v>
      </c>
    </row>
    <row r="207" spans="1:14">
      <c r="A207" s="29">
        <v>42695</v>
      </c>
      <c r="B207" s="22" t="s">
        <v>63</v>
      </c>
      <c r="C207" s="22" t="s">
        <v>57</v>
      </c>
      <c r="D207" s="48" t="s">
        <v>5</v>
      </c>
      <c r="E207" t="s">
        <v>255</v>
      </c>
      <c r="F207">
        <v>2016</v>
      </c>
      <c r="G207" t="s">
        <v>57</v>
      </c>
      <c r="H207" s="42">
        <v>424</v>
      </c>
      <c r="J207" t="s">
        <v>248</v>
      </c>
      <c r="L207" s="34">
        <v>2</v>
      </c>
      <c r="M207" s="38">
        <v>0.75</v>
      </c>
      <c r="N207" s="38">
        <f t="shared" si="3"/>
        <v>1.5</v>
      </c>
    </row>
    <row r="208" spans="1:14">
      <c r="A208" s="29">
        <v>42695</v>
      </c>
      <c r="B208" s="22" t="s">
        <v>57</v>
      </c>
      <c r="C208" s="22" t="s">
        <v>45</v>
      </c>
      <c r="D208" s="48" t="s">
        <v>5</v>
      </c>
      <c r="E208" t="s">
        <v>158</v>
      </c>
      <c r="F208">
        <v>2016</v>
      </c>
      <c r="G208" t="s">
        <v>279</v>
      </c>
      <c r="H208" s="42" t="s">
        <v>57</v>
      </c>
      <c r="J208" t="s">
        <v>248</v>
      </c>
      <c r="L208" s="34">
        <v>2</v>
      </c>
      <c r="M208" s="38">
        <v>0.75</v>
      </c>
      <c r="N208" s="38">
        <f t="shared" si="3"/>
        <v>1.5</v>
      </c>
    </row>
    <row r="209" spans="1:14">
      <c r="A209" s="29">
        <v>42695</v>
      </c>
      <c r="B209" s="22" t="s">
        <v>109</v>
      </c>
      <c r="C209" s="22" t="s">
        <v>57</v>
      </c>
      <c r="D209" s="48" t="s">
        <v>5</v>
      </c>
      <c r="E209" t="s">
        <v>308</v>
      </c>
      <c r="F209">
        <v>2016</v>
      </c>
      <c r="G209" t="s">
        <v>309</v>
      </c>
      <c r="H209" s="42" t="s">
        <v>57</v>
      </c>
      <c r="J209" t="s">
        <v>248</v>
      </c>
      <c r="L209" s="34">
        <v>1</v>
      </c>
      <c r="M209" s="38">
        <v>0.75</v>
      </c>
      <c r="N209" s="38">
        <f t="shared" si="3"/>
        <v>0.75</v>
      </c>
    </row>
    <row r="210" spans="1:14">
      <c r="A210" s="29">
        <v>42695</v>
      </c>
      <c r="B210" s="22" t="s">
        <v>109</v>
      </c>
      <c r="C210" s="22" t="s">
        <v>57</v>
      </c>
      <c r="D210" s="48" t="s">
        <v>5</v>
      </c>
      <c r="E210" t="s">
        <v>310</v>
      </c>
      <c r="F210">
        <v>2016</v>
      </c>
      <c r="G210" t="s">
        <v>311</v>
      </c>
      <c r="H210" s="42">
        <v>47</v>
      </c>
      <c r="J210" t="s">
        <v>248</v>
      </c>
      <c r="L210" s="34">
        <v>1</v>
      </c>
      <c r="M210" s="38">
        <v>0.75</v>
      </c>
      <c r="N210" s="38">
        <f t="shared" si="3"/>
        <v>0.75</v>
      </c>
    </row>
    <row r="211" spans="1:14">
      <c r="A211" s="29">
        <v>42695</v>
      </c>
      <c r="B211" s="22" t="s">
        <v>109</v>
      </c>
      <c r="C211" s="22" t="s">
        <v>57</v>
      </c>
      <c r="D211" s="48" t="s">
        <v>5</v>
      </c>
      <c r="E211" t="s">
        <v>159</v>
      </c>
      <c r="F211">
        <v>2016</v>
      </c>
      <c r="G211" t="s">
        <v>312</v>
      </c>
      <c r="H211" s="42">
        <v>75</v>
      </c>
      <c r="J211" t="s">
        <v>248</v>
      </c>
      <c r="L211" s="34">
        <v>1</v>
      </c>
      <c r="M211" s="38">
        <v>0.75</v>
      </c>
      <c r="N211" s="38">
        <f t="shared" si="3"/>
        <v>0.75</v>
      </c>
    </row>
    <row r="212" spans="1:14">
      <c r="A212" s="29">
        <v>42695</v>
      </c>
      <c r="B212" s="22" t="s">
        <v>109</v>
      </c>
      <c r="C212" s="22" t="s">
        <v>57</v>
      </c>
      <c r="D212" s="48" t="s">
        <v>8</v>
      </c>
      <c r="E212" t="s">
        <v>182</v>
      </c>
      <c r="F212">
        <v>2016</v>
      </c>
      <c r="G212" t="s">
        <v>309</v>
      </c>
      <c r="H212" s="42" t="s">
        <v>57</v>
      </c>
      <c r="J212" t="s">
        <v>248</v>
      </c>
      <c r="L212" s="34">
        <v>1</v>
      </c>
      <c r="M212" s="38">
        <v>0.75</v>
      </c>
      <c r="N212" s="38">
        <f t="shared" si="3"/>
        <v>0.75</v>
      </c>
    </row>
    <row r="213" spans="1:14">
      <c r="A213" s="29">
        <v>42695</v>
      </c>
      <c r="B213" s="22" t="s">
        <v>109</v>
      </c>
      <c r="C213" s="22" t="s">
        <v>57</v>
      </c>
      <c r="D213" s="48" t="s">
        <v>8</v>
      </c>
      <c r="E213" t="s">
        <v>179</v>
      </c>
      <c r="F213">
        <v>2016</v>
      </c>
      <c r="G213" t="s">
        <v>309</v>
      </c>
      <c r="H213" s="42" t="s">
        <v>57</v>
      </c>
      <c r="J213" t="s">
        <v>248</v>
      </c>
      <c r="L213" s="34">
        <v>2</v>
      </c>
      <c r="M213" s="38">
        <v>0.75</v>
      </c>
      <c r="N213" s="38">
        <f t="shared" si="3"/>
        <v>1.5</v>
      </c>
    </row>
    <row r="214" spans="1:14">
      <c r="A214" s="29">
        <v>42696</v>
      </c>
      <c r="B214" s="22" t="s">
        <v>109</v>
      </c>
      <c r="C214" s="22" t="s">
        <v>57</v>
      </c>
      <c r="D214" s="48" t="s">
        <v>8</v>
      </c>
      <c r="E214" t="s">
        <v>178</v>
      </c>
      <c r="F214">
        <v>2016</v>
      </c>
      <c r="G214" t="s">
        <v>313</v>
      </c>
      <c r="H214" s="42" t="s">
        <v>57</v>
      </c>
      <c r="J214" t="s">
        <v>248</v>
      </c>
      <c r="L214" s="34">
        <v>2</v>
      </c>
      <c r="M214" s="38">
        <v>0.75</v>
      </c>
      <c r="N214" s="38">
        <f t="shared" si="3"/>
        <v>1.5</v>
      </c>
    </row>
    <row r="215" spans="1:14">
      <c r="A215" s="29">
        <v>42696</v>
      </c>
      <c r="B215" s="22" t="s">
        <v>109</v>
      </c>
      <c r="C215" s="22" t="s">
        <v>57</v>
      </c>
      <c r="D215" s="48" t="s">
        <v>5</v>
      </c>
      <c r="E215" t="s">
        <v>157</v>
      </c>
      <c r="F215">
        <v>2016</v>
      </c>
      <c r="G215" t="s">
        <v>250</v>
      </c>
      <c r="H215" s="42">
        <v>14</v>
      </c>
      <c r="J215" t="s">
        <v>248</v>
      </c>
      <c r="L215" s="34">
        <v>1</v>
      </c>
      <c r="M215" s="38">
        <v>0.75</v>
      </c>
      <c r="N215" s="38">
        <f t="shared" si="3"/>
        <v>0.75</v>
      </c>
    </row>
    <row r="216" spans="1:14">
      <c r="A216" s="29">
        <v>42696</v>
      </c>
      <c r="B216" s="22" t="s">
        <v>109</v>
      </c>
      <c r="C216" s="22" t="s">
        <v>57</v>
      </c>
      <c r="D216" s="48" t="s">
        <v>5</v>
      </c>
      <c r="E216" t="s">
        <v>157</v>
      </c>
      <c r="F216">
        <v>2016</v>
      </c>
      <c r="G216" t="s">
        <v>254</v>
      </c>
      <c r="H216" s="42">
        <v>201</v>
      </c>
      <c r="J216" t="s">
        <v>248</v>
      </c>
      <c r="L216" s="34">
        <v>1</v>
      </c>
      <c r="M216" s="38">
        <v>0.75</v>
      </c>
      <c r="N216" s="38">
        <f t="shared" si="3"/>
        <v>0.75</v>
      </c>
    </row>
    <row r="217" spans="1:14">
      <c r="A217" s="29">
        <v>42696</v>
      </c>
      <c r="B217" s="22" t="s">
        <v>109</v>
      </c>
      <c r="C217" s="22" t="s">
        <v>57</v>
      </c>
      <c r="D217" s="48" t="s">
        <v>5</v>
      </c>
      <c r="E217" t="s">
        <v>157</v>
      </c>
      <c r="F217">
        <v>2016</v>
      </c>
      <c r="G217" t="s">
        <v>253</v>
      </c>
      <c r="H217" s="42">
        <v>309</v>
      </c>
      <c r="J217" t="s">
        <v>248</v>
      </c>
      <c r="L217" s="34">
        <v>1</v>
      </c>
      <c r="M217" s="38">
        <v>0.75</v>
      </c>
      <c r="N217" s="38">
        <f t="shared" si="3"/>
        <v>0.75</v>
      </c>
    </row>
    <row r="218" spans="1:14">
      <c r="A218" s="29">
        <v>42696</v>
      </c>
      <c r="B218" s="22" t="s">
        <v>109</v>
      </c>
      <c r="C218" s="22" t="s">
        <v>57</v>
      </c>
      <c r="D218" s="48" t="s">
        <v>5</v>
      </c>
      <c r="E218" t="s">
        <v>159</v>
      </c>
      <c r="F218">
        <v>2016</v>
      </c>
      <c r="G218" t="s">
        <v>251</v>
      </c>
      <c r="H218" s="42">
        <v>401</v>
      </c>
      <c r="J218" t="s">
        <v>248</v>
      </c>
      <c r="L218" s="34">
        <v>1</v>
      </c>
      <c r="M218" s="38">
        <v>0.75</v>
      </c>
      <c r="N218" s="38">
        <f t="shared" si="3"/>
        <v>0.75</v>
      </c>
    </row>
    <row r="219" spans="1:14">
      <c r="A219" s="29">
        <v>42696</v>
      </c>
      <c r="B219" s="22" t="s">
        <v>109</v>
      </c>
      <c r="C219" s="22" t="s">
        <v>57</v>
      </c>
      <c r="D219" s="48" t="s">
        <v>11</v>
      </c>
      <c r="E219" t="s">
        <v>180</v>
      </c>
      <c r="F219">
        <v>2016</v>
      </c>
      <c r="G219" t="s">
        <v>314</v>
      </c>
      <c r="H219" s="42" t="s">
        <v>57</v>
      </c>
      <c r="J219" t="s">
        <v>248</v>
      </c>
      <c r="L219" s="34">
        <v>1</v>
      </c>
      <c r="M219" s="38">
        <v>0.75</v>
      </c>
      <c r="N219" s="38">
        <f t="shared" si="3"/>
        <v>0.75</v>
      </c>
    </row>
    <row r="220" spans="1:14">
      <c r="A220" s="29">
        <v>42696</v>
      </c>
      <c r="B220" s="22" t="s">
        <v>57</v>
      </c>
      <c r="C220" s="22" t="s">
        <v>22</v>
      </c>
      <c r="D220" s="48" t="s">
        <v>5</v>
      </c>
      <c r="E220" t="s">
        <v>157</v>
      </c>
      <c r="F220">
        <v>2016</v>
      </c>
      <c r="G220" t="s">
        <v>250</v>
      </c>
      <c r="H220" s="42">
        <v>14</v>
      </c>
      <c r="J220" t="s">
        <v>248</v>
      </c>
      <c r="L220" s="34">
        <v>1</v>
      </c>
      <c r="M220" s="38">
        <v>0.75</v>
      </c>
      <c r="N220" s="38">
        <f t="shared" si="3"/>
        <v>0.75</v>
      </c>
    </row>
    <row r="221" spans="1:14">
      <c r="A221" s="29">
        <v>42696</v>
      </c>
      <c r="B221" s="22" t="s">
        <v>57</v>
      </c>
      <c r="C221" s="22" t="s">
        <v>22</v>
      </c>
      <c r="D221" s="48" t="s">
        <v>5</v>
      </c>
      <c r="E221" t="s">
        <v>157</v>
      </c>
      <c r="F221">
        <v>2016</v>
      </c>
      <c r="G221" t="s">
        <v>254</v>
      </c>
      <c r="H221" s="42">
        <v>201</v>
      </c>
      <c r="J221" t="s">
        <v>248</v>
      </c>
      <c r="L221" s="34">
        <v>1</v>
      </c>
      <c r="M221" s="38">
        <v>0.75</v>
      </c>
      <c r="N221" s="38">
        <f t="shared" si="3"/>
        <v>0.75</v>
      </c>
    </row>
    <row r="222" spans="1:14">
      <c r="A222" s="29">
        <v>42696</v>
      </c>
      <c r="B222" s="22" t="s">
        <v>57</v>
      </c>
      <c r="C222" s="22" t="s">
        <v>22</v>
      </c>
      <c r="D222" s="48" t="s">
        <v>5</v>
      </c>
      <c r="E222" t="s">
        <v>157</v>
      </c>
      <c r="F222">
        <v>2016</v>
      </c>
      <c r="G222" t="s">
        <v>253</v>
      </c>
      <c r="H222" s="42">
        <v>309</v>
      </c>
      <c r="J222" t="s">
        <v>248</v>
      </c>
      <c r="L222" s="34">
        <v>1</v>
      </c>
      <c r="M222" s="38">
        <v>0.75</v>
      </c>
      <c r="N222" s="38">
        <f t="shared" si="3"/>
        <v>0.75</v>
      </c>
    </row>
    <row r="223" spans="1:14">
      <c r="A223" s="29">
        <v>42696</v>
      </c>
      <c r="B223" s="22" t="s">
        <v>15</v>
      </c>
      <c r="C223" s="22" t="s">
        <v>57</v>
      </c>
      <c r="D223" s="48" t="s">
        <v>5</v>
      </c>
      <c r="E223" t="s">
        <v>306</v>
      </c>
      <c r="F223">
        <v>2016</v>
      </c>
      <c r="G223" t="s">
        <v>307</v>
      </c>
      <c r="H223" s="42" t="s">
        <v>57</v>
      </c>
      <c r="J223" t="s">
        <v>248</v>
      </c>
      <c r="L223" s="34">
        <v>1</v>
      </c>
      <c r="M223" s="38">
        <v>0.75</v>
      </c>
      <c r="N223" s="38">
        <f t="shared" si="3"/>
        <v>0.75</v>
      </c>
    </row>
    <row r="224" spans="1:14">
      <c r="A224" s="29">
        <v>42696</v>
      </c>
      <c r="B224" s="22" t="s">
        <v>15</v>
      </c>
      <c r="C224" s="22" t="s">
        <v>57</v>
      </c>
      <c r="D224" s="48" t="s">
        <v>8</v>
      </c>
      <c r="E224" t="s">
        <v>272</v>
      </c>
      <c r="F224">
        <v>2016</v>
      </c>
      <c r="G224" t="s">
        <v>275</v>
      </c>
      <c r="H224" s="42" t="s">
        <v>57</v>
      </c>
      <c r="J224" t="s">
        <v>248</v>
      </c>
      <c r="L224" s="34">
        <v>1</v>
      </c>
      <c r="M224" s="38">
        <v>0.75</v>
      </c>
      <c r="N224" s="38">
        <f t="shared" si="3"/>
        <v>0.75</v>
      </c>
    </row>
    <row r="225" spans="1:14">
      <c r="A225" s="29">
        <v>42696</v>
      </c>
      <c r="B225" s="22" t="s">
        <v>15</v>
      </c>
      <c r="C225" s="22" t="s">
        <v>57</v>
      </c>
      <c r="D225" s="48" t="s">
        <v>8</v>
      </c>
      <c r="E225" t="s">
        <v>272</v>
      </c>
      <c r="F225">
        <v>2016</v>
      </c>
      <c r="G225" t="s">
        <v>273</v>
      </c>
      <c r="H225" s="42" t="s">
        <v>57</v>
      </c>
      <c r="J225" t="s">
        <v>248</v>
      </c>
      <c r="L225" s="34">
        <v>1</v>
      </c>
      <c r="M225" s="38">
        <v>0.75</v>
      </c>
      <c r="N225" s="38">
        <f t="shared" si="3"/>
        <v>0.75</v>
      </c>
    </row>
    <row r="226" spans="1:14">
      <c r="A226" s="29">
        <v>42696</v>
      </c>
      <c r="B226" s="22" t="s">
        <v>15</v>
      </c>
      <c r="C226" s="22" t="s">
        <v>57</v>
      </c>
      <c r="D226" s="48" t="s">
        <v>11</v>
      </c>
      <c r="E226" t="s">
        <v>179</v>
      </c>
      <c r="F226">
        <v>2015</v>
      </c>
      <c r="G226" t="s">
        <v>315</v>
      </c>
      <c r="H226" s="42">
        <v>413</v>
      </c>
      <c r="J226" t="s">
        <v>248</v>
      </c>
      <c r="L226" s="34">
        <v>1</v>
      </c>
      <c r="M226" s="38">
        <v>0.75</v>
      </c>
      <c r="N226" s="38">
        <f t="shared" si="3"/>
        <v>0.75</v>
      </c>
    </row>
    <row r="227" spans="1:14">
      <c r="A227" s="29">
        <v>42696</v>
      </c>
      <c r="B227" s="22" t="s">
        <v>9</v>
      </c>
      <c r="C227" s="22" t="s">
        <v>41</v>
      </c>
      <c r="D227" s="48" t="s">
        <v>5</v>
      </c>
      <c r="E227" t="s">
        <v>157</v>
      </c>
      <c r="F227">
        <v>2016</v>
      </c>
      <c r="G227" t="s">
        <v>250</v>
      </c>
      <c r="H227" s="42">
        <v>14</v>
      </c>
      <c r="J227" t="s">
        <v>248</v>
      </c>
      <c r="L227" s="34">
        <v>1</v>
      </c>
      <c r="M227" s="38">
        <v>0.75</v>
      </c>
      <c r="N227" s="38">
        <f t="shared" si="3"/>
        <v>0.75</v>
      </c>
    </row>
    <row r="228" spans="1:14">
      <c r="A228" s="29">
        <v>42696</v>
      </c>
      <c r="B228" s="22" t="s">
        <v>9</v>
      </c>
      <c r="C228" s="22" t="s">
        <v>41</v>
      </c>
      <c r="D228" s="48" t="s">
        <v>5</v>
      </c>
      <c r="E228" t="s">
        <v>157</v>
      </c>
      <c r="F228">
        <v>2016</v>
      </c>
      <c r="G228" t="s">
        <v>254</v>
      </c>
      <c r="H228" s="42">
        <v>201</v>
      </c>
      <c r="J228" t="s">
        <v>248</v>
      </c>
      <c r="L228" s="34">
        <v>1</v>
      </c>
      <c r="M228" s="38">
        <v>0.75</v>
      </c>
      <c r="N228" s="38">
        <f t="shared" si="3"/>
        <v>0.75</v>
      </c>
    </row>
    <row r="229" spans="1:14">
      <c r="A229" s="29">
        <v>42696</v>
      </c>
      <c r="B229" s="22" t="s">
        <v>9</v>
      </c>
      <c r="C229" s="22" t="s">
        <v>41</v>
      </c>
      <c r="D229" s="48" t="s">
        <v>5</v>
      </c>
      <c r="E229" t="s">
        <v>157</v>
      </c>
      <c r="F229">
        <v>2016</v>
      </c>
      <c r="G229" t="s">
        <v>253</v>
      </c>
      <c r="H229" s="42">
        <v>309</v>
      </c>
      <c r="J229" t="s">
        <v>248</v>
      </c>
      <c r="L229" s="34">
        <v>1</v>
      </c>
      <c r="M229" s="38">
        <v>0.75</v>
      </c>
      <c r="N229" s="38">
        <f t="shared" si="3"/>
        <v>0.75</v>
      </c>
    </row>
    <row r="230" spans="1:14">
      <c r="A230" s="29">
        <v>42696</v>
      </c>
      <c r="B230" s="22" t="s">
        <v>9</v>
      </c>
      <c r="C230" s="22" t="s">
        <v>41</v>
      </c>
      <c r="D230" s="48" t="s">
        <v>5</v>
      </c>
      <c r="E230" t="s">
        <v>159</v>
      </c>
      <c r="F230">
        <v>2016</v>
      </c>
      <c r="G230" t="s">
        <v>251</v>
      </c>
      <c r="H230" s="42">
        <v>401</v>
      </c>
      <c r="J230" t="s">
        <v>248</v>
      </c>
      <c r="L230" s="34">
        <v>1</v>
      </c>
      <c r="M230" s="38">
        <v>0.75</v>
      </c>
      <c r="N230" s="38">
        <f t="shared" si="3"/>
        <v>0.75</v>
      </c>
    </row>
    <row r="231" spans="1:14">
      <c r="A231" s="29">
        <v>42696</v>
      </c>
      <c r="B231" s="22" t="s">
        <v>9</v>
      </c>
      <c r="C231" s="22" t="s">
        <v>41</v>
      </c>
      <c r="D231" s="48" t="s">
        <v>5</v>
      </c>
      <c r="E231" t="s">
        <v>287</v>
      </c>
      <c r="F231">
        <v>2016</v>
      </c>
      <c r="G231" t="s">
        <v>57</v>
      </c>
      <c r="H231" s="42">
        <v>12</v>
      </c>
      <c r="J231" t="s">
        <v>248</v>
      </c>
      <c r="L231" s="34">
        <v>1</v>
      </c>
      <c r="M231" s="38">
        <v>0.75</v>
      </c>
      <c r="N231" s="38">
        <f t="shared" si="3"/>
        <v>0.75</v>
      </c>
    </row>
    <row r="232" spans="1:14">
      <c r="A232" s="29">
        <v>42696</v>
      </c>
      <c r="B232" s="22" t="s">
        <v>9</v>
      </c>
      <c r="C232" s="22" t="s">
        <v>41</v>
      </c>
      <c r="D232" s="48" t="s">
        <v>5</v>
      </c>
      <c r="E232" t="s">
        <v>267</v>
      </c>
      <c r="F232">
        <v>2016</v>
      </c>
      <c r="G232" t="s">
        <v>57</v>
      </c>
      <c r="H232" s="42">
        <v>87</v>
      </c>
      <c r="J232" t="s">
        <v>248</v>
      </c>
      <c r="L232" s="34">
        <v>1</v>
      </c>
      <c r="M232" s="38">
        <v>0.75</v>
      </c>
      <c r="N232" s="38">
        <f t="shared" si="3"/>
        <v>0.75</v>
      </c>
    </row>
    <row r="233" spans="1:14">
      <c r="A233" s="29">
        <v>42696</v>
      </c>
      <c r="B233" s="22" t="s">
        <v>9</v>
      </c>
      <c r="C233" s="22" t="s">
        <v>41</v>
      </c>
      <c r="D233" s="48" t="s">
        <v>5</v>
      </c>
      <c r="E233" t="s">
        <v>306</v>
      </c>
      <c r="F233">
        <v>2016</v>
      </c>
      <c r="G233" t="s">
        <v>307</v>
      </c>
      <c r="H233" s="42" t="s">
        <v>57</v>
      </c>
      <c r="J233" t="s">
        <v>248</v>
      </c>
      <c r="L233" s="34">
        <v>1</v>
      </c>
      <c r="M233" s="38">
        <v>0.75</v>
      </c>
      <c r="N233" s="38">
        <f t="shared" si="3"/>
        <v>0.75</v>
      </c>
    </row>
    <row r="234" spans="1:14">
      <c r="A234" s="29">
        <v>42696</v>
      </c>
      <c r="B234" s="22" t="s">
        <v>9</v>
      </c>
      <c r="C234" s="22" t="s">
        <v>41</v>
      </c>
      <c r="D234" s="48" t="s">
        <v>8</v>
      </c>
      <c r="E234" t="s">
        <v>272</v>
      </c>
      <c r="F234">
        <v>2016</v>
      </c>
      <c r="G234" t="s">
        <v>275</v>
      </c>
      <c r="H234" s="42" t="s">
        <v>57</v>
      </c>
      <c r="J234" t="s">
        <v>248</v>
      </c>
      <c r="L234" s="34">
        <v>1</v>
      </c>
      <c r="M234" s="38">
        <v>0.75</v>
      </c>
      <c r="N234" s="38">
        <f t="shared" si="3"/>
        <v>0.75</v>
      </c>
    </row>
    <row r="235" spans="1:14">
      <c r="A235" s="29">
        <v>42696</v>
      </c>
      <c r="B235" s="22" t="s">
        <v>9</v>
      </c>
      <c r="C235" s="22" t="s">
        <v>41</v>
      </c>
      <c r="D235" s="48" t="s">
        <v>8</v>
      </c>
      <c r="E235" t="s">
        <v>272</v>
      </c>
      <c r="F235">
        <v>2016</v>
      </c>
      <c r="G235" t="s">
        <v>273</v>
      </c>
      <c r="H235" s="42" t="s">
        <v>57</v>
      </c>
      <c r="J235" t="s">
        <v>248</v>
      </c>
      <c r="L235" s="34">
        <v>1</v>
      </c>
      <c r="M235" s="38">
        <v>0.75</v>
      </c>
      <c r="N235" s="38">
        <f t="shared" si="3"/>
        <v>0.75</v>
      </c>
    </row>
    <row r="236" spans="1:14">
      <c r="A236" s="29">
        <v>42696</v>
      </c>
      <c r="B236" s="22" t="s">
        <v>9</v>
      </c>
      <c r="C236" s="22" t="s">
        <v>41</v>
      </c>
      <c r="D236" s="48" t="s">
        <v>11</v>
      </c>
      <c r="E236" t="s">
        <v>179</v>
      </c>
      <c r="F236">
        <v>2015</v>
      </c>
      <c r="G236" t="s">
        <v>315</v>
      </c>
      <c r="H236" s="42">
        <v>413</v>
      </c>
      <c r="J236" t="s">
        <v>248</v>
      </c>
      <c r="L236" s="34">
        <v>1</v>
      </c>
      <c r="M236" s="38">
        <v>0.75</v>
      </c>
      <c r="N236" s="38">
        <f t="shared" si="3"/>
        <v>0.75</v>
      </c>
    </row>
    <row r="237" spans="1:14">
      <c r="A237" s="29">
        <v>42696</v>
      </c>
      <c r="B237" s="22" t="s">
        <v>9</v>
      </c>
      <c r="C237" s="22" t="s">
        <v>41</v>
      </c>
      <c r="D237" s="48" t="s">
        <v>11</v>
      </c>
      <c r="E237" t="s">
        <v>177</v>
      </c>
      <c r="F237">
        <v>2015</v>
      </c>
      <c r="G237" t="s">
        <v>314</v>
      </c>
      <c r="H237" s="42">
        <v>81</v>
      </c>
      <c r="J237" t="s">
        <v>248</v>
      </c>
      <c r="L237" s="34">
        <v>1</v>
      </c>
      <c r="M237" s="38">
        <v>0.75</v>
      </c>
      <c r="N237" s="38">
        <f t="shared" si="3"/>
        <v>0.75</v>
      </c>
    </row>
    <row r="238" spans="1:14">
      <c r="A238" s="29">
        <v>42696</v>
      </c>
      <c r="B238" s="22" t="s">
        <v>9</v>
      </c>
      <c r="C238" s="22" t="s">
        <v>41</v>
      </c>
      <c r="D238" s="48" t="s">
        <v>11</v>
      </c>
      <c r="E238" t="s">
        <v>259</v>
      </c>
      <c r="F238">
        <v>2016</v>
      </c>
      <c r="G238" t="s">
        <v>316</v>
      </c>
      <c r="H238" s="42" t="s">
        <v>57</v>
      </c>
      <c r="J238" t="s">
        <v>248</v>
      </c>
      <c r="L238" s="34">
        <v>1</v>
      </c>
      <c r="M238" s="38">
        <v>0.75</v>
      </c>
      <c r="N238" s="38">
        <f t="shared" si="3"/>
        <v>0.75</v>
      </c>
    </row>
    <row r="239" spans="1:14">
      <c r="A239" s="29">
        <v>42697</v>
      </c>
      <c r="B239" s="22" t="s">
        <v>15</v>
      </c>
      <c r="C239" s="22" t="s">
        <v>57</v>
      </c>
      <c r="D239" s="48" t="s">
        <v>5</v>
      </c>
      <c r="E239" t="s">
        <v>160</v>
      </c>
      <c r="F239">
        <v>2016</v>
      </c>
      <c r="G239" t="s">
        <v>57</v>
      </c>
      <c r="H239" s="42">
        <v>53</v>
      </c>
      <c r="J239" t="s">
        <v>248</v>
      </c>
      <c r="L239" s="34">
        <v>1</v>
      </c>
      <c r="M239" s="38">
        <v>0.75</v>
      </c>
      <c r="N239" s="38">
        <f t="shared" si="3"/>
        <v>0.75</v>
      </c>
    </row>
    <row r="240" spans="1:14">
      <c r="A240" s="29">
        <v>42697</v>
      </c>
      <c r="B240" s="22" t="s">
        <v>15</v>
      </c>
      <c r="C240" s="22" t="s">
        <v>57</v>
      </c>
      <c r="D240" s="48" t="s">
        <v>5</v>
      </c>
      <c r="E240" t="s">
        <v>161</v>
      </c>
      <c r="F240">
        <v>2016</v>
      </c>
      <c r="G240" t="s">
        <v>57</v>
      </c>
      <c r="H240" s="42">
        <v>31</v>
      </c>
      <c r="J240" t="s">
        <v>248</v>
      </c>
      <c r="L240" s="34">
        <v>1</v>
      </c>
      <c r="M240" s="38">
        <v>0.75</v>
      </c>
      <c r="N240" s="38">
        <f t="shared" si="3"/>
        <v>0.75</v>
      </c>
    </row>
    <row r="241" spans="1:14">
      <c r="A241" s="29">
        <v>42697</v>
      </c>
      <c r="B241" s="22" t="s">
        <v>15</v>
      </c>
      <c r="C241" s="22" t="s">
        <v>57</v>
      </c>
      <c r="D241" s="48" t="s">
        <v>11</v>
      </c>
      <c r="E241" t="s">
        <v>183</v>
      </c>
      <c r="F241">
        <v>2016</v>
      </c>
      <c r="G241" t="s">
        <v>57</v>
      </c>
      <c r="H241" s="42">
        <v>139</v>
      </c>
      <c r="J241" t="s">
        <v>248</v>
      </c>
      <c r="L241" s="34">
        <v>1</v>
      </c>
      <c r="M241" s="38">
        <v>0.75</v>
      </c>
      <c r="N241" s="38">
        <f t="shared" si="3"/>
        <v>0.75</v>
      </c>
    </row>
    <row r="242" spans="1:14">
      <c r="A242" s="29">
        <v>42697</v>
      </c>
      <c r="B242" s="22" t="s">
        <v>109</v>
      </c>
      <c r="C242" s="22" t="s">
        <v>57</v>
      </c>
      <c r="D242" s="48" t="s">
        <v>5</v>
      </c>
      <c r="E242" t="s">
        <v>157</v>
      </c>
      <c r="F242">
        <v>2016</v>
      </c>
      <c r="G242" t="s">
        <v>250</v>
      </c>
      <c r="H242" s="42">
        <v>14</v>
      </c>
      <c r="J242" t="s">
        <v>248</v>
      </c>
      <c r="L242" s="34">
        <v>1</v>
      </c>
      <c r="M242" s="38">
        <v>0.75</v>
      </c>
      <c r="N242" s="38">
        <f t="shared" si="3"/>
        <v>0.75</v>
      </c>
    </row>
    <row r="243" spans="1:14">
      <c r="A243" s="29">
        <v>42697</v>
      </c>
      <c r="B243" s="22" t="s">
        <v>109</v>
      </c>
      <c r="C243" s="22" t="s">
        <v>57</v>
      </c>
      <c r="D243" s="48" t="s">
        <v>5</v>
      </c>
      <c r="E243" t="s">
        <v>157</v>
      </c>
      <c r="F243">
        <v>2016</v>
      </c>
      <c r="G243" t="s">
        <v>247</v>
      </c>
      <c r="H243" s="42">
        <v>308</v>
      </c>
      <c r="J243" t="s">
        <v>248</v>
      </c>
      <c r="L243" s="34">
        <v>1</v>
      </c>
      <c r="M243" s="38">
        <v>0.75</v>
      </c>
      <c r="N243" s="38">
        <f t="shared" si="3"/>
        <v>0.75</v>
      </c>
    </row>
    <row r="244" spans="1:14">
      <c r="A244" s="29">
        <v>42698</v>
      </c>
      <c r="B244" s="22" t="s">
        <v>109</v>
      </c>
      <c r="C244" s="22" t="s">
        <v>57</v>
      </c>
      <c r="D244" s="48" t="s">
        <v>5</v>
      </c>
      <c r="E244" t="s">
        <v>157</v>
      </c>
      <c r="F244">
        <v>2016</v>
      </c>
      <c r="G244" t="s">
        <v>250</v>
      </c>
      <c r="H244" s="42">
        <v>14</v>
      </c>
      <c r="J244" t="s">
        <v>248</v>
      </c>
      <c r="L244" s="34">
        <v>3</v>
      </c>
      <c r="M244" s="38">
        <v>0.75</v>
      </c>
      <c r="N244" s="38">
        <f t="shared" si="3"/>
        <v>2.25</v>
      </c>
    </row>
    <row r="245" spans="1:14">
      <c r="A245" s="29">
        <v>42698</v>
      </c>
      <c r="B245" s="22" t="s">
        <v>109</v>
      </c>
      <c r="C245" s="22" t="s">
        <v>57</v>
      </c>
      <c r="D245" s="48" t="s">
        <v>5</v>
      </c>
      <c r="E245" t="s">
        <v>157</v>
      </c>
      <c r="F245">
        <v>2016</v>
      </c>
      <c r="G245" t="s">
        <v>247</v>
      </c>
      <c r="H245" s="42">
        <v>308</v>
      </c>
      <c r="J245" t="s">
        <v>248</v>
      </c>
      <c r="L245" s="34">
        <v>3</v>
      </c>
      <c r="M245" s="38">
        <v>0.75</v>
      </c>
      <c r="N245" s="38">
        <f t="shared" si="3"/>
        <v>2.25</v>
      </c>
    </row>
    <row r="246" spans="1:14">
      <c r="A246" s="29">
        <v>42698</v>
      </c>
      <c r="B246" s="22" t="s">
        <v>110</v>
      </c>
      <c r="C246" s="22" t="s">
        <v>57</v>
      </c>
      <c r="D246" s="48" t="s">
        <v>5</v>
      </c>
      <c r="E246" t="s">
        <v>157</v>
      </c>
      <c r="F246">
        <v>2016</v>
      </c>
      <c r="G246" t="s">
        <v>254</v>
      </c>
      <c r="H246" s="42">
        <v>411</v>
      </c>
      <c r="J246" t="s">
        <v>248</v>
      </c>
      <c r="L246" s="34">
        <v>3</v>
      </c>
      <c r="M246" s="38">
        <v>0.75</v>
      </c>
      <c r="N246" s="38">
        <f t="shared" si="3"/>
        <v>2.25</v>
      </c>
    </row>
    <row r="247" spans="1:14">
      <c r="A247" s="29">
        <v>42698</v>
      </c>
      <c r="B247" s="22" t="s">
        <v>110</v>
      </c>
      <c r="C247" s="22" t="s">
        <v>57</v>
      </c>
      <c r="D247" s="48" t="s">
        <v>5</v>
      </c>
      <c r="E247" t="s">
        <v>157</v>
      </c>
      <c r="F247">
        <v>2016</v>
      </c>
      <c r="G247" t="s">
        <v>247</v>
      </c>
      <c r="H247" s="42">
        <v>308</v>
      </c>
      <c r="J247" t="s">
        <v>248</v>
      </c>
      <c r="L247" s="34">
        <v>3</v>
      </c>
      <c r="M247" s="38">
        <v>0.75</v>
      </c>
      <c r="N247" s="38">
        <f t="shared" si="3"/>
        <v>2.25</v>
      </c>
    </row>
    <row r="248" spans="1:14">
      <c r="A248" s="29">
        <v>42698</v>
      </c>
      <c r="B248" s="22" t="s">
        <v>110</v>
      </c>
      <c r="C248" s="22" t="s">
        <v>57</v>
      </c>
      <c r="D248" s="48" t="s">
        <v>5</v>
      </c>
      <c r="E248" t="s">
        <v>255</v>
      </c>
      <c r="F248">
        <v>2016</v>
      </c>
      <c r="G248" t="s">
        <v>57</v>
      </c>
      <c r="H248" s="42">
        <v>424</v>
      </c>
      <c r="J248" t="s">
        <v>248</v>
      </c>
      <c r="L248" s="34">
        <v>3</v>
      </c>
      <c r="M248" s="38">
        <v>0.75</v>
      </c>
      <c r="N248" s="38">
        <f t="shared" si="3"/>
        <v>2.25</v>
      </c>
    </row>
    <row r="249" spans="1:14">
      <c r="A249" s="29">
        <v>42698</v>
      </c>
      <c r="B249" s="22" t="s">
        <v>110</v>
      </c>
      <c r="C249" s="22" t="s">
        <v>57</v>
      </c>
      <c r="D249" s="48" t="s">
        <v>5</v>
      </c>
      <c r="E249" t="s">
        <v>306</v>
      </c>
      <c r="F249">
        <v>2016</v>
      </c>
      <c r="G249" t="s">
        <v>307</v>
      </c>
      <c r="H249" s="42" t="s">
        <v>57</v>
      </c>
      <c r="J249" t="s">
        <v>248</v>
      </c>
      <c r="L249" s="34">
        <v>3</v>
      </c>
      <c r="M249" s="38">
        <v>0.75</v>
      </c>
      <c r="N249" s="38">
        <f t="shared" si="3"/>
        <v>2.25</v>
      </c>
    </row>
    <row r="250" spans="1:14">
      <c r="A250" s="29">
        <v>42698</v>
      </c>
      <c r="B250" s="22" t="s">
        <v>110</v>
      </c>
      <c r="C250" s="22" t="s">
        <v>57</v>
      </c>
      <c r="D250" s="48" t="s">
        <v>8</v>
      </c>
      <c r="E250" t="s">
        <v>272</v>
      </c>
      <c r="F250">
        <v>2016</v>
      </c>
      <c r="G250" t="s">
        <v>273</v>
      </c>
      <c r="H250" s="42" t="s">
        <v>57</v>
      </c>
      <c r="J250" t="s">
        <v>248</v>
      </c>
      <c r="L250" s="34">
        <v>3</v>
      </c>
      <c r="M250" s="38">
        <v>0.75</v>
      </c>
      <c r="N250" s="38">
        <f t="shared" si="3"/>
        <v>2.25</v>
      </c>
    </row>
    <row r="251" spans="1:14">
      <c r="A251" s="29">
        <v>42698</v>
      </c>
      <c r="B251" s="22" t="s">
        <v>105</v>
      </c>
      <c r="C251" s="22" t="s">
        <v>53</v>
      </c>
      <c r="D251" s="48" t="s">
        <v>8</v>
      </c>
      <c r="E251" t="s">
        <v>177</v>
      </c>
      <c r="F251">
        <v>2016</v>
      </c>
      <c r="G251" t="s">
        <v>57</v>
      </c>
      <c r="H251" s="42">
        <v>302</v>
      </c>
      <c r="J251" t="s">
        <v>248</v>
      </c>
      <c r="L251" s="34">
        <v>3</v>
      </c>
      <c r="M251" s="38">
        <v>0.75</v>
      </c>
      <c r="N251" s="38">
        <f t="shared" si="3"/>
        <v>2.25</v>
      </c>
    </row>
    <row r="252" spans="1:14">
      <c r="A252" s="29">
        <v>42698</v>
      </c>
      <c r="B252" s="22" t="s">
        <v>105</v>
      </c>
      <c r="C252" s="22" t="s">
        <v>53</v>
      </c>
      <c r="D252" s="48" t="s">
        <v>11</v>
      </c>
      <c r="E252" t="s">
        <v>177</v>
      </c>
      <c r="F252">
        <v>2016</v>
      </c>
      <c r="G252" t="s">
        <v>317</v>
      </c>
      <c r="H252" s="42" t="s">
        <v>57</v>
      </c>
      <c r="J252" t="s">
        <v>248</v>
      </c>
      <c r="L252" s="34">
        <v>2</v>
      </c>
      <c r="M252" s="38">
        <v>0.75</v>
      </c>
      <c r="N252" s="38">
        <f t="shared" si="3"/>
        <v>1.5</v>
      </c>
    </row>
    <row r="253" spans="1:14">
      <c r="A253" s="29">
        <v>42698</v>
      </c>
      <c r="B253" s="22" t="s">
        <v>105</v>
      </c>
      <c r="C253" s="22" t="s">
        <v>53</v>
      </c>
      <c r="D253" s="48" t="s">
        <v>11</v>
      </c>
      <c r="E253" t="s">
        <v>179</v>
      </c>
      <c r="F253">
        <v>2016</v>
      </c>
      <c r="G253" t="s">
        <v>318</v>
      </c>
      <c r="H253" s="42" t="s">
        <v>57</v>
      </c>
      <c r="J253" t="s">
        <v>248</v>
      </c>
      <c r="L253" s="34">
        <v>2</v>
      </c>
      <c r="M253" s="38">
        <v>0.75</v>
      </c>
      <c r="N253" s="38">
        <f t="shared" si="3"/>
        <v>1.5</v>
      </c>
    </row>
    <row r="254" spans="1:14">
      <c r="A254" s="29">
        <v>42698</v>
      </c>
      <c r="B254" s="22" t="s">
        <v>105</v>
      </c>
      <c r="C254" s="22" t="s">
        <v>53</v>
      </c>
      <c r="D254" s="48" t="s">
        <v>5</v>
      </c>
      <c r="E254" t="s">
        <v>159</v>
      </c>
      <c r="F254">
        <v>2016</v>
      </c>
      <c r="G254" t="s">
        <v>319</v>
      </c>
      <c r="H254" s="42">
        <v>401</v>
      </c>
      <c r="J254" t="s">
        <v>248</v>
      </c>
      <c r="L254" s="34">
        <v>2</v>
      </c>
      <c r="M254" s="38">
        <v>0.75</v>
      </c>
      <c r="N254" s="38">
        <f t="shared" si="3"/>
        <v>1.5</v>
      </c>
    </row>
    <row r="255" spans="1:14">
      <c r="A255" s="29">
        <v>42702</v>
      </c>
      <c r="B255" s="22" t="s">
        <v>112</v>
      </c>
      <c r="C255" s="22" t="s">
        <v>57</v>
      </c>
      <c r="D255" s="48" t="s">
        <v>5</v>
      </c>
      <c r="E255" t="s">
        <v>267</v>
      </c>
      <c r="F255">
        <v>2016</v>
      </c>
      <c r="G255" t="s">
        <v>57</v>
      </c>
      <c r="H255" s="42">
        <v>87</v>
      </c>
      <c r="J255" t="s">
        <v>248</v>
      </c>
      <c r="L255" s="34">
        <v>1</v>
      </c>
      <c r="M255" s="38">
        <v>0.75</v>
      </c>
      <c r="N255" s="38">
        <f t="shared" si="3"/>
        <v>0.75</v>
      </c>
    </row>
    <row r="256" spans="1:14">
      <c r="A256" s="29">
        <v>42702</v>
      </c>
      <c r="B256" s="22" t="s">
        <v>112</v>
      </c>
      <c r="C256" s="22" t="s">
        <v>57</v>
      </c>
      <c r="D256" s="48" t="s">
        <v>5</v>
      </c>
      <c r="E256" t="s">
        <v>287</v>
      </c>
      <c r="F256">
        <v>2016</v>
      </c>
      <c r="G256" t="s">
        <v>57</v>
      </c>
      <c r="H256" s="42">
        <v>12</v>
      </c>
      <c r="J256" t="s">
        <v>248</v>
      </c>
      <c r="L256" s="34">
        <v>1</v>
      </c>
      <c r="M256" s="38">
        <v>0.75</v>
      </c>
      <c r="N256" s="38">
        <f t="shared" si="3"/>
        <v>0.75</v>
      </c>
    </row>
    <row r="257" spans="1:14">
      <c r="A257" s="29">
        <v>42702</v>
      </c>
      <c r="B257" s="22" t="s">
        <v>63</v>
      </c>
      <c r="C257" s="22" t="s">
        <v>57</v>
      </c>
      <c r="D257" s="48" t="s">
        <v>5</v>
      </c>
      <c r="E257" t="s">
        <v>157</v>
      </c>
      <c r="F257">
        <v>2016</v>
      </c>
      <c r="G257" t="s">
        <v>250</v>
      </c>
      <c r="H257" s="42">
        <v>14</v>
      </c>
      <c r="J257" t="s">
        <v>248</v>
      </c>
      <c r="L257" s="34">
        <v>3</v>
      </c>
      <c r="M257" s="38">
        <v>0.75</v>
      </c>
      <c r="N257" s="38">
        <f t="shared" si="3"/>
        <v>2.25</v>
      </c>
    </row>
    <row r="258" spans="1:14">
      <c r="A258" s="29">
        <v>42702</v>
      </c>
      <c r="B258" s="22" t="s">
        <v>63</v>
      </c>
      <c r="C258" s="22" t="s">
        <v>57</v>
      </c>
      <c r="D258" s="48" t="s">
        <v>5</v>
      </c>
      <c r="E258" t="s">
        <v>157</v>
      </c>
      <c r="F258">
        <v>2016</v>
      </c>
      <c r="G258" t="s">
        <v>254</v>
      </c>
      <c r="H258" s="42">
        <v>411</v>
      </c>
      <c r="J258" t="s">
        <v>248</v>
      </c>
      <c r="L258" s="34">
        <v>3</v>
      </c>
      <c r="M258" s="38">
        <v>0.75</v>
      </c>
      <c r="N258" s="38">
        <f t="shared" si="3"/>
        <v>2.25</v>
      </c>
    </row>
    <row r="259" spans="1:14">
      <c r="A259" s="29">
        <v>42702</v>
      </c>
      <c r="B259" s="22" t="s">
        <v>63</v>
      </c>
      <c r="C259" s="22" t="s">
        <v>57</v>
      </c>
      <c r="D259" s="48" t="s">
        <v>5</v>
      </c>
      <c r="E259" t="s">
        <v>157</v>
      </c>
      <c r="F259">
        <v>2016</v>
      </c>
      <c r="G259" t="s">
        <v>253</v>
      </c>
      <c r="H259" s="42">
        <v>307</v>
      </c>
      <c r="J259" t="s">
        <v>248</v>
      </c>
      <c r="L259" s="34">
        <v>3</v>
      </c>
      <c r="M259" s="38">
        <v>0.75</v>
      </c>
      <c r="N259" s="38">
        <f t="shared" ref="N259:N322" si="4">M259*L259</f>
        <v>2.25</v>
      </c>
    </row>
    <row r="260" spans="1:14">
      <c r="A260" s="29">
        <v>42702</v>
      </c>
      <c r="B260" s="22" t="s">
        <v>57</v>
      </c>
      <c r="C260" s="22" t="s">
        <v>47</v>
      </c>
      <c r="D260" s="48" t="s">
        <v>5</v>
      </c>
      <c r="E260" t="s">
        <v>255</v>
      </c>
      <c r="F260">
        <v>2016</v>
      </c>
      <c r="G260" t="s">
        <v>57</v>
      </c>
      <c r="H260" s="42">
        <v>424</v>
      </c>
      <c r="J260" t="s">
        <v>248</v>
      </c>
      <c r="L260" s="34">
        <v>3</v>
      </c>
      <c r="M260" s="38">
        <v>0.75</v>
      </c>
      <c r="N260" s="38">
        <f t="shared" si="4"/>
        <v>2.25</v>
      </c>
    </row>
    <row r="261" spans="1:14">
      <c r="A261" s="29">
        <v>42702</v>
      </c>
      <c r="B261" s="22" t="s">
        <v>79</v>
      </c>
      <c r="C261" s="22" t="s">
        <v>57</v>
      </c>
      <c r="D261" s="48" t="s">
        <v>11</v>
      </c>
      <c r="E261" t="s">
        <v>259</v>
      </c>
      <c r="F261">
        <v>2015</v>
      </c>
      <c r="G261" t="s">
        <v>57</v>
      </c>
      <c r="H261" s="42">
        <v>39</v>
      </c>
      <c r="J261" t="s">
        <v>248</v>
      </c>
      <c r="L261" s="34">
        <v>1</v>
      </c>
      <c r="M261" s="38">
        <v>0.75</v>
      </c>
      <c r="N261" s="38">
        <f t="shared" si="4"/>
        <v>0.75</v>
      </c>
    </row>
    <row r="262" spans="1:14">
      <c r="A262" s="29">
        <v>42702</v>
      </c>
      <c r="B262" s="22" t="s">
        <v>57</v>
      </c>
      <c r="C262" s="22" t="s">
        <v>47</v>
      </c>
      <c r="D262" s="48" t="s">
        <v>11</v>
      </c>
      <c r="E262" t="s">
        <v>259</v>
      </c>
      <c r="F262">
        <v>2016</v>
      </c>
      <c r="G262" t="s">
        <v>320</v>
      </c>
      <c r="H262" s="42" t="s">
        <v>57</v>
      </c>
      <c r="J262" t="s">
        <v>248</v>
      </c>
      <c r="L262" s="34">
        <v>1</v>
      </c>
      <c r="M262" s="38">
        <v>0.75</v>
      </c>
      <c r="N262" s="38">
        <f t="shared" si="4"/>
        <v>0.75</v>
      </c>
    </row>
    <row r="263" spans="1:14">
      <c r="A263" s="29">
        <v>42702</v>
      </c>
      <c r="B263" s="22" t="s">
        <v>79</v>
      </c>
      <c r="C263" s="22" t="s">
        <v>57</v>
      </c>
      <c r="D263" s="48" t="s">
        <v>11</v>
      </c>
      <c r="E263" t="s">
        <v>259</v>
      </c>
      <c r="F263">
        <v>2016</v>
      </c>
      <c r="G263" t="s">
        <v>320</v>
      </c>
      <c r="H263" s="42" t="s">
        <v>57</v>
      </c>
      <c r="J263" t="s">
        <v>248</v>
      </c>
      <c r="L263" s="34">
        <v>2</v>
      </c>
      <c r="M263" s="38">
        <v>0.75</v>
      </c>
      <c r="N263" s="38">
        <f t="shared" si="4"/>
        <v>1.5</v>
      </c>
    </row>
    <row r="264" spans="1:14">
      <c r="A264" s="29">
        <v>42702</v>
      </c>
      <c r="B264" s="22" t="s">
        <v>79</v>
      </c>
      <c r="C264" s="22" t="s">
        <v>57</v>
      </c>
      <c r="D264" s="48" t="s">
        <v>5</v>
      </c>
      <c r="E264" t="s">
        <v>255</v>
      </c>
      <c r="F264">
        <v>2016</v>
      </c>
      <c r="G264" t="s">
        <v>57</v>
      </c>
      <c r="H264" s="42">
        <v>424</v>
      </c>
      <c r="J264" t="s">
        <v>248</v>
      </c>
      <c r="L264" s="34">
        <v>2</v>
      </c>
      <c r="M264" s="38">
        <v>0.75</v>
      </c>
      <c r="N264" s="38">
        <f t="shared" si="4"/>
        <v>1.5</v>
      </c>
    </row>
    <row r="265" spans="1:14">
      <c r="A265" s="29">
        <v>42702</v>
      </c>
      <c r="B265" s="22" t="s">
        <v>79</v>
      </c>
      <c r="C265" s="22" t="s">
        <v>57</v>
      </c>
      <c r="D265" s="48" t="s">
        <v>5</v>
      </c>
      <c r="E265" t="s">
        <v>306</v>
      </c>
      <c r="F265">
        <v>2016</v>
      </c>
      <c r="G265" t="s">
        <v>307</v>
      </c>
      <c r="H265" s="42">
        <v>200</v>
      </c>
      <c r="J265" t="s">
        <v>248</v>
      </c>
      <c r="L265" s="34">
        <v>1</v>
      </c>
      <c r="M265" s="38">
        <v>0.75</v>
      </c>
      <c r="N265" s="38">
        <f t="shared" si="4"/>
        <v>0.75</v>
      </c>
    </row>
    <row r="266" spans="1:14">
      <c r="A266" s="29">
        <v>42702</v>
      </c>
      <c r="B266" s="22" t="s">
        <v>79</v>
      </c>
      <c r="C266" s="22" t="s">
        <v>57</v>
      </c>
      <c r="D266" s="48" t="s">
        <v>5</v>
      </c>
      <c r="E266" t="s">
        <v>262</v>
      </c>
      <c r="F266">
        <v>2015</v>
      </c>
      <c r="G266" t="s">
        <v>321</v>
      </c>
      <c r="H266" s="42" t="s">
        <v>322</v>
      </c>
      <c r="J266" t="s">
        <v>248</v>
      </c>
      <c r="L266" s="34">
        <v>1</v>
      </c>
      <c r="M266" s="38">
        <v>0.75</v>
      </c>
      <c r="N266" s="38">
        <f t="shared" si="4"/>
        <v>0.75</v>
      </c>
    </row>
    <row r="267" spans="1:14">
      <c r="A267" s="29">
        <v>42702</v>
      </c>
      <c r="B267" s="22" t="s">
        <v>79</v>
      </c>
      <c r="C267" s="22" t="s">
        <v>57</v>
      </c>
      <c r="D267" s="48" t="s">
        <v>8</v>
      </c>
      <c r="E267" t="s">
        <v>179</v>
      </c>
      <c r="F267">
        <v>2016</v>
      </c>
      <c r="G267" t="s">
        <v>57</v>
      </c>
      <c r="H267" s="42">
        <v>209</v>
      </c>
      <c r="J267" t="s">
        <v>248</v>
      </c>
      <c r="L267" s="34">
        <v>1</v>
      </c>
      <c r="M267" s="38">
        <v>0.75</v>
      </c>
      <c r="N267" s="38">
        <f t="shared" si="4"/>
        <v>0.75</v>
      </c>
    </row>
    <row r="268" spans="1:14">
      <c r="A268" s="29">
        <v>42702</v>
      </c>
      <c r="B268" s="22" t="s">
        <v>57</v>
      </c>
      <c r="C268" s="22" t="s">
        <v>45</v>
      </c>
      <c r="D268" s="48" t="s">
        <v>5</v>
      </c>
      <c r="E268" t="s">
        <v>159</v>
      </c>
      <c r="F268">
        <v>2016</v>
      </c>
      <c r="G268" t="s">
        <v>251</v>
      </c>
      <c r="H268" s="42">
        <v>401</v>
      </c>
      <c r="J268" t="s">
        <v>248</v>
      </c>
      <c r="L268" s="34">
        <v>2</v>
      </c>
      <c r="M268" s="38">
        <v>0.75</v>
      </c>
      <c r="N268" s="38">
        <f t="shared" si="4"/>
        <v>1.5</v>
      </c>
    </row>
    <row r="269" spans="1:14">
      <c r="A269" s="29">
        <v>42702</v>
      </c>
      <c r="B269" s="22" t="s">
        <v>57</v>
      </c>
      <c r="C269" s="22" t="s">
        <v>45</v>
      </c>
      <c r="D269" s="48" t="s">
        <v>5</v>
      </c>
      <c r="E269" t="s">
        <v>157</v>
      </c>
      <c r="F269">
        <v>2016</v>
      </c>
      <c r="G269" t="s">
        <v>250</v>
      </c>
      <c r="H269" s="42">
        <v>14</v>
      </c>
      <c r="J269" t="s">
        <v>248</v>
      </c>
      <c r="L269" s="34">
        <v>2</v>
      </c>
      <c r="M269" s="38">
        <v>0.75</v>
      </c>
      <c r="N269" s="38">
        <f t="shared" si="4"/>
        <v>1.5</v>
      </c>
    </row>
    <row r="270" spans="1:14">
      <c r="A270" s="29">
        <v>42702</v>
      </c>
      <c r="B270" s="22" t="s">
        <v>57</v>
      </c>
      <c r="C270" s="22" t="s">
        <v>45</v>
      </c>
      <c r="D270" s="48" t="s">
        <v>5</v>
      </c>
      <c r="E270" t="s">
        <v>157</v>
      </c>
      <c r="F270">
        <v>2016</v>
      </c>
      <c r="G270" t="s">
        <v>254</v>
      </c>
      <c r="H270" s="42">
        <v>411</v>
      </c>
      <c r="J270" t="s">
        <v>248</v>
      </c>
      <c r="L270" s="34">
        <v>2</v>
      </c>
      <c r="M270" s="38">
        <v>0.75</v>
      </c>
      <c r="N270" s="38">
        <f t="shared" si="4"/>
        <v>1.5</v>
      </c>
    </row>
    <row r="271" spans="1:14">
      <c r="A271" s="29">
        <v>42702</v>
      </c>
      <c r="B271" s="22" t="s">
        <v>57</v>
      </c>
      <c r="C271" s="22" t="s">
        <v>45</v>
      </c>
      <c r="D271" s="48" t="s">
        <v>5</v>
      </c>
      <c r="E271" t="s">
        <v>306</v>
      </c>
      <c r="F271">
        <v>2016</v>
      </c>
      <c r="G271" t="s">
        <v>307</v>
      </c>
      <c r="H271" s="42">
        <v>200</v>
      </c>
      <c r="J271" t="s">
        <v>248</v>
      </c>
      <c r="L271" s="34">
        <v>2</v>
      </c>
      <c r="M271" s="38">
        <v>0.75</v>
      </c>
      <c r="N271" s="38">
        <f t="shared" si="4"/>
        <v>1.5</v>
      </c>
    </row>
    <row r="272" spans="1:14">
      <c r="A272" s="29">
        <v>42702</v>
      </c>
      <c r="B272" s="22" t="s">
        <v>57</v>
      </c>
      <c r="C272" s="22" t="s">
        <v>45</v>
      </c>
      <c r="D272" s="48" t="s">
        <v>8</v>
      </c>
      <c r="E272" t="s">
        <v>272</v>
      </c>
      <c r="F272">
        <v>2016</v>
      </c>
      <c r="G272" t="s">
        <v>323</v>
      </c>
      <c r="H272" s="42" t="s">
        <v>57</v>
      </c>
      <c r="J272" t="s">
        <v>248</v>
      </c>
      <c r="K272" t="s">
        <v>324</v>
      </c>
      <c r="L272" s="34">
        <v>2</v>
      </c>
      <c r="M272" s="38">
        <v>0.75</v>
      </c>
      <c r="N272" s="38">
        <f t="shared" si="4"/>
        <v>1.5</v>
      </c>
    </row>
    <row r="273" spans="1:14">
      <c r="A273" s="29">
        <v>42702</v>
      </c>
      <c r="B273" s="22" t="s">
        <v>57</v>
      </c>
      <c r="C273" s="22" t="s">
        <v>22</v>
      </c>
      <c r="D273" s="48" t="s">
        <v>11</v>
      </c>
      <c r="E273" t="s">
        <v>179</v>
      </c>
      <c r="F273">
        <v>2016</v>
      </c>
      <c r="G273" t="s">
        <v>318</v>
      </c>
      <c r="H273" s="42" t="s">
        <v>57</v>
      </c>
      <c r="J273" t="s">
        <v>248</v>
      </c>
      <c r="L273" s="34">
        <v>3</v>
      </c>
      <c r="M273" s="38">
        <v>0.75</v>
      </c>
      <c r="N273" s="38">
        <f t="shared" si="4"/>
        <v>2.25</v>
      </c>
    </row>
    <row r="274" spans="1:14">
      <c r="A274" s="29">
        <v>42702</v>
      </c>
      <c r="B274" s="22" t="s">
        <v>57</v>
      </c>
      <c r="C274" s="22" t="s">
        <v>22</v>
      </c>
      <c r="D274" s="48" t="s">
        <v>11</v>
      </c>
      <c r="E274" t="s">
        <v>177</v>
      </c>
      <c r="F274">
        <v>2016</v>
      </c>
      <c r="G274" t="s">
        <v>317</v>
      </c>
      <c r="H274" s="42" t="s">
        <v>57</v>
      </c>
      <c r="J274" t="s">
        <v>248</v>
      </c>
      <c r="L274" s="34">
        <v>3</v>
      </c>
      <c r="M274" s="38">
        <v>0.75</v>
      </c>
      <c r="N274" s="38">
        <f t="shared" si="4"/>
        <v>2.25</v>
      </c>
    </row>
    <row r="275" spans="1:14">
      <c r="A275" s="29">
        <v>42702</v>
      </c>
      <c r="B275" s="22" t="s">
        <v>63</v>
      </c>
      <c r="C275" s="22" t="s">
        <v>57</v>
      </c>
      <c r="D275" s="48" t="s">
        <v>11</v>
      </c>
      <c r="E275" t="s">
        <v>177</v>
      </c>
      <c r="F275">
        <v>2016</v>
      </c>
      <c r="G275" t="s">
        <v>317</v>
      </c>
      <c r="H275" s="42" t="s">
        <v>57</v>
      </c>
      <c r="J275" t="s">
        <v>248</v>
      </c>
      <c r="L275" s="34">
        <v>2</v>
      </c>
      <c r="M275" s="38">
        <v>0.75</v>
      </c>
      <c r="N275" s="38">
        <f t="shared" si="4"/>
        <v>1.5</v>
      </c>
    </row>
    <row r="276" spans="1:14">
      <c r="A276" s="29">
        <v>42702</v>
      </c>
      <c r="B276" s="22" t="s">
        <v>63</v>
      </c>
      <c r="C276" s="22" t="s">
        <v>57</v>
      </c>
      <c r="D276" s="48" t="s">
        <v>11</v>
      </c>
      <c r="E276" t="s">
        <v>179</v>
      </c>
      <c r="F276">
        <v>2016</v>
      </c>
      <c r="G276" t="s">
        <v>318</v>
      </c>
      <c r="H276" s="42" t="s">
        <v>57</v>
      </c>
      <c r="J276" t="s">
        <v>248</v>
      </c>
      <c r="L276" s="34">
        <v>2</v>
      </c>
      <c r="M276" s="38">
        <v>0.75</v>
      </c>
      <c r="N276" s="38">
        <f t="shared" si="4"/>
        <v>1.5</v>
      </c>
    </row>
    <row r="277" spans="1:14">
      <c r="A277" s="29">
        <v>42703</v>
      </c>
      <c r="B277" s="22" t="s">
        <v>50</v>
      </c>
      <c r="C277" s="22" t="s">
        <v>57</v>
      </c>
      <c r="D277" s="48" t="s">
        <v>5</v>
      </c>
      <c r="E277" t="s">
        <v>157</v>
      </c>
      <c r="F277">
        <v>2016</v>
      </c>
      <c r="G277" t="s">
        <v>254</v>
      </c>
      <c r="H277" s="42">
        <v>411</v>
      </c>
      <c r="J277" t="s">
        <v>248</v>
      </c>
      <c r="L277" s="34">
        <v>2</v>
      </c>
      <c r="M277" s="38">
        <v>0.75</v>
      </c>
      <c r="N277" s="38">
        <f t="shared" si="4"/>
        <v>1.5</v>
      </c>
    </row>
    <row r="278" spans="1:14">
      <c r="A278" s="29">
        <v>42703</v>
      </c>
      <c r="B278" s="22" t="s">
        <v>50</v>
      </c>
      <c r="C278" s="22" t="s">
        <v>57</v>
      </c>
      <c r="D278" s="48" t="s">
        <v>8</v>
      </c>
      <c r="E278" t="s">
        <v>180</v>
      </c>
      <c r="F278">
        <v>2016</v>
      </c>
      <c r="G278" t="s">
        <v>57</v>
      </c>
      <c r="H278" s="42">
        <v>190</v>
      </c>
      <c r="J278" t="s">
        <v>248</v>
      </c>
      <c r="L278" s="34">
        <v>2</v>
      </c>
      <c r="M278" s="38">
        <v>0.75</v>
      </c>
      <c r="N278" s="38">
        <f t="shared" si="4"/>
        <v>1.5</v>
      </c>
    </row>
    <row r="279" spans="1:14">
      <c r="A279" s="29">
        <v>42703</v>
      </c>
      <c r="B279" s="22" t="s">
        <v>50</v>
      </c>
      <c r="C279" s="22" t="s">
        <v>57</v>
      </c>
      <c r="D279" s="48" t="s">
        <v>11</v>
      </c>
      <c r="E279" t="s">
        <v>180</v>
      </c>
      <c r="F279">
        <v>2016</v>
      </c>
      <c r="G279" t="s">
        <v>325</v>
      </c>
      <c r="H279" s="42" t="s">
        <v>57</v>
      </c>
      <c r="J279" t="s">
        <v>248</v>
      </c>
      <c r="L279" s="34">
        <v>2</v>
      </c>
      <c r="M279" s="38">
        <v>0.75</v>
      </c>
      <c r="N279" s="38">
        <f t="shared" si="4"/>
        <v>1.5</v>
      </c>
    </row>
    <row r="280" spans="1:14">
      <c r="A280" s="29">
        <v>42703</v>
      </c>
      <c r="B280" s="22" t="s">
        <v>50</v>
      </c>
      <c r="C280" s="22" t="s">
        <v>57</v>
      </c>
      <c r="D280" s="48" t="s">
        <v>11</v>
      </c>
      <c r="E280" t="s">
        <v>180</v>
      </c>
      <c r="F280">
        <v>2016</v>
      </c>
      <c r="G280" t="s">
        <v>325</v>
      </c>
      <c r="H280" s="42" t="s">
        <v>57</v>
      </c>
      <c r="J280" t="s">
        <v>248</v>
      </c>
      <c r="L280" s="34">
        <v>2</v>
      </c>
      <c r="M280" s="38">
        <v>0.75</v>
      </c>
      <c r="N280" s="38">
        <f t="shared" si="4"/>
        <v>1.5</v>
      </c>
    </row>
    <row r="281" spans="1:14">
      <c r="A281" s="29">
        <v>42703</v>
      </c>
      <c r="B281" s="22" t="s">
        <v>109</v>
      </c>
      <c r="C281" s="22" t="s">
        <v>57</v>
      </c>
      <c r="D281" s="48" t="s">
        <v>5</v>
      </c>
      <c r="E281" t="s">
        <v>157</v>
      </c>
      <c r="F281">
        <v>2016</v>
      </c>
      <c r="G281" t="s">
        <v>309</v>
      </c>
      <c r="H281" s="42" t="s">
        <v>57</v>
      </c>
      <c r="J281" t="s">
        <v>248</v>
      </c>
      <c r="L281" s="34">
        <v>3</v>
      </c>
      <c r="M281" s="38">
        <v>0.75</v>
      </c>
      <c r="N281" s="38">
        <f t="shared" si="4"/>
        <v>2.25</v>
      </c>
    </row>
    <row r="282" spans="1:14">
      <c r="A282" s="29">
        <v>42703</v>
      </c>
      <c r="B282" s="22" t="s">
        <v>109</v>
      </c>
      <c r="C282" s="22" t="s">
        <v>57</v>
      </c>
      <c r="D282" s="48" t="s">
        <v>8</v>
      </c>
      <c r="E282" t="s">
        <v>179</v>
      </c>
      <c r="F282">
        <v>2016</v>
      </c>
      <c r="G282" t="s">
        <v>57</v>
      </c>
      <c r="H282" s="42">
        <v>201</v>
      </c>
      <c r="J282" t="s">
        <v>248</v>
      </c>
      <c r="L282" s="34">
        <v>3</v>
      </c>
      <c r="M282" s="38">
        <v>0.75</v>
      </c>
      <c r="N282" s="38">
        <f t="shared" si="4"/>
        <v>2.25</v>
      </c>
    </row>
    <row r="283" spans="1:14">
      <c r="A283" s="29">
        <v>42703</v>
      </c>
      <c r="B283" s="22" t="s">
        <v>42</v>
      </c>
      <c r="C283" s="22" t="s">
        <v>57</v>
      </c>
      <c r="D283" s="48" t="s">
        <v>5</v>
      </c>
      <c r="E283" t="s">
        <v>159</v>
      </c>
      <c r="F283">
        <v>2016</v>
      </c>
      <c r="G283" t="s">
        <v>251</v>
      </c>
      <c r="H283" s="42">
        <v>401</v>
      </c>
      <c r="J283" t="s">
        <v>248</v>
      </c>
      <c r="L283" s="34">
        <v>3</v>
      </c>
      <c r="M283" s="38">
        <v>0.75</v>
      </c>
      <c r="N283" s="38">
        <f t="shared" si="4"/>
        <v>2.25</v>
      </c>
    </row>
    <row r="284" spans="1:14">
      <c r="A284" s="29">
        <v>42703</v>
      </c>
      <c r="B284" s="22" t="s">
        <v>9</v>
      </c>
      <c r="C284" s="22" t="s">
        <v>41</v>
      </c>
      <c r="D284" s="48" t="s">
        <v>8</v>
      </c>
      <c r="E284" t="s">
        <v>272</v>
      </c>
      <c r="F284">
        <v>2016</v>
      </c>
      <c r="G284" t="s">
        <v>273</v>
      </c>
      <c r="H284" s="42" t="s">
        <v>57</v>
      </c>
      <c r="J284" t="s">
        <v>248</v>
      </c>
      <c r="L284" s="34">
        <v>1</v>
      </c>
      <c r="M284" s="38">
        <v>0.75</v>
      </c>
      <c r="N284" s="38">
        <f t="shared" si="4"/>
        <v>0.75</v>
      </c>
    </row>
    <row r="285" spans="1:14">
      <c r="A285" s="29">
        <v>42704</v>
      </c>
      <c r="B285" s="22" t="s">
        <v>63</v>
      </c>
      <c r="C285" s="22" t="s">
        <v>57</v>
      </c>
      <c r="D285" s="48" t="s">
        <v>5</v>
      </c>
      <c r="E285" t="s">
        <v>159</v>
      </c>
      <c r="F285">
        <v>2016</v>
      </c>
      <c r="G285" t="s">
        <v>326</v>
      </c>
      <c r="H285" s="42">
        <v>423</v>
      </c>
      <c r="J285" t="s">
        <v>248</v>
      </c>
      <c r="L285" s="34">
        <v>1</v>
      </c>
      <c r="M285" s="38">
        <v>0.75</v>
      </c>
      <c r="N285" s="38">
        <f t="shared" si="4"/>
        <v>0.75</v>
      </c>
    </row>
    <row r="286" spans="1:14">
      <c r="A286" s="29">
        <v>42704</v>
      </c>
      <c r="B286" s="22" t="s">
        <v>63</v>
      </c>
      <c r="C286" s="22" t="s">
        <v>57</v>
      </c>
      <c r="D286" s="48" t="s">
        <v>5</v>
      </c>
      <c r="E286" t="s">
        <v>159</v>
      </c>
      <c r="F286">
        <v>2016</v>
      </c>
      <c r="G286" t="s">
        <v>247</v>
      </c>
      <c r="H286" s="42">
        <v>75</v>
      </c>
      <c r="J286" t="s">
        <v>248</v>
      </c>
      <c r="L286" s="34">
        <v>1</v>
      </c>
      <c r="M286" s="38">
        <v>0.75</v>
      </c>
      <c r="N286" s="38">
        <f t="shared" si="4"/>
        <v>0.75</v>
      </c>
    </row>
    <row r="287" spans="1:14">
      <c r="A287" s="29">
        <v>42704</v>
      </c>
      <c r="B287" s="22" t="s">
        <v>80</v>
      </c>
      <c r="C287" s="22" t="s">
        <v>327</v>
      </c>
      <c r="D287" s="48" t="s">
        <v>5</v>
      </c>
      <c r="E287" t="s">
        <v>157</v>
      </c>
      <c r="F287">
        <v>2016</v>
      </c>
      <c r="G287" t="s">
        <v>328</v>
      </c>
      <c r="H287" s="42" t="s">
        <v>57</v>
      </c>
      <c r="J287" t="s">
        <v>248</v>
      </c>
      <c r="L287" s="34">
        <v>1</v>
      </c>
      <c r="M287" s="38">
        <v>0.75</v>
      </c>
      <c r="N287" s="38">
        <f t="shared" si="4"/>
        <v>0.75</v>
      </c>
    </row>
    <row r="288" spans="1:14">
      <c r="A288" s="29">
        <v>42704</v>
      </c>
      <c r="B288" s="22" t="s">
        <v>80</v>
      </c>
      <c r="C288" s="22" t="s">
        <v>327</v>
      </c>
      <c r="D288" s="48" t="s">
        <v>5</v>
      </c>
      <c r="E288" t="s">
        <v>157</v>
      </c>
      <c r="F288">
        <v>2016</v>
      </c>
      <c r="G288" t="s">
        <v>329</v>
      </c>
      <c r="H288" s="42" t="s">
        <v>57</v>
      </c>
      <c r="J288" t="s">
        <v>248</v>
      </c>
      <c r="L288" s="34">
        <v>1</v>
      </c>
      <c r="M288" s="38">
        <v>0.75</v>
      </c>
      <c r="N288" s="38">
        <f t="shared" si="4"/>
        <v>0.75</v>
      </c>
    </row>
    <row r="289" spans="1:14">
      <c r="A289" s="29">
        <v>42704</v>
      </c>
      <c r="B289" s="22" t="s">
        <v>80</v>
      </c>
      <c r="C289" s="22" t="s">
        <v>327</v>
      </c>
      <c r="D289" s="48" t="s">
        <v>5</v>
      </c>
      <c r="E289" t="s">
        <v>157</v>
      </c>
      <c r="F289">
        <v>2016</v>
      </c>
      <c r="G289" t="s">
        <v>330</v>
      </c>
      <c r="H289" s="42" t="s">
        <v>57</v>
      </c>
      <c r="J289" t="s">
        <v>248</v>
      </c>
      <c r="L289" s="34">
        <v>1</v>
      </c>
      <c r="M289" s="38">
        <v>0.75</v>
      </c>
      <c r="N289" s="38">
        <f t="shared" si="4"/>
        <v>0.75</v>
      </c>
    </row>
    <row r="290" spans="1:14">
      <c r="A290" s="29">
        <v>42704</v>
      </c>
      <c r="B290" s="22" t="s">
        <v>66</v>
      </c>
      <c r="C290" s="22" t="s">
        <v>57</v>
      </c>
      <c r="D290" s="48" t="s">
        <v>5</v>
      </c>
      <c r="E290" t="s">
        <v>159</v>
      </c>
      <c r="F290">
        <v>2016</v>
      </c>
      <c r="G290" t="s">
        <v>319</v>
      </c>
      <c r="H290" s="42">
        <v>401</v>
      </c>
      <c r="J290" t="s">
        <v>248</v>
      </c>
      <c r="L290" s="34">
        <v>3</v>
      </c>
      <c r="M290" s="38">
        <v>0.75</v>
      </c>
      <c r="N290" s="38">
        <f t="shared" si="4"/>
        <v>2.25</v>
      </c>
    </row>
    <row r="291" spans="1:14">
      <c r="A291" s="29">
        <v>42704</v>
      </c>
      <c r="B291" s="22" t="s">
        <v>66</v>
      </c>
      <c r="C291" s="22" t="s">
        <v>57</v>
      </c>
      <c r="D291" s="48" t="s">
        <v>5</v>
      </c>
      <c r="E291" t="s">
        <v>306</v>
      </c>
      <c r="F291">
        <v>2016</v>
      </c>
      <c r="G291" t="s">
        <v>307</v>
      </c>
      <c r="H291" s="42">
        <v>200</v>
      </c>
      <c r="J291" t="s">
        <v>248</v>
      </c>
      <c r="L291" s="34">
        <v>3</v>
      </c>
      <c r="M291" s="38">
        <v>0.75</v>
      </c>
      <c r="N291" s="38">
        <f t="shared" si="4"/>
        <v>2.25</v>
      </c>
    </row>
    <row r="292" spans="1:14">
      <c r="A292" s="29">
        <v>42704</v>
      </c>
      <c r="B292" s="22" t="s">
        <v>28</v>
      </c>
      <c r="C292" s="22" t="s">
        <v>271</v>
      </c>
      <c r="D292" s="48" t="s">
        <v>8</v>
      </c>
      <c r="E292" t="s">
        <v>179</v>
      </c>
      <c r="F292">
        <v>2016</v>
      </c>
      <c r="G292" t="s">
        <v>318</v>
      </c>
      <c r="H292" s="42">
        <v>201</v>
      </c>
      <c r="J292" t="s">
        <v>248</v>
      </c>
      <c r="L292" s="34">
        <v>4</v>
      </c>
      <c r="M292" s="38">
        <v>0.75</v>
      </c>
      <c r="N292" s="38">
        <f t="shared" si="4"/>
        <v>3</v>
      </c>
    </row>
    <row r="293" spans="1:14">
      <c r="A293" s="29">
        <v>42705</v>
      </c>
      <c r="B293" s="22" t="s">
        <v>63</v>
      </c>
      <c r="C293" s="22" t="s">
        <v>57</v>
      </c>
      <c r="D293" s="48" t="s">
        <v>5</v>
      </c>
      <c r="E293" t="s">
        <v>159</v>
      </c>
      <c r="F293">
        <v>2016</v>
      </c>
      <c r="G293" t="s">
        <v>326</v>
      </c>
      <c r="H293" s="42">
        <v>423</v>
      </c>
      <c r="J293" t="s">
        <v>248</v>
      </c>
      <c r="L293" s="34">
        <v>1</v>
      </c>
      <c r="M293" s="38">
        <v>0.75</v>
      </c>
      <c r="N293" s="38">
        <f t="shared" si="4"/>
        <v>0.75</v>
      </c>
    </row>
    <row r="294" spans="1:14">
      <c r="A294" s="29">
        <v>42705</v>
      </c>
      <c r="B294" s="22" t="s">
        <v>63</v>
      </c>
      <c r="C294" s="22" t="s">
        <v>57</v>
      </c>
      <c r="D294" s="48" t="s">
        <v>5</v>
      </c>
      <c r="E294" t="s">
        <v>159</v>
      </c>
      <c r="F294">
        <v>2016</v>
      </c>
      <c r="G294" t="s">
        <v>247</v>
      </c>
      <c r="H294" s="42">
        <v>75</v>
      </c>
      <c r="J294" t="s">
        <v>248</v>
      </c>
      <c r="L294" s="34">
        <v>1</v>
      </c>
      <c r="M294" s="38">
        <v>0.75</v>
      </c>
      <c r="N294" s="38">
        <f t="shared" si="4"/>
        <v>0.75</v>
      </c>
    </row>
    <row r="295" spans="1:14">
      <c r="A295" s="29">
        <v>42705</v>
      </c>
      <c r="B295" s="22" t="s">
        <v>57</v>
      </c>
      <c r="C295" s="22" t="s">
        <v>22</v>
      </c>
      <c r="D295" s="48" t="s">
        <v>5</v>
      </c>
      <c r="E295" t="s">
        <v>159</v>
      </c>
      <c r="F295">
        <v>2016</v>
      </c>
      <c r="G295" t="s">
        <v>319</v>
      </c>
      <c r="H295" s="42">
        <v>401</v>
      </c>
      <c r="J295" t="s">
        <v>248</v>
      </c>
      <c r="L295" s="34">
        <v>2</v>
      </c>
      <c r="M295" s="38">
        <v>0.75</v>
      </c>
      <c r="N295" s="38">
        <f t="shared" si="4"/>
        <v>1.5</v>
      </c>
    </row>
    <row r="296" spans="1:14">
      <c r="A296" s="29">
        <v>42705</v>
      </c>
      <c r="B296" s="22" t="s">
        <v>57</v>
      </c>
      <c r="C296" s="22" t="s">
        <v>22</v>
      </c>
      <c r="D296" s="48" t="s">
        <v>5</v>
      </c>
      <c r="E296" t="s">
        <v>157</v>
      </c>
      <c r="F296">
        <v>2016</v>
      </c>
      <c r="G296" t="s">
        <v>250</v>
      </c>
      <c r="H296" s="42">
        <v>14</v>
      </c>
      <c r="J296" t="s">
        <v>248</v>
      </c>
      <c r="L296" s="34">
        <v>2</v>
      </c>
      <c r="M296" s="38">
        <v>0.75</v>
      </c>
      <c r="N296" s="38">
        <f t="shared" si="4"/>
        <v>1.5</v>
      </c>
    </row>
    <row r="297" spans="1:14">
      <c r="A297" s="29">
        <v>42706</v>
      </c>
      <c r="B297" s="22" t="s">
        <v>106</v>
      </c>
      <c r="C297" s="22" t="s">
        <v>34</v>
      </c>
      <c r="D297" s="48" t="s">
        <v>8</v>
      </c>
      <c r="E297" t="s">
        <v>183</v>
      </c>
      <c r="F297">
        <v>2016</v>
      </c>
      <c r="G297" t="s">
        <v>275</v>
      </c>
      <c r="H297" s="42" t="s">
        <v>57</v>
      </c>
      <c r="J297" t="s">
        <v>248</v>
      </c>
      <c r="K297" t="s">
        <v>331</v>
      </c>
      <c r="L297" s="34">
        <v>2</v>
      </c>
      <c r="M297" s="38">
        <v>0.75</v>
      </c>
      <c r="N297" s="38">
        <f t="shared" si="4"/>
        <v>1.5</v>
      </c>
    </row>
    <row r="298" spans="1:14">
      <c r="A298" s="29">
        <v>42709</v>
      </c>
      <c r="B298" s="22" t="s">
        <v>63</v>
      </c>
      <c r="C298" s="22" t="s">
        <v>57</v>
      </c>
      <c r="D298" s="48" t="s">
        <v>5</v>
      </c>
      <c r="E298" t="s">
        <v>157</v>
      </c>
      <c r="F298">
        <v>2016</v>
      </c>
      <c r="G298" t="s">
        <v>254</v>
      </c>
      <c r="H298" s="42">
        <v>411</v>
      </c>
      <c r="J298" t="s">
        <v>248</v>
      </c>
      <c r="L298" s="34">
        <v>2</v>
      </c>
      <c r="M298" s="38">
        <v>0.75</v>
      </c>
      <c r="N298" s="38">
        <f t="shared" si="4"/>
        <v>1.5</v>
      </c>
    </row>
    <row r="299" spans="1:14">
      <c r="A299" s="29">
        <v>42709</v>
      </c>
      <c r="B299" s="22" t="s">
        <v>63</v>
      </c>
      <c r="C299" s="22" t="s">
        <v>57</v>
      </c>
      <c r="D299" s="48" t="s">
        <v>5</v>
      </c>
      <c r="E299" t="s">
        <v>157</v>
      </c>
      <c r="F299">
        <v>2016</v>
      </c>
      <c r="G299" t="s">
        <v>250</v>
      </c>
      <c r="H299" s="42">
        <v>14</v>
      </c>
      <c r="J299" t="s">
        <v>248</v>
      </c>
      <c r="L299" s="34">
        <v>2</v>
      </c>
      <c r="M299" s="38">
        <v>0.75</v>
      </c>
      <c r="N299" s="38">
        <f t="shared" si="4"/>
        <v>1.5</v>
      </c>
    </row>
    <row r="300" spans="1:14">
      <c r="A300" s="29">
        <v>42709</v>
      </c>
      <c r="B300" s="22" t="s">
        <v>63</v>
      </c>
      <c r="C300" s="22" t="s">
        <v>57</v>
      </c>
      <c r="D300" s="48" t="s">
        <v>5</v>
      </c>
      <c r="E300" t="s">
        <v>157</v>
      </c>
      <c r="F300">
        <v>2016</v>
      </c>
      <c r="G300" t="s">
        <v>247</v>
      </c>
      <c r="H300" s="42">
        <v>307</v>
      </c>
      <c r="J300" t="s">
        <v>248</v>
      </c>
      <c r="L300" s="34">
        <v>2</v>
      </c>
      <c r="M300" s="38">
        <v>0.75</v>
      </c>
      <c r="N300" s="38">
        <f t="shared" si="4"/>
        <v>1.5</v>
      </c>
    </row>
    <row r="301" spans="1:14">
      <c r="A301" s="29">
        <v>42709</v>
      </c>
      <c r="B301" s="22" t="s">
        <v>63</v>
      </c>
      <c r="C301" s="22" t="s">
        <v>57</v>
      </c>
      <c r="D301" s="48" t="s">
        <v>5</v>
      </c>
      <c r="E301" t="s">
        <v>255</v>
      </c>
      <c r="F301">
        <v>2016</v>
      </c>
      <c r="G301" t="s">
        <v>57</v>
      </c>
      <c r="H301" s="42">
        <v>424</v>
      </c>
      <c r="J301" t="s">
        <v>248</v>
      </c>
      <c r="L301" s="34">
        <v>2</v>
      </c>
      <c r="M301" s="38">
        <v>0.75</v>
      </c>
      <c r="N301" s="38">
        <f t="shared" si="4"/>
        <v>1.5</v>
      </c>
    </row>
    <row r="302" spans="1:14">
      <c r="A302" s="29">
        <v>42709</v>
      </c>
      <c r="B302" s="22" t="s">
        <v>63</v>
      </c>
      <c r="C302" s="22" t="s">
        <v>57</v>
      </c>
      <c r="D302" s="48" t="s">
        <v>11</v>
      </c>
      <c r="E302" t="s">
        <v>179</v>
      </c>
      <c r="F302">
        <v>2016</v>
      </c>
      <c r="G302" t="s">
        <v>332</v>
      </c>
      <c r="H302" s="42" t="s">
        <v>57</v>
      </c>
      <c r="J302" t="s">
        <v>248</v>
      </c>
      <c r="L302" s="34">
        <v>3</v>
      </c>
      <c r="M302" s="38">
        <v>0.75</v>
      </c>
      <c r="N302" s="38">
        <f t="shared" si="4"/>
        <v>2.25</v>
      </c>
    </row>
    <row r="303" spans="1:14">
      <c r="A303" s="29">
        <v>42709</v>
      </c>
      <c r="B303" s="22" t="s">
        <v>79</v>
      </c>
      <c r="C303" s="22" t="s">
        <v>57</v>
      </c>
      <c r="D303" s="48" t="s">
        <v>11</v>
      </c>
      <c r="E303" t="s">
        <v>177</v>
      </c>
      <c r="F303">
        <v>2016</v>
      </c>
      <c r="G303" t="s">
        <v>333</v>
      </c>
      <c r="H303" s="42" t="s">
        <v>57</v>
      </c>
      <c r="J303" t="s">
        <v>248</v>
      </c>
      <c r="L303" s="34">
        <v>3</v>
      </c>
      <c r="M303" s="38">
        <v>0.75</v>
      </c>
      <c r="N303" s="38">
        <f t="shared" si="4"/>
        <v>2.25</v>
      </c>
    </row>
    <row r="304" spans="1:14">
      <c r="A304" s="29">
        <v>42709</v>
      </c>
      <c r="B304" s="22" t="s">
        <v>79</v>
      </c>
      <c r="C304" s="22" t="s">
        <v>57</v>
      </c>
      <c r="D304" s="48" t="s">
        <v>5</v>
      </c>
      <c r="E304" t="s">
        <v>262</v>
      </c>
      <c r="F304">
        <v>2016</v>
      </c>
      <c r="G304" t="s">
        <v>307</v>
      </c>
      <c r="H304" s="42">
        <v>200</v>
      </c>
      <c r="J304" t="s">
        <v>248</v>
      </c>
      <c r="L304" s="34">
        <v>1</v>
      </c>
      <c r="M304" s="38">
        <v>0.75</v>
      </c>
      <c r="N304" s="38">
        <f t="shared" si="4"/>
        <v>0.75</v>
      </c>
    </row>
    <row r="305" spans="1:14">
      <c r="A305" s="29">
        <v>42709</v>
      </c>
      <c r="B305" s="22" t="s">
        <v>79</v>
      </c>
      <c r="C305" s="22" t="s">
        <v>57</v>
      </c>
      <c r="D305" s="48" t="s">
        <v>5</v>
      </c>
      <c r="E305" t="s">
        <v>159</v>
      </c>
      <c r="F305">
        <v>2016</v>
      </c>
      <c r="G305" t="s">
        <v>319</v>
      </c>
      <c r="H305" s="42">
        <v>401</v>
      </c>
      <c r="J305" t="s">
        <v>248</v>
      </c>
      <c r="L305" s="34">
        <v>1</v>
      </c>
      <c r="M305" s="38">
        <v>0.75</v>
      </c>
      <c r="N305" s="38">
        <f t="shared" si="4"/>
        <v>0.75</v>
      </c>
    </row>
    <row r="306" spans="1:14">
      <c r="A306" s="29">
        <v>42709</v>
      </c>
      <c r="B306" s="22" t="s">
        <v>79</v>
      </c>
      <c r="C306" s="22" t="s">
        <v>57</v>
      </c>
      <c r="D306" s="48" t="s">
        <v>5</v>
      </c>
      <c r="E306" t="s">
        <v>157</v>
      </c>
      <c r="F306">
        <v>2016</v>
      </c>
      <c r="G306" t="s">
        <v>254</v>
      </c>
      <c r="H306" s="42">
        <v>411</v>
      </c>
      <c r="J306" t="s">
        <v>248</v>
      </c>
      <c r="L306" s="34">
        <v>1</v>
      </c>
      <c r="M306" s="38">
        <v>0.75</v>
      </c>
      <c r="N306" s="38">
        <f t="shared" si="4"/>
        <v>0.75</v>
      </c>
    </row>
    <row r="307" spans="1:14">
      <c r="A307" s="29">
        <v>42709</v>
      </c>
      <c r="B307" s="22" t="s">
        <v>79</v>
      </c>
      <c r="C307" s="22" t="s">
        <v>57</v>
      </c>
      <c r="D307" s="48" t="s">
        <v>8</v>
      </c>
      <c r="E307" t="s">
        <v>272</v>
      </c>
      <c r="F307">
        <v>2016</v>
      </c>
      <c r="G307" t="s">
        <v>275</v>
      </c>
      <c r="H307" s="42" t="s">
        <v>57</v>
      </c>
      <c r="J307" t="s">
        <v>248</v>
      </c>
      <c r="L307" s="34">
        <v>1</v>
      </c>
      <c r="M307" s="38">
        <v>0.75</v>
      </c>
      <c r="N307" s="38">
        <f t="shared" si="4"/>
        <v>0.75</v>
      </c>
    </row>
    <row r="308" spans="1:14">
      <c r="A308" s="29">
        <v>42709</v>
      </c>
      <c r="B308" s="22" t="s">
        <v>79</v>
      </c>
      <c r="C308" s="22" t="s">
        <v>57</v>
      </c>
      <c r="D308" s="48" t="s">
        <v>8</v>
      </c>
      <c r="E308" t="s">
        <v>259</v>
      </c>
      <c r="F308">
        <v>2016</v>
      </c>
      <c r="G308" t="s">
        <v>57</v>
      </c>
      <c r="H308" s="42">
        <v>129</v>
      </c>
      <c r="J308" t="s">
        <v>248</v>
      </c>
      <c r="K308" t="s">
        <v>334</v>
      </c>
      <c r="L308" s="34">
        <v>1</v>
      </c>
      <c r="M308" s="38">
        <v>0.75</v>
      </c>
      <c r="N308" s="38">
        <f t="shared" si="4"/>
        <v>0.75</v>
      </c>
    </row>
    <row r="309" spans="1:14">
      <c r="A309" s="29">
        <v>42709</v>
      </c>
      <c r="B309" s="22" t="s">
        <v>79</v>
      </c>
      <c r="C309" s="22" t="s">
        <v>57</v>
      </c>
      <c r="D309" s="48" t="s">
        <v>11</v>
      </c>
      <c r="E309" t="s">
        <v>259</v>
      </c>
      <c r="F309">
        <v>2016</v>
      </c>
      <c r="G309" t="s">
        <v>316</v>
      </c>
      <c r="H309" s="42" t="s">
        <v>57</v>
      </c>
      <c r="J309" t="s">
        <v>248</v>
      </c>
      <c r="L309" s="34">
        <v>1</v>
      </c>
      <c r="M309" s="38">
        <v>0.75</v>
      </c>
      <c r="N309" s="38">
        <f t="shared" si="4"/>
        <v>0.75</v>
      </c>
    </row>
    <row r="310" spans="1:14">
      <c r="A310" s="29">
        <v>42710</v>
      </c>
      <c r="B310" s="22" t="s">
        <v>57</v>
      </c>
      <c r="C310" s="22" t="s">
        <v>38</v>
      </c>
      <c r="D310" s="48" t="s">
        <v>5</v>
      </c>
      <c r="E310" t="s">
        <v>255</v>
      </c>
      <c r="F310">
        <v>2016</v>
      </c>
      <c r="G310" t="s">
        <v>57</v>
      </c>
      <c r="H310" s="42">
        <v>424</v>
      </c>
      <c r="J310" t="s">
        <v>248</v>
      </c>
      <c r="L310" s="34">
        <v>2</v>
      </c>
      <c r="M310" s="38">
        <v>0.75</v>
      </c>
      <c r="N310" s="38">
        <f t="shared" si="4"/>
        <v>1.5</v>
      </c>
    </row>
    <row r="311" spans="1:14">
      <c r="A311" s="29">
        <v>42710</v>
      </c>
      <c r="B311" s="22" t="s">
        <v>57</v>
      </c>
      <c r="C311" s="22" t="s">
        <v>38</v>
      </c>
      <c r="D311" s="48" t="s">
        <v>5</v>
      </c>
      <c r="E311" t="s">
        <v>157</v>
      </c>
      <c r="F311">
        <v>2016</v>
      </c>
      <c r="G311" t="s">
        <v>335</v>
      </c>
      <c r="H311" s="42" t="s">
        <v>57</v>
      </c>
      <c r="J311" t="s">
        <v>248</v>
      </c>
      <c r="K311" t="s">
        <v>336</v>
      </c>
      <c r="L311" s="34">
        <v>2</v>
      </c>
      <c r="M311" s="38">
        <v>0.75</v>
      </c>
      <c r="N311" s="38">
        <f t="shared" si="4"/>
        <v>1.5</v>
      </c>
    </row>
    <row r="312" spans="1:14">
      <c r="A312" s="29">
        <v>42710</v>
      </c>
      <c r="B312" s="22" t="s">
        <v>57</v>
      </c>
      <c r="C312" s="22" t="s">
        <v>45</v>
      </c>
      <c r="D312" s="48" t="s">
        <v>5</v>
      </c>
      <c r="E312" t="s">
        <v>255</v>
      </c>
      <c r="F312">
        <v>2016</v>
      </c>
      <c r="G312" t="s">
        <v>57</v>
      </c>
      <c r="H312" s="42">
        <v>424</v>
      </c>
      <c r="J312" t="s">
        <v>248</v>
      </c>
      <c r="L312" s="34">
        <v>2</v>
      </c>
      <c r="M312" s="38">
        <v>0.75</v>
      </c>
      <c r="N312" s="38">
        <f t="shared" si="4"/>
        <v>1.5</v>
      </c>
    </row>
    <row r="313" spans="1:14">
      <c r="A313" s="29">
        <v>42710</v>
      </c>
      <c r="B313" s="22" t="s">
        <v>57</v>
      </c>
      <c r="C313" s="22" t="s">
        <v>45</v>
      </c>
      <c r="D313" s="48" t="s">
        <v>5</v>
      </c>
      <c r="E313" t="s">
        <v>157</v>
      </c>
      <c r="F313">
        <v>2016</v>
      </c>
      <c r="G313" t="s">
        <v>250</v>
      </c>
      <c r="H313" s="42">
        <v>14</v>
      </c>
      <c r="J313" t="s">
        <v>248</v>
      </c>
      <c r="L313" s="34">
        <v>2</v>
      </c>
      <c r="M313" s="38">
        <v>0.75</v>
      </c>
      <c r="N313" s="38">
        <f t="shared" si="4"/>
        <v>1.5</v>
      </c>
    </row>
    <row r="314" spans="1:14">
      <c r="A314" s="29">
        <v>42710</v>
      </c>
      <c r="B314" s="22" t="s">
        <v>57</v>
      </c>
      <c r="C314" s="22" t="s">
        <v>38</v>
      </c>
      <c r="D314" s="48" t="s">
        <v>5</v>
      </c>
      <c r="E314" t="s">
        <v>157</v>
      </c>
      <c r="F314">
        <v>2016</v>
      </c>
      <c r="G314" t="s">
        <v>254</v>
      </c>
      <c r="H314" s="42">
        <v>411</v>
      </c>
      <c r="J314" t="s">
        <v>248</v>
      </c>
      <c r="L314" s="34">
        <v>2</v>
      </c>
      <c r="M314" s="38">
        <v>0.75</v>
      </c>
      <c r="N314" s="38">
        <f t="shared" si="4"/>
        <v>1.5</v>
      </c>
    </row>
    <row r="315" spans="1:14">
      <c r="A315" s="29">
        <v>42710</v>
      </c>
      <c r="B315" s="22" t="s">
        <v>57</v>
      </c>
      <c r="C315" s="22" t="s">
        <v>38</v>
      </c>
      <c r="D315" s="48" t="s">
        <v>5</v>
      </c>
      <c r="E315" t="s">
        <v>306</v>
      </c>
      <c r="F315">
        <v>2016</v>
      </c>
      <c r="G315" t="s">
        <v>307</v>
      </c>
      <c r="H315" s="42">
        <v>200</v>
      </c>
      <c r="J315" t="s">
        <v>248</v>
      </c>
      <c r="L315" s="34">
        <v>2</v>
      </c>
      <c r="M315" s="38">
        <v>0.75</v>
      </c>
      <c r="N315" s="38">
        <f t="shared" si="4"/>
        <v>1.5</v>
      </c>
    </row>
    <row r="316" spans="1:14">
      <c r="A316" s="29">
        <v>42710</v>
      </c>
      <c r="B316" s="22" t="s">
        <v>57</v>
      </c>
      <c r="C316" s="22" t="s">
        <v>38</v>
      </c>
      <c r="D316" s="48" t="s">
        <v>5</v>
      </c>
      <c r="E316" t="s">
        <v>157</v>
      </c>
      <c r="F316">
        <v>2016</v>
      </c>
      <c r="G316" t="s">
        <v>250</v>
      </c>
      <c r="H316" s="42">
        <v>14</v>
      </c>
      <c r="J316" t="s">
        <v>248</v>
      </c>
      <c r="L316" s="34">
        <v>2</v>
      </c>
      <c r="M316" s="38">
        <v>0.75</v>
      </c>
      <c r="N316" s="38">
        <f t="shared" si="4"/>
        <v>1.5</v>
      </c>
    </row>
    <row r="317" spans="1:14">
      <c r="A317" s="29">
        <v>42710</v>
      </c>
      <c r="B317" s="22" t="s">
        <v>57</v>
      </c>
      <c r="C317" s="22" t="s">
        <v>38</v>
      </c>
      <c r="D317" s="48" t="s">
        <v>5</v>
      </c>
      <c r="E317" t="s">
        <v>157</v>
      </c>
      <c r="F317">
        <v>2016</v>
      </c>
      <c r="G317" t="s">
        <v>247</v>
      </c>
      <c r="H317" s="42">
        <v>328</v>
      </c>
      <c r="J317" t="s">
        <v>248</v>
      </c>
      <c r="L317" s="34">
        <v>2</v>
      </c>
      <c r="M317" s="38">
        <v>0.75</v>
      </c>
      <c r="N317" s="38">
        <f t="shared" si="4"/>
        <v>1.5</v>
      </c>
    </row>
    <row r="318" spans="1:14">
      <c r="A318" s="29">
        <v>42710</v>
      </c>
      <c r="B318" s="22" t="s">
        <v>57</v>
      </c>
      <c r="C318" s="22" t="s">
        <v>47</v>
      </c>
      <c r="D318" s="48" t="s">
        <v>5</v>
      </c>
      <c r="E318" t="s">
        <v>255</v>
      </c>
      <c r="F318">
        <v>2016</v>
      </c>
      <c r="G318" t="s">
        <v>57</v>
      </c>
      <c r="H318" s="42">
        <v>424</v>
      </c>
      <c r="J318" t="s">
        <v>248</v>
      </c>
      <c r="L318" s="34">
        <v>2</v>
      </c>
      <c r="M318" s="38">
        <v>0.75</v>
      </c>
      <c r="N318" s="38">
        <f t="shared" si="4"/>
        <v>1.5</v>
      </c>
    </row>
    <row r="319" spans="1:14">
      <c r="A319" s="29">
        <v>42710</v>
      </c>
      <c r="B319" s="22" t="s">
        <v>57</v>
      </c>
      <c r="C319" s="22" t="s">
        <v>47</v>
      </c>
      <c r="D319" s="48" t="s">
        <v>5</v>
      </c>
      <c r="E319" t="s">
        <v>161</v>
      </c>
      <c r="F319">
        <v>2016</v>
      </c>
      <c r="G319" t="s">
        <v>57</v>
      </c>
      <c r="H319" s="42">
        <v>31</v>
      </c>
      <c r="J319" t="s">
        <v>248</v>
      </c>
      <c r="L319" s="34">
        <v>2</v>
      </c>
      <c r="M319" s="38">
        <v>0.75</v>
      </c>
      <c r="N319" s="38">
        <f t="shared" si="4"/>
        <v>1.5</v>
      </c>
    </row>
    <row r="320" spans="1:14">
      <c r="A320" s="29">
        <v>42710</v>
      </c>
      <c r="B320" s="22" t="s">
        <v>57</v>
      </c>
      <c r="C320" s="22" t="s">
        <v>47</v>
      </c>
      <c r="D320" s="48" t="s">
        <v>5</v>
      </c>
      <c r="E320" t="s">
        <v>159</v>
      </c>
      <c r="F320">
        <v>2016</v>
      </c>
      <c r="G320" t="s">
        <v>319</v>
      </c>
      <c r="H320" s="42">
        <v>401</v>
      </c>
      <c r="J320" t="s">
        <v>248</v>
      </c>
      <c r="L320" s="34">
        <v>3</v>
      </c>
      <c r="M320" s="38">
        <v>0.75</v>
      </c>
      <c r="N320" s="38">
        <f t="shared" si="4"/>
        <v>2.25</v>
      </c>
    </row>
    <row r="321" spans="1:14">
      <c r="A321" s="29">
        <v>42710</v>
      </c>
      <c r="B321" s="22" t="s">
        <v>57</v>
      </c>
      <c r="C321" s="22" t="s">
        <v>47</v>
      </c>
      <c r="D321" s="48" t="s">
        <v>5</v>
      </c>
      <c r="E321" t="s">
        <v>157</v>
      </c>
      <c r="F321">
        <v>2016</v>
      </c>
      <c r="G321" t="s">
        <v>254</v>
      </c>
      <c r="H321" s="42">
        <v>411</v>
      </c>
      <c r="J321" t="s">
        <v>248</v>
      </c>
      <c r="L321" s="34">
        <v>2</v>
      </c>
      <c r="M321" s="38">
        <v>0.75</v>
      </c>
      <c r="N321" s="38">
        <f t="shared" si="4"/>
        <v>1.5</v>
      </c>
    </row>
    <row r="322" spans="1:14">
      <c r="A322" s="29">
        <v>42710</v>
      </c>
      <c r="B322" s="22" t="s">
        <v>57</v>
      </c>
      <c r="C322" s="22" t="s">
        <v>47</v>
      </c>
      <c r="D322" s="48" t="s">
        <v>11</v>
      </c>
      <c r="E322" t="s">
        <v>259</v>
      </c>
      <c r="F322">
        <v>2016</v>
      </c>
      <c r="G322" t="s">
        <v>320</v>
      </c>
      <c r="H322" s="42" t="s">
        <v>57</v>
      </c>
      <c r="J322" t="s">
        <v>248</v>
      </c>
      <c r="L322" s="34">
        <v>1</v>
      </c>
      <c r="M322" s="38">
        <v>0.75</v>
      </c>
      <c r="N322" s="38">
        <f t="shared" si="4"/>
        <v>0.75</v>
      </c>
    </row>
    <row r="323" spans="1:14">
      <c r="A323" s="29">
        <v>42710</v>
      </c>
      <c r="B323" s="22" t="s">
        <v>57</v>
      </c>
      <c r="C323" s="22" t="s">
        <v>47</v>
      </c>
      <c r="D323" s="48" t="s">
        <v>11</v>
      </c>
      <c r="E323" t="s">
        <v>179</v>
      </c>
      <c r="F323">
        <v>2016</v>
      </c>
      <c r="G323" t="s">
        <v>332</v>
      </c>
      <c r="H323" s="42" t="s">
        <v>57</v>
      </c>
      <c r="J323" t="s">
        <v>248</v>
      </c>
      <c r="L323" s="34">
        <v>2</v>
      </c>
      <c r="M323" s="38">
        <v>0.75</v>
      </c>
      <c r="N323" s="38">
        <f t="shared" ref="N323:N386" si="5">M323*L323</f>
        <v>1.5</v>
      </c>
    </row>
    <row r="324" spans="1:14">
      <c r="A324" s="29">
        <v>42710</v>
      </c>
      <c r="B324" s="22" t="s">
        <v>57</v>
      </c>
      <c r="C324" s="22" t="s">
        <v>47</v>
      </c>
      <c r="D324" s="48" t="s">
        <v>11</v>
      </c>
      <c r="E324" t="s">
        <v>177</v>
      </c>
      <c r="F324">
        <v>2016</v>
      </c>
      <c r="G324" t="s">
        <v>333</v>
      </c>
      <c r="H324" s="42" t="s">
        <v>57</v>
      </c>
      <c r="J324" t="s">
        <v>248</v>
      </c>
      <c r="L324" s="34">
        <v>3</v>
      </c>
      <c r="M324" s="38">
        <v>0.75</v>
      </c>
      <c r="N324" s="38">
        <f t="shared" si="5"/>
        <v>2.25</v>
      </c>
    </row>
    <row r="325" spans="1:14">
      <c r="A325" s="29">
        <v>42710</v>
      </c>
      <c r="B325" s="22" t="s">
        <v>57</v>
      </c>
      <c r="C325" s="22" t="s">
        <v>47</v>
      </c>
      <c r="D325" s="48" t="s">
        <v>5</v>
      </c>
      <c r="E325" t="s">
        <v>159</v>
      </c>
      <c r="F325">
        <v>2016</v>
      </c>
      <c r="G325" t="s">
        <v>319</v>
      </c>
      <c r="H325" s="42">
        <v>401</v>
      </c>
      <c r="J325" t="s">
        <v>248</v>
      </c>
      <c r="L325" s="34">
        <v>2</v>
      </c>
      <c r="M325" s="38">
        <v>0.75</v>
      </c>
      <c r="N325" s="38">
        <f t="shared" si="5"/>
        <v>1.5</v>
      </c>
    </row>
    <row r="326" spans="1:14">
      <c r="A326" s="29">
        <v>42710</v>
      </c>
      <c r="B326" s="22" t="s">
        <v>293</v>
      </c>
      <c r="C326" s="22" t="s">
        <v>41</v>
      </c>
      <c r="D326" s="48" t="s">
        <v>5</v>
      </c>
      <c r="E326" t="s">
        <v>159</v>
      </c>
      <c r="F326">
        <v>2016</v>
      </c>
      <c r="G326" t="s">
        <v>326</v>
      </c>
      <c r="H326" s="42">
        <v>423</v>
      </c>
      <c r="J326" t="s">
        <v>248</v>
      </c>
      <c r="L326" s="34">
        <v>2</v>
      </c>
      <c r="M326" s="38">
        <v>0.75</v>
      </c>
      <c r="N326" s="38">
        <f t="shared" si="5"/>
        <v>1.5</v>
      </c>
    </row>
    <row r="327" spans="1:14">
      <c r="A327" s="29">
        <v>42710</v>
      </c>
      <c r="B327" s="22" t="s">
        <v>293</v>
      </c>
      <c r="C327" s="22" t="s">
        <v>41</v>
      </c>
      <c r="D327" s="48" t="s">
        <v>5</v>
      </c>
      <c r="E327" t="s">
        <v>159</v>
      </c>
      <c r="F327">
        <v>2016</v>
      </c>
      <c r="G327" t="s">
        <v>247</v>
      </c>
      <c r="H327" s="42">
        <v>75</v>
      </c>
      <c r="J327" t="s">
        <v>248</v>
      </c>
      <c r="L327" s="34">
        <v>2</v>
      </c>
      <c r="M327" s="38">
        <v>0.75</v>
      </c>
      <c r="N327" s="38">
        <f t="shared" si="5"/>
        <v>1.5</v>
      </c>
    </row>
    <row r="328" spans="1:14">
      <c r="A328" s="29">
        <v>42710</v>
      </c>
      <c r="B328" s="22" t="s">
        <v>293</v>
      </c>
      <c r="C328" s="22" t="s">
        <v>41</v>
      </c>
      <c r="D328" s="48" t="s">
        <v>5</v>
      </c>
      <c r="E328" t="s">
        <v>255</v>
      </c>
      <c r="F328">
        <v>2016</v>
      </c>
      <c r="G328" t="s">
        <v>57</v>
      </c>
      <c r="H328" s="42">
        <v>424</v>
      </c>
      <c r="J328" t="s">
        <v>248</v>
      </c>
      <c r="L328" s="34">
        <v>2</v>
      </c>
      <c r="M328" s="38">
        <v>0.75</v>
      </c>
      <c r="N328" s="38">
        <f t="shared" si="5"/>
        <v>1.5</v>
      </c>
    </row>
    <row r="329" spans="1:14">
      <c r="A329" s="29">
        <v>42710</v>
      </c>
      <c r="B329" s="22" t="s">
        <v>293</v>
      </c>
      <c r="C329" s="22" t="s">
        <v>41</v>
      </c>
      <c r="D329" s="48" t="s">
        <v>8</v>
      </c>
      <c r="E329" t="s">
        <v>177</v>
      </c>
      <c r="F329">
        <v>2016</v>
      </c>
      <c r="G329" t="s">
        <v>57</v>
      </c>
      <c r="H329" s="42">
        <v>302</v>
      </c>
      <c r="J329" t="s">
        <v>248</v>
      </c>
      <c r="L329" s="34">
        <v>1</v>
      </c>
      <c r="M329" s="38">
        <v>0.75</v>
      </c>
      <c r="N329" s="38">
        <f t="shared" si="5"/>
        <v>0.75</v>
      </c>
    </row>
    <row r="330" spans="1:14">
      <c r="A330" s="29">
        <v>42710</v>
      </c>
      <c r="B330" s="22" t="s">
        <v>293</v>
      </c>
      <c r="C330" s="22" t="s">
        <v>41</v>
      </c>
      <c r="D330" s="48" t="s">
        <v>8</v>
      </c>
      <c r="E330" t="s">
        <v>179</v>
      </c>
      <c r="F330">
        <v>2016</v>
      </c>
      <c r="G330" t="s">
        <v>57</v>
      </c>
      <c r="H330" s="42">
        <v>37</v>
      </c>
      <c r="J330" t="s">
        <v>248</v>
      </c>
      <c r="L330" s="34">
        <v>1</v>
      </c>
      <c r="M330" s="38">
        <v>0.75</v>
      </c>
      <c r="N330" s="38">
        <f t="shared" si="5"/>
        <v>0.75</v>
      </c>
    </row>
    <row r="331" spans="1:14">
      <c r="A331" s="29">
        <v>42710</v>
      </c>
      <c r="B331" s="22" t="s">
        <v>293</v>
      </c>
      <c r="C331" s="22" t="s">
        <v>41</v>
      </c>
      <c r="D331" s="48" t="s">
        <v>5</v>
      </c>
      <c r="E331" t="s">
        <v>157</v>
      </c>
      <c r="F331">
        <v>2016</v>
      </c>
      <c r="G331" t="s">
        <v>250</v>
      </c>
      <c r="H331" s="42">
        <v>14</v>
      </c>
      <c r="J331" t="s">
        <v>248</v>
      </c>
      <c r="L331" s="34">
        <v>2</v>
      </c>
      <c r="M331" s="38">
        <v>1</v>
      </c>
      <c r="N331" s="38">
        <f t="shared" si="5"/>
        <v>2</v>
      </c>
    </row>
    <row r="332" spans="1:14">
      <c r="A332" s="29">
        <v>42710</v>
      </c>
      <c r="B332" s="22" t="s">
        <v>293</v>
      </c>
      <c r="C332" s="22" t="s">
        <v>41</v>
      </c>
      <c r="D332" s="48" t="s">
        <v>5</v>
      </c>
      <c r="E332" t="s">
        <v>157</v>
      </c>
      <c r="F332">
        <v>2016</v>
      </c>
      <c r="G332" t="s">
        <v>254</v>
      </c>
      <c r="H332" s="42">
        <v>411</v>
      </c>
      <c r="J332" t="s">
        <v>248</v>
      </c>
      <c r="L332" s="34">
        <v>2</v>
      </c>
      <c r="M332" s="38">
        <v>1</v>
      </c>
      <c r="N332" s="38">
        <f t="shared" si="5"/>
        <v>2</v>
      </c>
    </row>
    <row r="333" spans="1:14">
      <c r="A333" s="29">
        <v>42710</v>
      </c>
      <c r="B333" s="22" t="s">
        <v>293</v>
      </c>
      <c r="C333" s="22" t="s">
        <v>41</v>
      </c>
      <c r="D333" s="48" t="s">
        <v>8</v>
      </c>
      <c r="E333" t="s">
        <v>178</v>
      </c>
      <c r="F333">
        <v>2016</v>
      </c>
      <c r="G333" t="s">
        <v>337</v>
      </c>
      <c r="H333" s="42" t="s">
        <v>57</v>
      </c>
      <c r="J333" t="s">
        <v>248</v>
      </c>
      <c r="L333" s="34">
        <v>1</v>
      </c>
      <c r="M333" s="38">
        <v>0.75</v>
      </c>
      <c r="N333" s="38">
        <f t="shared" si="5"/>
        <v>0.75</v>
      </c>
    </row>
    <row r="334" spans="1:14">
      <c r="A334" s="29">
        <v>42710</v>
      </c>
      <c r="B334" s="22" t="s">
        <v>293</v>
      </c>
      <c r="C334" s="22" t="s">
        <v>41</v>
      </c>
      <c r="D334" s="48" t="s">
        <v>8</v>
      </c>
      <c r="E334" t="s">
        <v>272</v>
      </c>
      <c r="F334">
        <v>2016</v>
      </c>
      <c r="G334" t="s">
        <v>323</v>
      </c>
      <c r="H334" s="42" t="s">
        <v>57</v>
      </c>
      <c r="J334" t="s">
        <v>248</v>
      </c>
      <c r="K334" t="s">
        <v>331</v>
      </c>
      <c r="L334" s="34">
        <v>1</v>
      </c>
      <c r="M334" s="38">
        <v>0.75</v>
      </c>
      <c r="N334" s="38">
        <f t="shared" si="5"/>
        <v>0.75</v>
      </c>
    </row>
    <row r="335" spans="1:14">
      <c r="A335" s="29">
        <v>42711</v>
      </c>
      <c r="B335" s="22" t="s">
        <v>13</v>
      </c>
      <c r="C335" s="22" t="s">
        <v>57</v>
      </c>
      <c r="D335" s="48" t="s">
        <v>5</v>
      </c>
      <c r="E335" t="s">
        <v>159</v>
      </c>
      <c r="F335">
        <v>2016</v>
      </c>
      <c r="G335" t="s">
        <v>338</v>
      </c>
      <c r="H335" s="42">
        <v>24</v>
      </c>
      <c r="J335" t="s">
        <v>248</v>
      </c>
      <c r="L335" s="34">
        <v>1</v>
      </c>
      <c r="M335" s="38">
        <v>0.75</v>
      </c>
      <c r="N335" s="38">
        <f t="shared" si="5"/>
        <v>0.75</v>
      </c>
    </row>
    <row r="336" spans="1:14">
      <c r="A336" s="29">
        <v>42711</v>
      </c>
      <c r="B336" s="22" t="s">
        <v>13</v>
      </c>
      <c r="C336" s="22" t="s">
        <v>57</v>
      </c>
      <c r="D336" s="48" t="s">
        <v>5</v>
      </c>
      <c r="E336" t="s">
        <v>306</v>
      </c>
      <c r="F336">
        <v>2016</v>
      </c>
      <c r="G336" t="s">
        <v>306</v>
      </c>
      <c r="H336" s="42">
        <v>200</v>
      </c>
      <c r="J336" t="s">
        <v>248</v>
      </c>
      <c r="L336" s="34">
        <v>1</v>
      </c>
      <c r="M336" s="38">
        <v>0.75</v>
      </c>
      <c r="N336" s="38">
        <f t="shared" si="5"/>
        <v>0.75</v>
      </c>
    </row>
    <row r="337" spans="1:14">
      <c r="A337" s="29">
        <v>42711</v>
      </c>
      <c r="B337" s="22" t="s">
        <v>13</v>
      </c>
      <c r="C337" s="22" t="s">
        <v>57</v>
      </c>
      <c r="D337" s="48" t="s">
        <v>5</v>
      </c>
      <c r="E337" t="s">
        <v>160</v>
      </c>
      <c r="F337">
        <v>2016</v>
      </c>
      <c r="G337" t="s">
        <v>57</v>
      </c>
      <c r="H337" s="42">
        <v>10</v>
      </c>
      <c r="J337" t="s">
        <v>248</v>
      </c>
      <c r="L337" s="34">
        <v>1</v>
      </c>
      <c r="M337" s="38">
        <v>0.75</v>
      </c>
      <c r="N337" s="38">
        <f t="shared" si="5"/>
        <v>0.75</v>
      </c>
    </row>
    <row r="338" spans="1:14">
      <c r="A338" s="29">
        <v>42711</v>
      </c>
      <c r="B338" s="22" t="s">
        <v>13</v>
      </c>
      <c r="C338" s="22" t="s">
        <v>57</v>
      </c>
      <c r="D338" s="48" t="s">
        <v>8</v>
      </c>
      <c r="E338" t="s">
        <v>178</v>
      </c>
      <c r="F338">
        <v>2016</v>
      </c>
      <c r="G338" t="s">
        <v>337</v>
      </c>
      <c r="H338" s="42" t="s">
        <v>339</v>
      </c>
      <c r="J338" t="s">
        <v>248</v>
      </c>
      <c r="L338" s="34">
        <v>1</v>
      </c>
      <c r="M338" s="38">
        <v>0.75</v>
      </c>
      <c r="N338" s="38">
        <f t="shared" si="5"/>
        <v>0.75</v>
      </c>
    </row>
    <row r="339" spans="1:14">
      <c r="A339" s="29">
        <v>42711</v>
      </c>
      <c r="B339" s="22" t="s">
        <v>13</v>
      </c>
      <c r="C339" s="22" t="s">
        <v>57</v>
      </c>
      <c r="D339" s="48" t="s">
        <v>8</v>
      </c>
      <c r="E339" t="s">
        <v>340</v>
      </c>
      <c r="F339">
        <v>2016</v>
      </c>
      <c r="G339" t="s">
        <v>338</v>
      </c>
      <c r="H339" s="42" t="s">
        <v>341</v>
      </c>
      <c r="J339" t="s">
        <v>248</v>
      </c>
      <c r="L339" s="34">
        <v>1</v>
      </c>
      <c r="M339" s="38">
        <v>0.75</v>
      </c>
      <c r="N339" s="38">
        <f t="shared" si="5"/>
        <v>0.75</v>
      </c>
    </row>
    <row r="340" spans="1:14">
      <c r="A340" s="29">
        <v>42711</v>
      </c>
      <c r="B340" s="22" t="s">
        <v>13</v>
      </c>
      <c r="C340" s="22" t="s">
        <v>57</v>
      </c>
      <c r="D340" s="48" t="s">
        <v>8</v>
      </c>
      <c r="E340" t="s">
        <v>182</v>
      </c>
      <c r="F340">
        <v>2016</v>
      </c>
      <c r="G340" t="s">
        <v>57</v>
      </c>
      <c r="H340" s="42">
        <v>63</v>
      </c>
      <c r="J340" t="s">
        <v>248</v>
      </c>
      <c r="L340" s="34">
        <v>1</v>
      </c>
      <c r="M340" s="38">
        <v>0.75</v>
      </c>
      <c r="N340" s="38">
        <f t="shared" si="5"/>
        <v>0.75</v>
      </c>
    </row>
    <row r="341" spans="1:14">
      <c r="A341" s="29">
        <v>42711</v>
      </c>
      <c r="B341" s="22" t="s">
        <v>13</v>
      </c>
      <c r="C341" s="22" t="s">
        <v>57</v>
      </c>
      <c r="D341" s="48" t="s">
        <v>11</v>
      </c>
      <c r="E341" t="s">
        <v>259</v>
      </c>
      <c r="F341">
        <v>2015</v>
      </c>
      <c r="G341" t="s">
        <v>57</v>
      </c>
      <c r="H341" s="42">
        <v>39</v>
      </c>
      <c r="J341" t="s">
        <v>248</v>
      </c>
      <c r="L341" s="34">
        <v>1</v>
      </c>
      <c r="M341" s="38">
        <v>0.75</v>
      </c>
      <c r="N341" s="38">
        <f t="shared" si="5"/>
        <v>0.75</v>
      </c>
    </row>
    <row r="342" spans="1:14">
      <c r="A342" s="29">
        <v>42711</v>
      </c>
      <c r="B342" s="22" t="s">
        <v>109</v>
      </c>
      <c r="C342" s="22" t="s">
        <v>57</v>
      </c>
      <c r="D342" s="48" t="s">
        <v>8</v>
      </c>
      <c r="E342" t="s">
        <v>178</v>
      </c>
      <c r="F342">
        <v>2016</v>
      </c>
      <c r="G342" t="s">
        <v>337</v>
      </c>
      <c r="H342" s="42" t="s">
        <v>339</v>
      </c>
      <c r="J342" t="s">
        <v>248</v>
      </c>
      <c r="L342" s="34">
        <v>1</v>
      </c>
      <c r="M342" s="38">
        <v>0.75</v>
      </c>
      <c r="N342" s="38">
        <f t="shared" si="5"/>
        <v>0.75</v>
      </c>
    </row>
    <row r="343" spans="1:14">
      <c r="A343" s="29">
        <v>42712</v>
      </c>
      <c r="B343" s="22" t="s">
        <v>109</v>
      </c>
      <c r="C343" s="22" t="s">
        <v>57</v>
      </c>
      <c r="D343" s="48" t="s">
        <v>8</v>
      </c>
      <c r="E343" t="s">
        <v>182</v>
      </c>
      <c r="F343">
        <v>2016</v>
      </c>
      <c r="G343" t="s">
        <v>309</v>
      </c>
      <c r="H343" s="42" t="s">
        <v>57</v>
      </c>
      <c r="J343" t="s">
        <v>248</v>
      </c>
      <c r="L343" s="34">
        <v>1</v>
      </c>
      <c r="M343" s="38">
        <v>0.75</v>
      </c>
      <c r="N343" s="38">
        <f t="shared" si="5"/>
        <v>0.75</v>
      </c>
    </row>
    <row r="344" spans="1:14">
      <c r="A344" s="29">
        <v>42712</v>
      </c>
      <c r="B344" s="22" t="s">
        <v>109</v>
      </c>
      <c r="C344" s="22" t="s">
        <v>57</v>
      </c>
      <c r="D344" s="48" t="s">
        <v>5</v>
      </c>
      <c r="E344" t="s">
        <v>342</v>
      </c>
      <c r="F344">
        <v>2016</v>
      </c>
      <c r="G344" t="s">
        <v>309</v>
      </c>
      <c r="H344" s="42" t="s">
        <v>57</v>
      </c>
      <c r="J344" t="s">
        <v>248</v>
      </c>
      <c r="L344" s="34">
        <v>1</v>
      </c>
      <c r="M344" s="38">
        <v>0.75</v>
      </c>
      <c r="N344" s="38">
        <f t="shared" si="5"/>
        <v>0.75</v>
      </c>
    </row>
    <row r="345" spans="1:14">
      <c r="A345" s="29">
        <v>42712</v>
      </c>
      <c r="B345" s="22" t="s">
        <v>109</v>
      </c>
      <c r="C345" s="22" t="s">
        <v>57</v>
      </c>
      <c r="D345" s="48" t="s">
        <v>5</v>
      </c>
      <c r="E345" t="s">
        <v>157</v>
      </c>
      <c r="F345">
        <v>2016</v>
      </c>
      <c r="G345" t="s">
        <v>309</v>
      </c>
      <c r="H345" s="42">
        <v>308</v>
      </c>
      <c r="J345" t="s">
        <v>248</v>
      </c>
      <c r="L345" s="34">
        <v>1</v>
      </c>
      <c r="M345" s="38">
        <v>0.75</v>
      </c>
      <c r="N345" s="38">
        <f t="shared" si="5"/>
        <v>0.75</v>
      </c>
    </row>
    <row r="346" spans="1:14">
      <c r="A346" s="29">
        <v>42712</v>
      </c>
      <c r="B346" s="22" t="s">
        <v>109</v>
      </c>
      <c r="C346" s="22" t="s">
        <v>57</v>
      </c>
      <c r="D346" s="48" t="s">
        <v>5</v>
      </c>
      <c r="E346" t="s">
        <v>179</v>
      </c>
      <c r="F346">
        <v>2016</v>
      </c>
      <c r="G346" t="s">
        <v>318</v>
      </c>
      <c r="H346" s="42">
        <v>201</v>
      </c>
      <c r="J346" t="s">
        <v>248</v>
      </c>
      <c r="L346" s="34">
        <v>1</v>
      </c>
      <c r="M346" s="38">
        <v>0.75</v>
      </c>
      <c r="N346" s="38">
        <f t="shared" si="5"/>
        <v>0.75</v>
      </c>
    </row>
    <row r="347" spans="1:14">
      <c r="A347" s="29">
        <v>42712</v>
      </c>
      <c r="B347" s="22" t="s">
        <v>31</v>
      </c>
      <c r="C347" s="22" t="s">
        <v>57</v>
      </c>
      <c r="D347" s="48" t="s">
        <v>5</v>
      </c>
      <c r="E347" t="s">
        <v>255</v>
      </c>
      <c r="F347">
        <v>2016</v>
      </c>
      <c r="G347" t="s">
        <v>343</v>
      </c>
      <c r="H347" s="42" t="s">
        <v>57</v>
      </c>
      <c r="J347" t="s">
        <v>248</v>
      </c>
      <c r="K347" t="s">
        <v>344</v>
      </c>
      <c r="L347" s="34">
        <v>1</v>
      </c>
      <c r="M347" s="38">
        <v>0.75</v>
      </c>
      <c r="N347" s="38">
        <f t="shared" si="5"/>
        <v>0.75</v>
      </c>
    </row>
    <row r="348" spans="1:14">
      <c r="A348" s="29">
        <v>42712</v>
      </c>
      <c r="B348" s="22" t="s">
        <v>31</v>
      </c>
      <c r="C348" s="22" t="s">
        <v>57</v>
      </c>
      <c r="D348" s="48" t="s">
        <v>5</v>
      </c>
      <c r="E348" t="s">
        <v>255</v>
      </c>
      <c r="F348">
        <v>2016</v>
      </c>
      <c r="G348" t="s">
        <v>345</v>
      </c>
      <c r="H348" s="42" t="s">
        <v>57</v>
      </c>
      <c r="J348" t="s">
        <v>248</v>
      </c>
      <c r="K348" t="s">
        <v>346</v>
      </c>
      <c r="L348" s="34">
        <v>1</v>
      </c>
      <c r="M348" s="38">
        <v>0.75</v>
      </c>
      <c r="N348" s="38">
        <f t="shared" si="5"/>
        <v>0.75</v>
      </c>
    </row>
    <row r="349" spans="1:14">
      <c r="A349" s="29">
        <v>42712</v>
      </c>
      <c r="B349" s="22" t="s">
        <v>31</v>
      </c>
      <c r="C349" s="22" t="s">
        <v>57</v>
      </c>
      <c r="D349" s="48" t="s">
        <v>8</v>
      </c>
      <c r="E349" t="s">
        <v>294</v>
      </c>
      <c r="F349">
        <v>2016</v>
      </c>
      <c r="G349" t="s">
        <v>347</v>
      </c>
      <c r="H349" s="42" t="s">
        <v>57</v>
      </c>
      <c r="J349" t="s">
        <v>248</v>
      </c>
      <c r="K349" t="s">
        <v>348</v>
      </c>
      <c r="L349" s="34">
        <v>1</v>
      </c>
      <c r="M349" s="38">
        <v>0.75</v>
      </c>
      <c r="N349" s="38">
        <f t="shared" si="5"/>
        <v>0.75</v>
      </c>
    </row>
    <row r="350" spans="1:14">
      <c r="A350" s="29">
        <v>42712</v>
      </c>
      <c r="B350" s="22" t="s">
        <v>31</v>
      </c>
      <c r="C350" s="22" t="s">
        <v>57</v>
      </c>
      <c r="D350" s="48" t="s">
        <v>8</v>
      </c>
      <c r="E350" t="s">
        <v>294</v>
      </c>
      <c r="F350">
        <v>2016</v>
      </c>
      <c r="G350" t="s">
        <v>349</v>
      </c>
      <c r="H350" s="42" t="s">
        <v>57</v>
      </c>
      <c r="J350" t="s">
        <v>248</v>
      </c>
      <c r="K350" t="s">
        <v>350</v>
      </c>
      <c r="L350" s="34">
        <v>1</v>
      </c>
      <c r="M350" s="38">
        <v>0.75</v>
      </c>
      <c r="N350" s="38">
        <f t="shared" si="5"/>
        <v>0.75</v>
      </c>
    </row>
    <row r="351" spans="1:14">
      <c r="A351" s="29">
        <v>42712</v>
      </c>
      <c r="B351" s="22" t="s">
        <v>31</v>
      </c>
      <c r="C351" s="22" t="s">
        <v>57</v>
      </c>
      <c r="D351" s="48" t="s">
        <v>8</v>
      </c>
      <c r="E351" t="s">
        <v>294</v>
      </c>
      <c r="F351">
        <v>2016</v>
      </c>
      <c r="G351" t="s">
        <v>351</v>
      </c>
      <c r="H351" s="42" t="s">
        <v>57</v>
      </c>
      <c r="J351" t="s">
        <v>248</v>
      </c>
      <c r="K351" t="s">
        <v>352</v>
      </c>
      <c r="L351" s="34">
        <v>1</v>
      </c>
      <c r="M351" s="38">
        <v>0.75</v>
      </c>
      <c r="N351" s="38">
        <f t="shared" si="5"/>
        <v>0.75</v>
      </c>
    </row>
    <row r="352" spans="1:14">
      <c r="A352" s="29">
        <v>42712</v>
      </c>
      <c r="B352" s="22" t="s">
        <v>50</v>
      </c>
      <c r="C352" s="22" t="s">
        <v>57</v>
      </c>
      <c r="D352" s="48" t="s">
        <v>5</v>
      </c>
      <c r="E352" t="s">
        <v>159</v>
      </c>
      <c r="F352">
        <v>2016</v>
      </c>
      <c r="G352" t="s">
        <v>247</v>
      </c>
      <c r="H352" s="42">
        <v>75</v>
      </c>
      <c r="J352" t="s">
        <v>248</v>
      </c>
      <c r="L352" s="34">
        <v>1</v>
      </c>
      <c r="M352" s="38">
        <v>0.75</v>
      </c>
      <c r="N352" s="38">
        <f t="shared" si="5"/>
        <v>0.75</v>
      </c>
    </row>
    <row r="353" spans="1:14">
      <c r="A353" s="29">
        <v>42712</v>
      </c>
      <c r="B353" s="22" t="s">
        <v>64</v>
      </c>
      <c r="C353" s="22" t="s">
        <v>57</v>
      </c>
      <c r="D353" s="48" t="s">
        <v>5</v>
      </c>
      <c r="E353" t="s">
        <v>159</v>
      </c>
      <c r="F353">
        <v>2016</v>
      </c>
      <c r="G353" t="s">
        <v>319</v>
      </c>
      <c r="H353" s="42">
        <v>401</v>
      </c>
      <c r="J353" t="s">
        <v>248</v>
      </c>
      <c r="L353" s="34">
        <v>1</v>
      </c>
      <c r="M353" s="38">
        <v>0.75</v>
      </c>
      <c r="N353" s="38">
        <f t="shared" si="5"/>
        <v>0.75</v>
      </c>
    </row>
    <row r="354" spans="1:14">
      <c r="A354" s="29">
        <v>42712</v>
      </c>
      <c r="B354" s="22" t="s">
        <v>64</v>
      </c>
      <c r="C354" s="22" t="s">
        <v>57</v>
      </c>
      <c r="D354" s="48" t="s">
        <v>5</v>
      </c>
      <c r="E354" t="s">
        <v>157</v>
      </c>
      <c r="F354">
        <v>2016</v>
      </c>
      <c r="G354" t="s">
        <v>250</v>
      </c>
      <c r="H354" s="42">
        <v>14</v>
      </c>
      <c r="J354" t="s">
        <v>248</v>
      </c>
      <c r="L354" s="34">
        <v>1</v>
      </c>
      <c r="M354" s="38">
        <v>0.75</v>
      </c>
      <c r="N354" s="38">
        <f t="shared" si="5"/>
        <v>0.75</v>
      </c>
    </row>
    <row r="355" spans="1:14">
      <c r="A355" s="29">
        <v>42712</v>
      </c>
      <c r="B355" s="22" t="s">
        <v>64</v>
      </c>
      <c r="C355" s="22" t="s">
        <v>57</v>
      </c>
      <c r="D355" s="48" t="s">
        <v>5</v>
      </c>
      <c r="E355" t="s">
        <v>157</v>
      </c>
      <c r="F355">
        <v>2016</v>
      </c>
      <c r="G355" t="s">
        <v>254</v>
      </c>
      <c r="H355" s="42">
        <v>411</v>
      </c>
      <c r="J355" t="s">
        <v>248</v>
      </c>
      <c r="L355" s="34">
        <v>1</v>
      </c>
      <c r="M355" s="38">
        <v>0.75</v>
      </c>
      <c r="N355" s="38">
        <f t="shared" si="5"/>
        <v>0.75</v>
      </c>
    </row>
    <row r="356" spans="1:14">
      <c r="A356" s="29">
        <v>42712</v>
      </c>
      <c r="B356" s="22" t="s">
        <v>64</v>
      </c>
      <c r="C356" s="22" t="s">
        <v>57</v>
      </c>
      <c r="D356" s="48" t="s">
        <v>5</v>
      </c>
      <c r="E356" t="s">
        <v>157</v>
      </c>
      <c r="F356">
        <v>2016</v>
      </c>
      <c r="G356" t="s">
        <v>247</v>
      </c>
      <c r="H356" s="42">
        <v>36</v>
      </c>
      <c r="J356" t="s">
        <v>248</v>
      </c>
      <c r="L356" s="34">
        <v>1</v>
      </c>
      <c r="M356" s="38">
        <v>0.75</v>
      </c>
      <c r="N356" s="38">
        <f t="shared" si="5"/>
        <v>0.75</v>
      </c>
    </row>
    <row r="357" spans="1:14">
      <c r="A357" s="29">
        <v>42712</v>
      </c>
      <c r="B357" s="22" t="s">
        <v>64</v>
      </c>
      <c r="C357" s="22" t="s">
        <v>57</v>
      </c>
      <c r="D357" s="48" t="s">
        <v>5</v>
      </c>
      <c r="E357" t="s">
        <v>347</v>
      </c>
      <c r="F357">
        <v>2016</v>
      </c>
      <c r="G357" t="s">
        <v>347</v>
      </c>
      <c r="H357" s="42" t="s">
        <v>57</v>
      </c>
      <c r="J357" t="s">
        <v>248</v>
      </c>
      <c r="L357" s="34">
        <v>1</v>
      </c>
      <c r="M357" s="38">
        <v>0.75</v>
      </c>
      <c r="N357" s="38">
        <f t="shared" si="5"/>
        <v>0.75</v>
      </c>
    </row>
    <row r="358" spans="1:14">
      <c r="A358" s="29">
        <v>42712</v>
      </c>
      <c r="B358" s="22" t="s">
        <v>64</v>
      </c>
      <c r="C358" s="22" t="s">
        <v>57</v>
      </c>
      <c r="D358" s="48" t="s">
        <v>8</v>
      </c>
      <c r="E358" t="s">
        <v>347</v>
      </c>
      <c r="F358">
        <v>2016</v>
      </c>
      <c r="G358" t="s">
        <v>347</v>
      </c>
      <c r="H358" s="42" t="s">
        <v>57</v>
      </c>
      <c r="J358" t="s">
        <v>248</v>
      </c>
      <c r="L358" s="34">
        <v>1</v>
      </c>
      <c r="M358" s="38">
        <v>0.75</v>
      </c>
      <c r="N358" s="38">
        <f t="shared" si="5"/>
        <v>0.75</v>
      </c>
    </row>
    <row r="359" spans="1:14">
      <c r="A359" s="29">
        <v>42712</v>
      </c>
      <c r="B359" s="22" t="s">
        <v>64</v>
      </c>
      <c r="C359" s="22" t="s">
        <v>57</v>
      </c>
      <c r="D359" s="48" t="s">
        <v>11</v>
      </c>
      <c r="E359" t="s">
        <v>347</v>
      </c>
      <c r="F359">
        <v>2016</v>
      </c>
      <c r="G359" t="s">
        <v>347</v>
      </c>
      <c r="H359" s="42" t="s">
        <v>57</v>
      </c>
      <c r="J359" t="s">
        <v>248</v>
      </c>
      <c r="L359" s="34">
        <v>1</v>
      </c>
      <c r="M359" s="38">
        <v>0.75</v>
      </c>
      <c r="N359" s="38">
        <f t="shared" si="5"/>
        <v>0.75</v>
      </c>
    </row>
    <row r="360" spans="1:14">
      <c r="A360" s="29">
        <v>42712</v>
      </c>
      <c r="B360" s="22" t="s">
        <v>64</v>
      </c>
      <c r="C360" s="22" t="s">
        <v>57</v>
      </c>
      <c r="D360" s="48" t="s">
        <v>11</v>
      </c>
      <c r="E360" t="s">
        <v>179</v>
      </c>
      <c r="F360">
        <v>2016</v>
      </c>
      <c r="G360" t="s">
        <v>338</v>
      </c>
      <c r="H360" s="42" t="s">
        <v>57</v>
      </c>
      <c r="J360" t="s">
        <v>248</v>
      </c>
      <c r="L360" s="34">
        <v>1</v>
      </c>
      <c r="M360" s="38">
        <v>0.75</v>
      </c>
      <c r="N360" s="38">
        <f t="shared" si="5"/>
        <v>0.75</v>
      </c>
    </row>
    <row r="361" spans="1:14">
      <c r="A361" s="29">
        <v>42712</v>
      </c>
      <c r="B361" s="22" t="s">
        <v>64</v>
      </c>
      <c r="C361" s="22" t="s">
        <v>57</v>
      </c>
      <c r="D361" s="48" t="s">
        <v>11</v>
      </c>
      <c r="E361" t="s">
        <v>177</v>
      </c>
      <c r="F361">
        <v>2016</v>
      </c>
      <c r="G361" t="s">
        <v>338</v>
      </c>
      <c r="H361" s="42" t="s">
        <v>57</v>
      </c>
      <c r="J361" t="s">
        <v>248</v>
      </c>
      <c r="L361" s="34">
        <v>1</v>
      </c>
      <c r="M361" s="38">
        <v>0.75</v>
      </c>
      <c r="N361" s="38">
        <f t="shared" si="5"/>
        <v>0.75</v>
      </c>
    </row>
    <row r="362" spans="1:14">
      <c r="A362" s="29">
        <v>42716</v>
      </c>
      <c r="B362" s="22" t="s">
        <v>63</v>
      </c>
      <c r="C362" s="22" t="s">
        <v>57</v>
      </c>
      <c r="D362" s="48" t="s">
        <v>5</v>
      </c>
      <c r="E362" t="s">
        <v>157</v>
      </c>
      <c r="F362">
        <v>2016</v>
      </c>
      <c r="G362" t="s">
        <v>250</v>
      </c>
      <c r="H362" s="42">
        <v>14</v>
      </c>
      <c r="J362" t="s">
        <v>248</v>
      </c>
      <c r="L362" s="34">
        <v>2</v>
      </c>
      <c r="M362" s="38">
        <v>0.75</v>
      </c>
      <c r="N362" s="38">
        <f t="shared" si="5"/>
        <v>1.5</v>
      </c>
    </row>
    <row r="363" spans="1:14">
      <c r="A363" s="29">
        <v>42716</v>
      </c>
      <c r="B363" s="22" t="s">
        <v>63</v>
      </c>
      <c r="C363" s="22" t="s">
        <v>57</v>
      </c>
      <c r="D363" s="48" t="s">
        <v>5</v>
      </c>
      <c r="E363" t="s">
        <v>157</v>
      </c>
      <c r="F363">
        <v>2016</v>
      </c>
      <c r="G363" t="s">
        <v>254</v>
      </c>
      <c r="H363" s="42">
        <v>411</v>
      </c>
      <c r="J363" t="s">
        <v>248</v>
      </c>
      <c r="L363" s="34">
        <v>2</v>
      </c>
      <c r="M363" s="38">
        <v>0.75</v>
      </c>
      <c r="N363" s="38">
        <f t="shared" si="5"/>
        <v>1.5</v>
      </c>
    </row>
    <row r="364" spans="1:14">
      <c r="A364" s="29">
        <v>42716</v>
      </c>
      <c r="B364" s="22" t="s">
        <v>63</v>
      </c>
      <c r="C364" s="22" t="s">
        <v>57</v>
      </c>
      <c r="D364" s="48" t="s">
        <v>5</v>
      </c>
      <c r="E364" t="s">
        <v>157</v>
      </c>
      <c r="F364">
        <v>2016</v>
      </c>
      <c r="G364" t="s">
        <v>247</v>
      </c>
      <c r="H364" s="42">
        <v>89</v>
      </c>
      <c r="J364" t="s">
        <v>248</v>
      </c>
      <c r="L364" s="34">
        <v>2</v>
      </c>
      <c r="M364" s="38">
        <v>0.75</v>
      </c>
      <c r="N364" s="38">
        <f t="shared" si="5"/>
        <v>1.5</v>
      </c>
    </row>
    <row r="365" spans="1:14">
      <c r="A365" s="29">
        <v>42716</v>
      </c>
      <c r="B365" s="22" t="s">
        <v>63</v>
      </c>
      <c r="C365" s="22" t="s">
        <v>57</v>
      </c>
      <c r="D365" s="48" t="s">
        <v>11</v>
      </c>
      <c r="E365" t="s">
        <v>177</v>
      </c>
      <c r="F365">
        <v>2016</v>
      </c>
      <c r="G365" t="s">
        <v>333</v>
      </c>
      <c r="H365" s="42" t="s">
        <v>57</v>
      </c>
      <c r="J365" t="s">
        <v>248</v>
      </c>
      <c r="L365" s="34">
        <v>2</v>
      </c>
      <c r="M365" s="38">
        <v>0.75</v>
      </c>
      <c r="N365" s="38">
        <f t="shared" si="5"/>
        <v>1.5</v>
      </c>
    </row>
    <row r="366" spans="1:14">
      <c r="A366" s="29">
        <v>42716</v>
      </c>
      <c r="B366" s="22" t="s">
        <v>63</v>
      </c>
      <c r="C366" s="22" t="s">
        <v>57</v>
      </c>
      <c r="D366" s="48" t="s">
        <v>11</v>
      </c>
      <c r="E366" t="s">
        <v>179</v>
      </c>
      <c r="F366">
        <v>2016</v>
      </c>
      <c r="G366" t="s">
        <v>332</v>
      </c>
      <c r="H366" s="42" t="s">
        <v>57</v>
      </c>
      <c r="J366" t="s">
        <v>248</v>
      </c>
      <c r="L366" s="34">
        <v>1</v>
      </c>
      <c r="M366" s="38">
        <v>0.75</v>
      </c>
      <c r="N366" s="38">
        <f t="shared" si="5"/>
        <v>0.75</v>
      </c>
    </row>
    <row r="367" spans="1:14">
      <c r="A367" s="29">
        <v>42716</v>
      </c>
      <c r="B367" s="22" t="s">
        <v>110</v>
      </c>
      <c r="C367" s="22" t="s">
        <v>57</v>
      </c>
      <c r="D367" s="48" t="s">
        <v>5</v>
      </c>
      <c r="E367" t="s">
        <v>157</v>
      </c>
      <c r="F367">
        <v>2016</v>
      </c>
      <c r="G367" t="s">
        <v>247</v>
      </c>
      <c r="H367" s="42">
        <v>36</v>
      </c>
      <c r="J367" t="s">
        <v>248</v>
      </c>
      <c r="L367" s="34">
        <v>5</v>
      </c>
      <c r="M367" s="38">
        <v>0.75</v>
      </c>
      <c r="N367" s="38">
        <f t="shared" si="5"/>
        <v>3.75</v>
      </c>
    </row>
    <row r="368" spans="1:14">
      <c r="A368" s="29">
        <v>42716</v>
      </c>
      <c r="B368" s="22" t="s">
        <v>109</v>
      </c>
      <c r="C368" s="22" t="s">
        <v>57</v>
      </c>
      <c r="D368" s="48" t="s">
        <v>5</v>
      </c>
      <c r="E368" t="s">
        <v>308</v>
      </c>
      <c r="F368">
        <v>2016</v>
      </c>
      <c r="G368" t="s">
        <v>309</v>
      </c>
      <c r="H368" s="42" t="s">
        <v>57</v>
      </c>
      <c r="J368" t="s">
        <v>248</v>
      </c>
      <c r="L368" s="34">
        <v>1</v>
      </c>
      <c r="M368" s="38">
        <v>0.75</v>
      </c>
      <c r="N368" s="38">
        <f t="shared" si="5"/>
        <v>0.75</v>
      </c>
    </row>
    <row r="369" spans="1:14">
      <c r="A369" s="29">
        <v>42716</v>
      </c>
      <c r="B369" s="22" t="s">
        <v>109</v>
      </c>
      <c r="C369" s="22" t="s">
        <v>57</v>
      </c>
      <c r="D369" s="48" t="s">
        <v>5</v>
      </c>
      <c r="E369" t="s">
        <v>159</v>
      </c>
      <c r="F369">
        <v>2016</v>
      </c>
      <c r="G369" t="s">
        <v>319</v>
      </c>
      <c r="H369" s="42">
        <v>401</v>
      </c>
      <c r="J369" t="s">
        <v>248</v>
      </c>
      <c r="L369" s="34">
        <v>1</v>
      </c>
      <c r="M369" s="38">
        <v>0.75</v>
      </c>
      <c r="N369" s="38">
        <f t="shared" si="5"/>
        <v>0.75</v>
      </c>
    </row>
    <row r="370" spans="1:14">
      <c r="A370" s="29">
        <v>42717</v>
      </c>
      <c r="B370" s="22" t="s">
        <v>28</v>
      </c>
      <c r="C370" s="22" t="s">
        <v>271</v>
      </c>
      <c r="D370" s="48" t="s">
        <v>5</v>
      </c>
      <c r="E370" t="s">
        <v>255</v>
      </c>
      <c r="F370">
        <v>2016</v>
      </c>
      <c r="G370" t="s">
        <v>338</v>
      </c>
      <c r="H370" s="42">
        <v>35</v>
      </c>
      <c r="J370" t="s">
        <v>248</v>
      </c>
      <c r="L370" s="34">
        <v>4</v>
      </c>
      <c r="M370" s="38">
        <v>0.75</v>
      </c>
      <c r="N370" s="38">
        <f t="shared" si="5"/>
        <v>3</v>
      </c>
    </row>
    <row r="371" spans="1:14">
      <c r="A371" s="29">
        <v>42717</v>
      </c>
      <c r="B371" s="22" t="s">
        <v>28</v>
      </c>
      <c r="C371" s="22" t="s">
        <v>271</v>
      </c>
      <c r="D371" s="48" t="s">
        <v>5</v>
      </c>
      <c r="E371" t="s">
        <v>159</v>
      </c>
      <c r="F371">
        <v>2016</v>
      </c>
      <c r="G371" t="s">
        <v>247</v>
      </c>
      <c r="H371" s="42">
        <v>75</v>
      </c>
      <c r="J371" t="s">
        <v>248</v>
      </c>
      <c r="L371" s="34">
        <v>4</v>
      </c>
      <c r="M371" s="38">
        <v>0.75</v>
      </c>
      <c r="N371" s="38">
        <f t="shared" si="5"/>
        <v>3</v>
      </c>
    </row>
    <row r="372" spans="1:14">
      <c r="A372" s="29">
        <v>42717</v>
      </c>
      <c r="B372" s="22" t="s">
        <v>28</v>
      </c>
      <c r="C372" s="22" t="s">
        <v>271</v>
      </c>
      <c r="D372" s="48" t="s">
        <v>5</v>
      </c>
      <c r="E372" t="s">
        <v>157</v>
      </c>
      <c r="F372">
        <v>2016</v>
      </c>
      <c r="G372" t="s">
        <v>338</v>
      </c>
      <c r="H372" s="42" t="s">
        <v>353</v>
      </c>
      <c r="J372" t="s">
        <v>248</v>
      </c>
      <c r="L372" s="34">
        <v>4</v>
      </c>
      <c r="M372" s="38">
        <v>0.75</v>
      </c>
      <c r="N372" s="38">
        <f t="shared" si="5"/>
        <v>3</v>
      </c>
    </row>
    <row r="373" spans="1:14">
      <c r="A373" s="29">
        <v>42717</v>
      </c>
      <c r="B373" s="22" t="s">
        <v>28</v>
      </c>
      <c r="C373" s="22" t="s">
        <v>271</v>
      </c>
      <c r="D373" s="48" t="s">
        <v>8</v>
      </c>
      <c r="E373" t="s">
        <v>177</v>
      </c>
      <c r="F373">
        <v>2016</v>
      </c>
      <c r="G373" t="s">
        <v>57</v>
      </c>
      <c r="H373" s="42">
        <v>302</v>
      </c>
      <c r="J373" t="s">
        <v>248</v>
      </c>
      <c r="L373" s="34">
        <v>4</v>
      </c>
      <c r="M373" s="38">
        <v>0.75</v>
      </c>
      <c r="N373" s="38">
        <f t="shared" si="5"/>
        <v>3</v>
      </c>
    </row>
    <row r="374" spans="1:14">
      <c r="A374" s="29">
        <v>42717</v>
      </c>
      <c r="B374" s="22" t="s">
        <v>28</v>
      </c>
      <c r="C374" s="22" t="s">
        <v>271</v>
      </c>
      <c r="D374" s="48" t="s">
        <v>8</v>
      </c>
      <c r="E374" t="s">
        <v>179</v>
      </c>
      <c r="F374">
        <v>2016</v>
      </c>
      <c r="G374" t="s">
        <v>57</v>
      </c>
      <c r="H374" s="42">
        <v>201</v>
      </c>
      <c r="J374" t="s">
        <v>248</v>
      </c>
      <c r="L374" s="34">
        <v>4</v>
      </c>
      <c r="M374" s="38">
        <v>0.75</v>
      </c>
      <c r="N374" s="38">
        <f t="shared" si="5"/>
        <v>3</v>
      </c>
    </row>
    <row r="375" spans="1:14">
      <c r="A375" s="29">
        <v>42717</v>
      </c>
      <c r="B375" s="22" t="s">
        <v>81</v>
      </c>
      <c r="C375" s="22" t="s">
        <v>57</v>
      </c>
      <c r="D375" s="48" t="s">
        <v>5</v>
      </c>
      <c r="E375" t="s">
        <v>157</v>
      </c>
      <c r="F375">
        <v>2016</v>
      </c>
      <c r="G375" t="s">
        <v>326</v>
      </c>
      <c r="H375" s="42">
        <v>411</v>
      </c>
      <c r="J375" t="s">
        <v>248</v>
      </c>
      <c r="L375" s="34">
        <v>6</v>
      </c>
      <c r="M375" s="38">
        <v>0.75</v>
      </c>
      <c r="N375" s="38">
        <f t="shared" si="5"/>
        <v>4.5</v>
      </c>
    </row>
    <row r="376" spans="1:14">
      <c r="A376" s="29">
        <v>42717</v>
      </c>
      <c r="B376" s="22" t="s">
        <v>81</v>
      </c>
      <c r="C376" s="22" t="s">
        <v>57</v>
      </c>
      <c r="D376" s="48" t="s">
        <v>5</v>
      </c>
      <c r="E376" t="s">
        <v>157</v>
      </c>
      <c r="F376">
        <v>2016</v>
      </c>
      <c r="G376" t="s">
        <v>247</v>
      </c>
      <c r="H376" s="42">
        <v>89</v>
      </c>
      <c r="J376" t="s">
        <v>248</v>
      </c>
      <c r="L376" s="34">
        <v>6</v>
      </c>
      <c r="M376" s="38">
        <v>0.75</v>
      </c>
      <c r="N376" s="38">
        <f t="shared" si="5"/>
        <v>4.5</v>
      </c>
    </row>
    <row r="377" spans="1:14">
      <c r="A377" s="29">
        <v>42718</v>
      </c>
      <c r="B377" s="22" t="s">
        <v>293</v>
      </c>
      <c r="C377" s="22" t="s">
        <v>41</v>
      </c>
      <c r="D377" s="48" t="s">
        <v>5</v>
      </c>
      <c r="E377" t="s">
        <v>159</v>
      </c>
      <c r="F377">
        <v>2016</v>
      </c>
      <c r="G377" t="s">
        <v>319</v>
      </c>
      <c r="H377" s="42">
        <v>401</v>
      </c>
      <c r="J377" t="s">
        <v>248</v>
      </c>
      <c r="L377" s="34">
        <v>2</v>
      </c>
      <c r="M377" s="38">
        <v>0.75</v>
      </c>
      <c r="N377" s="38">
        <f t="shared" si="5"/>
        <v>1.5</v>
      </c>
    </row>
    <row r="378" spans="1:14">
      <c r="A378" s="29">
        <v>42718</v>
      </c>
      <c r="B378" s="22" t="s">
        <v>293</v>
      </c>
      <c r="C378" s="22" t="s">
        <v>41</v>
      </c>
      <c r="D378" s="48" t="s">
        <v>5</v>
      </c>
      <c r="E378" t="s">
        <v>159</v>
      </c>
      <c r="F378">
        <v>2016</v>
      </c>
      <c r="G378" t="s">
        <v>326</v>
      </c>
      <c r="H378" s="42">
        <v>423</v>
      </c>
      <c r="J378" t="s">
        <v>248</v>
      </c>
      <c r="L378" s="34">
        <v>2</v>
      </c>
      <c r="M378" s="38">
        <v>0.75</v>
      </c>
      <c r="N378" s="38">
        <f t="shared" si="5"/>
        <v>1.5</v>
      </c>
    </row>
    <row r="379" spans="1:14">
      <c r="A379" s="29">
        <v>42718</v>
      </c>
      <c r="B379" s="22" t="s">
        <v>293</v>
      </c>
      <c r="C379" s="22" t="s">
        <v>41</v>
      </c>
      <c r="D379" s="48" t="s">
        <v>5</v>
      </c>
      <c r="E379" t="s">
        <v>159</v>
      </c>
      <c r="F379">
        <v>2016</v>
      </c>
      <c r="G379" t="s">
        <v>247</v>
      </c>
      <c r="H379" s="42">
        <v>78</v>
      </c>
      <c r="J379" t="s">
        <v>248</v>
      </c>
      <c r="L379" s="34">
        <v>4</v>
      </c>
      <c r="M379" s="38">
        <v>0.75</v>
      </c>
      <c r="N379" s="38">
        <f t="shared" si="5"/>
        <v>3</v>
      </c>
    </row>
    <row r="380" spans="1:14">
      <c r="A380" s="29">
        <v>42718</v>
      </c>
      <c r="B380" s="22" t="s">
        <v>293</v>
      </c>
      <c r="C380" s="22" t="s">
        <v>41</v>
      </c>
      <c r="D380" s="48" t="s">
        <v>5</v>
      </c>
      <c r="E380" t="s">
        <v>255</v>
      </c>
      <c r="F380">
        <v>2016</v>
      </c>
      <c r="G380" t="s">
        <v>57</v>
      </c>
      <c r="H380" s="42">
        <v>424</v>
      </c>
      <c r="J380" t="s">
        <v>248</v>
      </c>
      <c r="L380" s="34">
        <v>2</v>
      </c>
      <c r="M380" s="38">
        <v>0.75</v>
      </c>
      <c r="N380" s="38">
        <f t="shared" si="5"/>
        <v>1.5</v>
      </c>
    </row>
    <row r="381" spans="1:14">
      <c r="A381" s="29">
        <v>42718</v>
      </c>
      <c r="B381" s="22" t="s">
        <v>293</v>
      </c>
      <c r="C381" s="22" t="s">
        <v>41</v>
      </c>
      <c r="D381" s="48" t="s">
        <v>5</v>
      </c>
      <c r="E381" t="s">
        <v>306</v>
      </c>
      <c r="F381">
        <v>2016</v>
      </c>
      <c r="G381" t="s">
        <v>307</v>
      </c>
      <c r="H381" s="42">
        <v>200</v>
      </c>
      <c r="J381" t="s">
        <v>248</v>
      </c>
      <c r="L381" s="34">
        <v>2</v>
      </c>
      <c r="M381" s="38">
        <v>0.75</v>
      </c>
      <c r="N381" s="38">
        <f t="shared" si="5"/>
        <v>1.5</v>
      </c>
    </row>
    <row r="382" spans="1:14">
      <c r="A382" s="29">
        <v>42718</v>
      </c>
      <c r="B382" s="22" t="s">
        <v>28</v>
      </c>
      <c r="C382" s="22" t="s">
        <v>271</v>
      </c>
      <c r="D382" s="48" t="s">
        <v>5</v>
      </c>
      <c r="E382" t="s">
        <v>255</v>
      </c>
      <c r="F382">
        <v>2016</v>
      </c>
      <c r="G382" t="s">
        <v>57</v>
      </c>
      <c r="H382" s="42">
        <v>424</v>
      </c>
      <c r="J382" t="s">
        <v>248</v>
      </c>
      <c r="L382" s="34">
        <v>4</v>
      </c>
      <c r="M382" s="38">
        <v>0.75</v>
      </c>
      <c r="N382" s="38">
        <f t="shared" si="5"/>
        <v>3</v>
      </c>
    </row>
    <row r="383" spans="1:14">
      <c r="A383" s="29">
        <v>42718</v>
      </c>
      <c r="B383" s="22" t="s">
        <v>28</v>
      </c>
      <c r="C383" s="22" t="s">
        <v>271</v>
      </c>
      <c r="D383" s="48" t="s">
        <v>5</v>
      </c>
      <c r="E383" t="s">
        <v>255</v>
      </c>
      <c r="F383">
        <v>2016</v>
      </c>
      <c r="G383" t="s">
        <v>354</v>
      </c>
      <c r="H383" s="42" t="s">
        <v>57</v>
      </c>
      <c r="J383" t="s">
        <v>248</v>
      </c>
      <c r="K383" t="s">
        <v>355</v>
      </c>
      <c r="L383" s="34">
        <v>4</v>
      </c>
      <c r="M383" s="38">
        <v>0.75</v>
      </c>
      <c r="N383" s="38">
        <f t="shared" si="5"/>
        <v>3</v>
      </c>
    </row>
    <row r="384" spans="1:14">
      <c r="A384" s="29">
        <v>42719</v>
      </c>
      <c r="B384" s="22" t="s">
        <v>80</v>
      </c>
      <c r="C384" s="22" t="s">
        <v>327</v>
      </c>
      <c r="D384" s="48" t="s">
        <v>5</v>
      </c>
      <c r="E384" t="s">
        <v>157</v>
      </c>
      <c r="F384">
        <v>2016</v>
      </c>
      <c r="G384" t="s">
        <v>328</v>
      </c>
      <c r="H384" s="42" t="s">
        <v>57</v>
      </c>
      <c r="J384" t="s">
        <v>248</v>
      </c>
      <c r="L384" s="34">
        <v>1</v>
      </c>
      <c r="M384" s="38">
        <v>0.75</v>
      </c>
      <c r="N384" s="38">
        <f t="shared" si="5"/>
        <v>0.75</v>
      </c>
    </row>
    <row r="385" spans="1:14">
      <c r="A385" s="29">
        <v>42719</v>
      </c>
      <c r="B385" s="22" t="s">
        <v>80</v>
      </c>
      <c r="C385" s="22" t="s">
        <v>327</v>
      </c>
      <c r="D385" s="48" t="s">
        <v>5</v>
      </c>
      <c r="E385" t="s">
        <v>157</v>
      </c>
      <c r="F385">
        <v>2016</v>
      </c>
      <c r="G385" t="s">
        <v>329</v>
      </c>
      <c r="H385" s="42" t="s">
        <v>57</v>
      </c>
      <c r="J385" t="s">
        <v>248</v>
      </c>
      <c r="L385" s="34">
        <v>1</v>
      </c>
      <c r="M385" s="38">
        <v>0.75</v>
      </c>
      <c r="N385" s="38">
        <f t="shared" si="5"/>
        <v>0.75</v>
      </c>
    </row>
    <row r="386" spans="1:14">
      <c r="A386" s="29">
        <v>42719</v>
      </c>
      <c r="B386" s="22" t="s">
        <v>80</v>
      </c>
      <c r="C386" s="22" t="s">
        <v>327</v>
      </c>
      <c r="D386" s="48" t="s">
        <v>5</v>
      </c>
      <c r="E386" t="s">
        <v>157</v>
      </c>
      <c r="F386">
        <v>2016</v>
      </c>
      <c r="G386" t="s">
        <v>330</v>
      </c>
      <c r="H386" s="42" t="s">
        <v>57</v>
      </c>
      <c r="J386" t="s">
        <v>248</v>
      </c>
      <c r="L386" s="34">
        <v>1</v>
      </c>
      <c r="M386" s="38">
        <v>0.75</v>
      </c>
      <c r="N386" s="38">
        <f t="shared" si="5"/>
        <v>0.75</v>
      </c>
    </row>
    <row r="387" spans="1:14">
      <c r="A387" s="29">
        <v>42724</v>
      </c>
      <c r="B387" s="22" t="s">
        <v>63</v>
      </c>
      <c r="C387" s="22" t="s">
        <v>57</v>
      </c>
      <c r="D387" s="48" t="s">
        <v>5</v>
      </c>
      <c r="E387" t="s">
        <v>159</v>
      </c>
      <c r="F387">
        <v>2016</v>
      </c>
      <c r="G387" t="s">
        <v>326</v>
      </c>
      <c r="H387" s="42">
        <v>418</v>
      </c>
      <c r="J387" t="s">
        <v>248</v>
      </c>
      <c r="L387" s="34">
        <v>2</v>
      </c>
      <c r="M387" s="38">
        <v>0.75</v>
      </c>
      <c r="N387" s="38">
        <f t="shared" ref="N387:N450" si="6">M387*L387</f>
        <v>1.5</v>
      </c>
    </row>
    <row r="388" spans="1:14">
      <c r="A388" s="29">
        <v>42724</v>
      </c>
      <c r="B388" s="22" t="s">
        <v>63</v>
      </c>
      <c r="C388" s="22" t="s">
        <v>57</v>
      </c>
      <c r="D388" s="48" t="s">
        <v>5</v>
      </c>
      <c r="E388" t="s">
        <v>159</v>
      </c>
      <c r="F388">
        <v>2016</v>
      </c>
      <c r="G388" t="s">
        <v>247</v>
      </c>
      <c r="H388" s="42">
        <v>321</v>
      </c>
      <c r="J388" t="s">
        <v>248</v>
      </c>
      <c r="L388" s="34">
        <v>2</v>
      </c>
      <c r="M388" s="38">
        <v>0.75</v>
      </c>
      <c r="N388" s="38">
        <f t="shared" si="6"/>
        <v>1.5</v>
      </c>
    </row>
    <row r="389" spans="1:14">
      <c r="A389" s="29">
        <v>42737</v>
      </c>
      <c r="B389" s="22" t="s">
        <v>63</v>
      </c>
      <c r="C389" s="22" t="s">
        <v>57</v>
      </c>
      <c r="D389" s="48" t="s">
        <v>11</v>
      </c>
      <c r="E389" t="s">
        <v>177</v>
      </c>
      <c r="F389">
        <v>2016</v>
      </c>
      <c r="G389" t="s">
        <v>333</v>
      </c>
      <c r="H389" s="42" t="s">
        <v>57</v>
      </c>
      <c r="J389" t="s">
        <v>248</v>
      </c>
      <c r="L389" s="34">
        <v>3</v>
      </c>
      <c r="M389" s="38">
        <v>0.75</v>
      </c>
      <c r="N389" s="38">
        <f t="shared" si="6"/>
        <v>2.25</v>
      </c>
    </row>
    <row r="390" spans="1:14">
      <c r="A390" s="29">
        <v>42737</v>
      </c>
      <c r="B390" s="22" t="s">
        <v>63</v>
      </c>
      <c r="C390" s="22" t="s">
        <v>57</v>
      </c>
      <c r="D390" s="48" t="s">
        <v>11</v>
      </c>
      <c r="E390" t="s">
        <v>179</v>
      </c>
      <c r="F390">
        <v>2016</v>
      </c>
      <c r="G390" t="s">
        <v>332</v>
      </c>
      <c r="H390" s="42" t="s">
        <v>57</v>
      </c>
      <c r="J390" t="s">
        <v>248</v>
      </c>
      <c r="L390" s="34">
        <v>3</v>
      </c>
      <c r="M390" s="38">
        <v>0.75</v>
      </c>
      <c r="N390" s="38">
        <f t="shared" si="6"/>
        <v>2.25</v>
      </c>
    </row>
    <row r="391" spans="1:14">
      <c r="A391" s="29">
        <v>42738</v>
      </c>
      <c r="B391" s="22" t="s">
        <v>57</v>
      </c>
      <c r="C391" s="22" t="s">
        <v>38</v>
      </c>
      <c r="D391" s="48" t="s">
        <v>8</v>
      </c>
      <c r="E391" t="s">
        <v>356</v>
      </c>
      <c r="F391">
        <v>2016</v>
      </c>
      <c r="G391" t="s">
        <v>357</v>
      </c>
      <c r="H391" s="42" t="s">
        <v>57</v>
      </c>
      <c r="J391" t="s">
        <v>248</v>
      </c>
      <c r="K391" t="s">
        <v>358</v>
      </c>
      <c r="L391" s="34">
        <v>4</v>
      </c>
      <c r="M391" s="38">
        <v>0.75</v>
      </c>
      <c r="N391" s="38">
        <f t="shared" si="6"/>
        <v>3</v>
      </c>
    </row>
    <row r="392" spans="1:14">
      <c r="A392" s="29">
        <v>42738</v>
      </c>
      <c r="B392" s="22" t="s">
        <v>57</v>
      </c>
      <c r="C392" s="22" t="s">
        <v>38</v>
      </c>
      <c r="D392" s="48" t="s">
        <v>8</v>
      </c>
      <c r="E392" t="s">
        <v>356</v>
      </c>
      <c r="F392">
        <v>2016</v>
      </c>
      <c r="G392" t="s">
        <v>359</v>
      </c>
      <c r="H392" s="42" t="s">
        <v>57</v>
      </c>
      <c r="J392" t="s">
        <v>248</v>
      </c>
      <c r="K392" t="s">
        <v>360</v>
      </c>
      <c r="L392" s="34">
        <v>4</v>
      </c>
      <c r="M392" s="38">
        <v>0.75</v>
      </c>
      <c r="N392" s="38">
        <f t="shared" si="6"/>
        <v>3</v>
      </c>
    </row>
    <row r="393" spans="1:14">
      <c r="A393" s="29">
        <v>42739</v>
      </c>
      <c r="B393" s="22" t="s">
        <v>66</v>
      </c>
      <c r="C393" s="22" t="s">
        <v>57</v>
      </c>
      <c r="D393" s="48" t="s">
        <v>5</v>
      </c>
      <c r="E393" t="s">
        <v>255</v>
      </c>
      <c r="F393">
        <v>2016</v>
      </c>
      <c r="G393" t="s">
        <v>361</v>
      </c>
      <c r="H393" s="42" t="s">
        <v>57</v>
      </c>
      <c r="J393" t="s">
        <v>248</v>
      </c>
      <c r="K393" t="s">
        <v>362</v>
      </c>
      <c r="L393" s="34">
        <v>1</v>
      </c>
      <c r="M393" s="38">
        <v>10</v>
      </c>
      <c r="N393" s="38">
        <f t="shared" si="6"/>
        <v>10</v>
      </c>
    </row>
    <row r="394" spans="1:14">
      <c r="A394" s="29">
        <v>42739</v>
      </c>
      <c r="B394" s="22" t="s">
        <v>66</v>
      </c>
      <c r="C394" s="22" t="s">
        <v>57</v>
      </c>
      <c r="D394" s="48" t="s">
        <v>5</v>
      </c>
      <c r="E394" t="s">
        <v>363</v>
      </c>
      <c r="F394">
        <v>2016</v>
      </c>
      <c r="G394" t="s">
        <v>361</v>
      </c>
      <c r="H394" s="42" t="s">
        <v>57</v>
      </c>
      <c r="J394" t="s">
        <v>248</v>
      </c>
      <c r="K394" t="s">
        <v>364</v>
      </c>
      <c r="L394" s="34">
        <v>1</v>
      </c>
      <c r="M394" s="38">
        <v>10</v>
      </c>
      <c r="N394" s="38">
        <f t="shared" si="6"/>
        <v>10</v>
      </c>
    </row>
    <row r="395" spans="1:14">
      <c r="A395" s="29">
        <v>42739</v>
      </c>
      <c r="B395" s="22" t="s">
        <v>109</v>
      </c>
      <c r="C395" s="22" t="s">
        <v>57</v>
      </c>
      <c r="D395" s="48" t="s">
        <v>5</v>
      </c>
      <c r="E395" t="s">
        <v>157</v>
      </c>
      <c r="F395">
        <v>2016</v>
      </c>
      <c r="G395" t="s">
        <v>309</v>
      </c>
      <c r="H395" s="42">
        <v>309</v>
      </c>
      <c r="J395" t="s">
        <v>248</v>
      </c>
      <c r="L395" s="34">
        <v>6</v>
      </c>
      <c r="M395" s="38">
        <v>0.75</v>
      </c>
      <c r="N395" s="38">
        <f t="shared" si="6"/>
        <v>4.5</v>
      </c>
    </row>
    <row r="396" spans="1:14">
      <c r="A396" s="29">
        <v>42739</v>
      </c>
      <c r="B396" s="22" t="s">
        <v>109</v>
      </c>
      <c r="C396" s="22" t="s">
        <v>57</v>
      </c>
      <c r="D396" s="48" t="s">
        <v>8</v>
      </c>
      <c r="E396" t="s">
        <v>178</v>
      </c>
      <c r="F396">
        <v>2016</v>
      </c>
      <c r="G396" t="s">
        <v>337</v>
      </c>
      <c r="H396" s="42" t="s">
        <v>339</v>
      </c>
      <c r="J396" t="s">
        <v>248</v>
      </c>
      <c r="L396" s="34">
        <v>2</v>
      </c>
      <c r="M396" s="38">
        <v>0.75</v>
      </c>
      <c r="N396" s="38">
        <f t="shared" si="6"/>
        <v>1.5</v>
      </c>
    </row>
    <row r="397" spans="1:14">
      <c r="A397" s="29">
        <v>42739</v>
      </c>
      <c r="B397" s="22" t="s">
        <v>109</v>
      </c>
      <c r="C397" s="22" t="s">
        <v>57</v>
      </c>
      <c r="D397" s="48" t="s">
        <v>8</v>
      </c>
      <c r="E397" t="s">
        <v>182</v>
      </c>
      <c r="F397">
        <v>2016</v>
      </c>
      <c r="G397" t="s">
        <v>309</v>
      </c>
      <c r="H397" s="42">
        <v>308</v>
      </c>
      <c r="J397" t="s">
        <v>248</v>
      </c>
      <c r="L397" s="34">
        <v>2</v>
      </c>
      <c r="M397" s="38">
        <v>0.75</v>
      </c>
      <c r="N397" s="38">
        <f t="shared" si="6"/>
        <v>1.5</v>
      </c>
    </row>
    <row r="398" spans="1:14">
      <c r="A398" s="29">
        <v>42739</v>
      </c>
      <c r="B398" s="22" t="s">
        <v>109</v>
      </c>
      <c r="C398" s="22" t="s">
        <v>57</v>
      </c>
      <c r="D398" s="48" t="s">
        <v>8</v>
      </c>
      <c r="E398" t="s">
        <v>179</v>
      </c>
      <c r="F398">
        <v>2016</v>
      </c>
      <c r="G398" t="s">
        <v>309</v>
      </c>
      <c r="H398" s="42">
        <v>404</v>
      </c>
      <c r="J398" t="s">
        <v>248</v>
      </c>
      <c r="L398" s="34">
        <v>2</v>
      </c>
      <c r="M398" s="38">
        <v>0.75</v>
      </c>
      <c r="N398" s="38">
        <f t="shared" si="6"/>
        <v>1.5</v>
      </c>
    </row>
    <row r="399" spans="1:14">
      <c r="A399" s="29">
        <v>42739</v>
      </c>
      <c r="B399" s="22" t="s">
        <v>109</v>
      </c>
      <c r="C399" s="22" t="s">
        <v>57</v>
      </c>
      <c r="D399" s="48" t="s">
        <v>8</v>
      </c>
      <c r="E399" t="s">
        <v>259</v>
      </c>
      <c r="F399">
        <v>2016</v>
      </c>
      <c r="G399" t="s">
        <v>57</v>
      </c>
      <c r="H399" s="42">
        <v>129</v>
      </c>
      <c r="J399" t="s">
        <v>248</v>
      </c>
      <c r="L399" s="34">
        <v>2</v>
      </c>
      <c r="M399" s="38">
        <v>0.75</v>
      </c>
      <c r="N399" s="38">
        <f t="shared" si="6"/>
        <v>1.5</v>
      </c>
    </row>
    <row r="400" spans="1:14">
      <c r="A400" s="29">
        <v>42740</v>
      </c>
      <c r="B400" s="22" t="s">
        <v>110</v>
      </c>
      <c r="C400" s="22" t="s">
        <v>57</v>
      </c>
      <c r="D400" s="48" t="s">
        <v>5</v>
      </c>
      <c r="E400" t="s">
        <v>157</v>
      </c>
      <c r="F400">
        <v>2016</v>
      </c>
      <c r="G400" t="s">
        <v>247</v>
      </c>
      <c r="H400" s="42">
        <v>89</v>
      </c>
      <c r="J400" t="s">
        <v>248</v>
      </c>
      <c r="L400" s="34">
        <v>2</v>
      </c>
      <c r="M400" s="38">
        <v>0.75</v>
      </c>
      <c r="N400" s="38">
        <f t="shared" si="6"/>
        <v>1.5</v>
      </c>
    </row>
    <row r="401" spans="1:14">
      <c r="A401" s="29">
        <v>42740</v>
      </c>
      <c r="B401" s="22" t="s">
        <v>110</v>
      </c>
      <c r="C401" s="22" t="s">
        <v>57</v>
      </c>
      <c r="D401" s="48" t="s">
        <v>5</v>
      </c>
      <c r="E401" t="s">
        <v>157</v>
      </c>
      <c r="F401">
        <v>2016</v>
      </c>
      <c r="G401" t="s">
        <v>254</v>
      </c>
      <c r="H401" s="42">
        <v>11</v>
      </c>
      <c r="J401" t="s">
        <v>248</v>
      </c>
      <c r="L401" s="34">
        <v>2</v>
      </c>
      <c r="M401" s="38">
        <v>0.75</v>
      </c>
      <c r="N401" s="38">
        <f t="shared" si="6"/>
        <v>1.5</v>
      </c>
    </row>
    <row r="402" spans="1:14">
      <c r="A402" s="29">
        <v>42740</v>
      </c>
      <c r="B402" s="22" t="s">
        <v>110</v>
      </c>
      <c r="C402" s="22" t="s">
        <v>57</v>
      </c>
      <c r="D402" s="48" t="s">
        <v>5</v>
      </c>
      <c r="E402" t="s">
        <v>255</v>
      </c>
      <c r="F402">
        <v>2016</v>
      </c>
      <c r="G402" t="s">
        <v>57</v>
      </c>
      <c r="H402" s="42">
        <v>424</v>
      </c>
      <c r="J402" t="s">
        <v>248</v>
      </c>
      <c r="L402" s="34">
        <v>2</v>
      </c>
      <c r="M402" s="38">
        <v>0.75</v>
      </c>
      <c r="N402" s="38">
        <f t="shared" si="6"/>
        <v>1.5</v>
      </c>
    </row>
    <row r="403" spans="1:14">
      <c r="A403" s="29">
        <v>42740</v>
      </c>
      <c r="B403" s="22" t="s">
        <v>57</v>
      </c>
      <c r="C403" s="22" t="s">
        <v>38</v>
      </c>
      <c r="D403" s="48" t="s">
        <v>8</v>
      </c>
      <c r="E403" t="s">
        <v>259</v>
      </c>
      <c r="F403">
        <v>2016</v>
      </c>
      <c r="G403" t="s">
        <v>57</v>
      </c>
      <c r="H403" s="42" t="s">
        <v>57</v>
      </c>
      <c r="J403" t="s">
        <v>248</v>
      </c>
      <c r="K403" t="s">
        <v>365</v>
      </c>
      <c r="L403" s="34">
        <v>2</v>
      </c>
      <c r="M403" s="38">
        <v>0.75</v>
      </c>
      <c r="N403" s="38">
        <f t="shared" si="6"/>
        <v>1.5</v>
      </c>
    </row>
    <row r="404" spans="1:14">
      <c r="A404" s="29">
        <v>42740</v>
      </c>
      <c r="B404" s="22" t="s">
        <v>63</v>
      </c>
      <c r="C404" s="22" t="s">
        <v>57</v>
      </c>
      <c r="D404" s="48" t="s">
        <v>5</v>
      </c>
      <c r="E404" t="s">
        <v>255</v>
      </c>
      <c r="F404">
        <v>2016</v>
      </c>
      <c r="G404" t="s">
        <v>57</v>
      </c>
      <c r="H404" s="42">
        <v>424</v>
      </c>
      <c r="J404" t="s">
        <v>248</v>
      </c>
      <c r="L404" s="34">
        <v>3</v>
      </c>
      <c r="M404" s="38">
        <v>0.75</v>
      </c>
      <c r="N404" s="38">
        <f t="shared" si="6"/>
        <v>2.25</v>
      </c>
    </row>
    <row r="405" spans="1:14">
      <c r="A405" s="29">
        <v>42740</v>
      </c>
      <c r="B405" s="22" t="s">
        <v>63</v>
      </c>
      <c r="C405" s="22" t="s">
        <v>57</v>
      </c>
      <c r="D405" s="48" t="s">
        <v>11</v>
      </c>
      <c r="E405" t="s">
        <v>179</v>
      </c>
      <c r="F405">
        <v>2016</v>
      </c>
      <c r="G405" t="s">
        <v>332</v>
      </c>
      <c r="H405" s="42" t="s">
        <v>57</v>
      </c>
      <c r="J405" t="s">
        <v>248</v>
      </c>
      <c r="L405" s="34">
        <v>3</v>
      </c>
      <c r="M405" s="38">
        <v>0.75</v>
      </c>
      <c r="N405" s="38">
        <f t="shared" si="6"/>
        <v>2.25</v>
      </c>
    </row>
    <row r="406" spans="1:14">
      <c r="A406" s="29">
        <v>42744</v>
      </c>
      <c r="B406" s="22" t="s">
        <v>13</v>
      </c>
      <c r="C406" s="22" t="s">
        <v>57</v>
      </c>
      <c r="D406" s="48" t="s">
        <v>5</v>
      </c>
      <c r="E406" t="s">
        <v>366</v>
      </c>
      <c r="F406">
        <v>2016</v>
      </c>
      <c r="G406" t="s">
        <v>338</v>
      </c>
      <c r="H406" s="42">
        <v>100</v>
      </c>
      <c r="J406" t="s">
        <v>248</v>
      </c>
      <c r="L406" s="34">
        <v>1</v>
      </c>
      <c r="M406" s="38">
        <v>0.75</v>
      </c>
      <c r="N406" s="38">
        <f t="shared" si="6"/>
        <v>0.75</v>
      </c>
    </row>
    <row r="407" spans="1:14">
      <c r="A407" s="29">
        <v>42744</v>
      </c>
      <c r="B407" s="22" t="s">
        <v>13</v>
      </c>
      <c r="C407" s="22" t="s">
        <v>57</v>
      </c>
      <c r="D407" s="48" t="s">
        <v>5</v>
      </c>
      <c r="E407" t="s">
        <v>159</v>
      </c>
      <c r="F407">
        <v>2016</v>
      </c>
      <c r="G407" t="s">
        <v>338</v>
      </c>
      <c r="H407" s="42">
        <v>24</v>
      </c>
      <c r="J407" t="s">
        <v>248</v>
      </c>
      <c r="L407" s="34">
        <v>1</v>
      </c>
      <c r="M407" s="38">
        <v>0.75</v>
      </c>
      <c r="N407" s="38">
        <f t="shared" si="6"/>
        <v>0.75</v>
      </c>
    </row>
    <row r="408" spans="1:14">
      <c r="A408" s="29">
        <v>42744</v>
      </c>
      <c r="B408" s="22" t="s">
        <v>13</v>
      </c>
      <c r="C408" s="22" t="s">
        <v>57</v>
      </c>
      <c r="D408" s="48" t="s">
        <v>5</v>
      </c>
      <c r="E408" t="s">
        <v>157</v>
      </c>
      <c r="F408">
        <v>2016</v>
      </c>
      <c r="G408" t="s">
        <v>338</v>
      </c>
      <c r="H408" s="42" t="s">
        <v>353</v>
      </c>
      <c r="J408" t="s">
        <v>248</v>
      </c>
      <c r="L408" s="34">
        <v>1</v>
      </c>
      <c r="M408" s="38">
        <v>0.75</v>
      </c>
      <c r="N408" s="38">
        <f t="shared" si="6"/>
        <v>0.75</v>
      </c>
    </row>
    <row r="409" spans="1:14">
      <c r="A409" s="29">
        <v>42744</v>
      </c>
      <c r="B409" s="22" t="s">
        <v>13</v>
      </c>
      <c r="C409" s="22" t="s">
        <v>57</v>
      </c>
      <c r="D409" s="48" t="s">
        <v>8</v>
      </c>
      <c r="E409" t="s">
        <v>367</v>
      </c>
      <c r="F409">
        <v>2016</v>
      </c>
      <c r="G409" t="s">
        <v>338</v>
      </c>
      <c r="H409" s="42" t="s">
        <v>368</v>
      </c>
      <c r="J409" t="s">
        <v>248</v>
      </c>
      <c r="L409" s="34">
        <v>1</v>
      </c>
      <c r="M409" s="38">
        <v>0.75</v>
      </c>
      <c r="N409" s="38">
        <f t="shared" si="6"/>
        <v>0.75</v>
      </c>
    </row>
    <row r="410" spans="1:14">
      <c r="A410" s="29">
        <v>42744</v>
      </c>
      <c r="B410" s="22" t="s">
        <v>13</v>
      </c>
      <c r="C410" s="22" t="s">
        <v>57</v>
      </c>
      <c r="D410" s="48" t="s">
        <v>8</v>
      </c>
      <c r="E410" t="s">
        <v>369</v>
      </c>
      <c r="F410">
        <v>2016</v>
      </c>
      <c r="G410" t="s">
        <v>338</v>
      </c>
      <c r="H410" s="42">
        <v>42</v>
      </c>
      <c r="J410" t="s">
        <v>248</v>
      </c>
      <c r="L410" s="34">
        <v>1</v>
      </c>
      <c r="M410" s="38">
        <v>0.75</v>
      </c>
      <c r="N410" s="38">
        <f t="shared" si="6"/>
        <v>0.75</v>
      </c>
    </row>
    <row r="411" spans="1:14">
      <c r="A411" s="29">
        <v>42744</v>
      </c>
      <c r="B411" s="22" t="s">
        <v>13</v>
      </c>
      <c r="C411" s="22" t="s">
        <v>57</v>
      </c>
      <c r="D411" s="48" t="s">
        <v>11</v>
      </c>
      <c r="E411" t="s">
        <v>179</v>
      </c>
      <c r="F411">
        <v>2016</v>
      </c>
      <c r="G411" t="s">
        <v>57</v>
      </c>
      <c r="H411" s="42">
        <v>152</v>
      </c>
      <c r="J411" t="s">
        <v>248</v>
      </c>
      <c r="L411" s="34">
        <v>1</v>
      </c>
      <c r="M411" s="38">
        <v>0.75</v>
      </c>
      <c r="N411" s="38">
        <f t="shared" si="6"/>
        <v>0.75</v>
      </c>
    </row>
    <row r="412" spans="1:14">
      <c r="A412" s="29">
        <v>42744</v>
      </c>
      <c r="B412" s="22" t="s">
        <v>13</v>
      </c>
      <c r="C412" s="22" t="s">
        <v>57</v>
      </c>
      <c r="D412" s="48" t="s">
        <v>11</v>
      </c>
      <c r="E412" t="s">
        <v>177</v>
      </c>
      <c r="F412">
        <v>2016</v>
      </c>
      <c r="G412" t="s">
        <v>57</v>
      </c>
      <c r="H412" s="42">
        <v>150</v>
      </c>
      <c r="J412" t="s">
        <v>248</v>
      </c>
      <c r="L412" s="34">
        <v>1</v>
      </c>
      <c r="M412" s="38">
        <v>0.75</v>
      </c>
      <c r="N412" s="38">
        <f t="shared" si="6"/>
        <v>0.75</v>
      </c>
    </row>
    <row r="413" spans="1:14">
      <c r="A413" s="29">
        <v>42744</v>
      </c>
      <c r="B413" s="22" t="s">
        <v>13</v>
      </c>
      <c r="C413" s="22" t="s">
        <v>57</v>
      </c>
      <c r="D413" s="48" t="s">
        <v>11</v>
      </c>
      <c r="E413" t="s">
        <v>259</v>
      </c>
      <c r="F413">
        <v>2015</v>
      </c>
      <c r="G413" t="s">
        <v>57</v>
      </c>
      <c r="H413" s="42">
        <v>39</v>
      </c>
      <c r="J413" t="s">
        <v>248</v>
      </c>
      <c r="L413" s="34">
        <v>1</v>
      </c>
      <c r="M413" s="38">
        <v>0.75</v>
      </c>
      <c r="N413" s="38">
        <f t="shared" si="6"/>
        <v>0.75</v>
      </c>
    </row>
    <row r="414" spans="1:14">
      <c r="A414" s="29">
        <v>42744</v>
      </c>
      <c r="B414" s="22" t="s">
        <v>13</v>
      </c>
      <c r="C414" s="22" t="s">
        <v>57</v>
      </c>
      <c r="D414" s="48" t="s">
        <v>11</v>
      </c>
      <c r="E414" t="s">
        <v>179</v>
      </c>
      <c r="F414">
        <v>2015</v>
      </c>
      <c r="G414" t="s">
        <v>370</v>
      </c>
      <c r="H414" s="42" t="s">
        <v>57</v>
      </c>
      <c r="J414" t="s">
        <v>248</v>
      </c>
      <c r="K414" t="s">
        <v>371</v>
      </c>
      <c r="L414" s="34">
        <v>2</v>
      </c>
      <c r="M414" s="38">
        <v>0.75</v>
      </c>
      <c r="N414" s="38">
        <f t="shared" si="6"/>
        <v>1.5</v>
      </c>
    </row>
    <row r="415" spans="1:14">
      <c r="A415" s="29">
        <v>42744</v>
      </c>
      <c r="B415" s="22" t="s">
        <v>79</v>
      </c>
      <c r="C415" s="22" t="s">
        <v>57</v>
      </c>
      <c r="D415" s="48" t="s">
        <v>5</v>
      </c>
      <c r="E415" t="s">
        <v>159</v>
      </c>
      <c r="F415">
        <v>2016</v>
      </c>
      <c r="G415" t="s">
        <v>319</v>
      </c>
      <c r="H415" s="42">
        <v>401</v>
      </c>
      <c r="J415" t="s">
        <v>248</v>
      </c>
      <c r="L415" s="34">
        <v>2</v>
      </c>
      <c r="M415" s="38">
        <v>0.75</v>
      </c>
      <c r="N415" s="38">
        <f t="shared" si="6"/>
        <v>1.5</v>
      </c>
    </row>
    <row r="416" spans="1:14">
      <c r="A416" s="29">
        <v>42744</v>
      </c>
      <c r="B416" s="22" t="s">
        <v>52</v>
      </c>
      <c r="C416" s="22" t="s">
        <v>57</v>
      </c>
      <c r="D416" s="48" t="s">
        <v>5</v>
      </c>
      <c r="E416" t="s">
        <v>262</v>
      </c>
      <c r="F416">
        <v>2015</v>
      </c>
      <c r="G416" t="s">
        <v>321</v>
      </c>
      <c r="H416" s="42">
        <v>321</v>
      </c>
      <c r="J416" t="s">
        <v>248</v>
      </c>
      <c r="L416" s="34">
        <v>2</v>
      </c>
      <c r="M416" s="38">
        <v>0.75</v>
      </c>
      <c r="N416" s="38">
        <f t="shared" si="6"/>
        <v>1.5</v>
      </c>
    </row>
    <row r="417" spans="1:14">
      <c r="A417" s="29">
        <v>42744</v>
      </c>
      <c r="B417" s="22" t="s">
        <v>109</v>
      </c>
      <c r="C417" s="22" t="s">
        <v>57</v>
      </c>
      <c r="D417" s="48" t="s">
        <v>5</v>
      </c>
      <c r="E417" t="s">
        <v>308</v>
      </c>
      <c r="F417">
        <v>2016</v>
      </c>
      <c r="G417" t="s">
        <v>372</v>
      </c>
      <c r="H417" s="42" t="s">
        <v>57</v>
      </c>
      <c r="J417" t="s">
        <v>248</v>
      </c>
      <c r="L417" s="34">
        <v>1</v>
      </c>
      <c r="M417" s="38">
        <v>0.75</v>
      </c>
      <c r="N417" s="38">
        <f t="shared" si="6"/>
        <v>0.75</v>
      </c>
    </row>
    <row r="418" spans="1:14">
      <c r="A418" s="29">
        <v>42745</v>
      </c>
      <c r="B418" s="22" t="s">
        <v>57</v>
      </c>
      <c r="C418" s="22" t="s">
        <v>47</v>
      </c>
      <c r="D418" s="48" t="s">
        <v>5</v>
      </c>
      <c r="E418" t="s">
        <v>159</v>
      </c>
      <c r="F418">
        <v>2016</v>
      </c>
      <c r="G418" t="s">
        <v>326</v>
      </c>
      <c r="H418" s="42">
        <v>423</v>
      </c>
      <c r="J418" t="s">
        <v>248</v>
      </c>
      <c r="L418" s="34">
        <v>7</v>
      </c>
      <c r="M418" s="38">
        <v>0.75</v>
      </c>
      <c r="N418" s="38">
        <f t="shared" si="6"/>
        <v>5.25</v>
      </c>
    </row>
    <row r="419" spans="1:14">
      <c r="A419" s="29">
        <v>42745</v>
      </c>
      <c r="B419" s="22" t="s">
        <v>57</v>
      </c>
      <c r="C419" s="22" t="s">
        <v>47</v>
      </c>
      <c r="D419" s="48" t="s">
        <v>5</v>
      </c>
      <c r="E419" t="s">
        <v>157</v>
      </c>
      <c r="F419">
        <v>2016</v>
      </c>
      <c r="G419" t="s">
        <v>254</v>
      </c>
      <c r="H419" s="42">
        <v>411</v>
      </c>
      <c r="J419" t="s">
        <v>248</v>
      </c>
      <c r="L419" s="34">
        <v>7</v>
      </c>
      <c r="M419" s="38">
        <v>0.75</v>
      </c>
      <c r="N419" s="38">
        <f t="shared" si="6"/>
        <v>5.25</v>
      </c>
    </row>
    <row r="420" spans="1:14">
      <c r="A420" s="29">
        <v>42745</v>
      </c>
      <c r="B420" s="22" t="s">
        <v>57</v>
      </c>
      <c r="C420" s="22" t="s">
        <v>47</v>
      </c>
      <c r="D420" s="48" t="s">
        <v>5</v>
      </c>
      <c r="E420" t="s">
        <v>157</v>
      </c>
      <c r="F420">
        <v>2016</v>
      </c>
      <c r="G420" t="s">
        <v>247</v>
      </c>
      <c r="H420" s="42">
        <v>94</v>
      </c>
      <c r="J420" t="s">
        <v>248</v>
      </c>
      <c r="L420" s="34">
        <v>7</v>
      </c>
      <c r="M420" s="38">
        <v>0.75</v>
      </c>
      <c r="N420" s="38">
        <f t="shared" si="6"/>
        <v>5.25</v>
      </c>
    </row>
    <row r="421" spans="1:14">
      <c r="A421" s="29">
        <v>42745</v>
      </c>
      <c r="B421" s="22" t="s">
        <v>105</v>
      </c>
      <c r="C421" s="22" t="s">
        <v>53</v>
      </c>
      <c r="D421" s="48" t="s">
        <v>5</v>
      </c>
      <c r="E421" t="s">
        <v>158</v>
      </c>
      <c r="F421">
        <v>2016</v>
      </c>
      <c r="G421" t="s">
        <v>257</v>
      </c>
      <c r="H421" s="42">
        <v>194</v>
      </c>
      <c r="J421" t="s">
        <v>248</v>
      </c>
      <c r="L421" s="34">
        <v>2</v>
      </c>
      <c r="M421" s="38">
        <v>0.75</v>
      </c>
      <c r="N421" s="38">
        <f t="shared" si="6"/>
        <v>1.5</v>
      </c>
    </row>
    <row r="422" spans="1:14">
      <c r="A422" s="29">
        <v>42745</v>
      </c>
      <c r="B422" s="22" t="s">
        <v>105</v>
      </c>
      <c r="C422" s="22" t="s">
        <v>53</v>
      </c>
      <c r="D422" s="48" t="s">
        <v>5</v>
      </c>
      <c r="E422" t="s">
        <v>158</v>
      </c>
      <c r="F422">
        <v>2016</v>
      </c>
      <c r="G422" t="s">
        <v>284</v>
      </c>
      <c r="H422" s="42">
        <v>30</v>
      </c>
      <c r="J422" t="s">
        <v>248</v>
      </c>
      <c r="L422" s="34">
        <v>1</v>
      </c>
      <c r="M422" s="38">
        <v>5</v>
      </c>
      <c r="N422" s="38">
        <f t="shared" si="6"/>
        <v>5</v>
      </c>
    </row>
    <row r="423" spans="1:14">
      <c r="A423" s="29">
        <v>42745</v>
      </c>
      <c r="B423" s="22" t="s">
        <v>105</v>
      </c>
      <c r="C423" s="22" t="s">
        <v>53</v>
      </c>
      <c r="D423" s="48" t="s">
        <v>8</v>
      </c>
      <c r="E423" t="s">
        <v>177</v>
      </c>
      <c r="F423">
        <v>2016</v>
      </c>
      <c r="G423" t="s">
        <v>57</v>
      </c>
      <c r="H423" s="42">
        <v>302</v>
      </c>
      <c r="J423" t="s">
        <v>248</v>
      </c>
      <c r="L423" s="34">
        <v>2</v>
      </c>
      <c r="M423" s="38">
        <v>0.75</v>
      </c>
      <c r="N423" s="38">
        <f t="shared" si="6"/>
        <v>1.5</v>
      </c>
    </row>
    <row r="424" spans="1:14">
      <c r="A424" s="29">
        <v>42745</v>
      </c>
      <c r="B424" s="22" t="s">
        <v>105</v>
      </c>
      <c r="C424" s="22" t="s">
        <v>53</v>
      </c>
      <c r="D424" s="48" t="s">
        <v>8</v>
      </c>
      <c r="E424" t="s">
        <v>177</v>
      </c>
      <c r="F424">
        <v>2016</v>
      </c>
      <c r="G424" t="s">
        <v>57</v>
      </c>
      <c r="H424" s="42">
        <v>312</v>
      </c>
      <c r="J424" t="s">
        <v>248</v>
      </c>
      <c r="L424" s="34">
        <v>2</v>
      </c>
      <c r="M424" s="38">
        <v>0.75</v>
      </c>
      <c r="N424" s="38">
        <f t="shared" si="6"/>
        <v>1.5</v>
      </c>
    </row>
    <row r="425" spans="1:14">
      <c r="A425" s="29">
        <v>42745</v>
      </c>
      <c r="B425" s="22" t="s">
        <v>105</v>
      </c>
      <c r="C425" s="22" t="s">
        <v>53</v>
      </c>
      <c r="D425" s="48" t="s">
        <v>5</v>
      </c>
      <c r="E425" t="s">
        <v>159</v>
      </c>
      <c r="F425">
        <v>2016</v>
      </c>
      <c r="G425" t="s">
        <v>319</v>
      </c>
      <c r="H425" s="42">
        <v>401</v>
      </c>
      <c r="J425" t="s">
        <v>248</v>
      </c>
      <c r="L425" s="34">
        <v>2</v>
      </c>
      <c r="M425" s="38">
        <v>0.75</v>
      </c>
      <c r="N425" s="38">
        <f t="shared" si="6"/>
        <v>1.5</v>
      </c>
    </row>
    <row r="426" spans="1:14">
      <c r="A426" s="29">
        <v>42745</v>
      </c>
      <c r="B426" s="22" t="s">
        <v>57</v>
      </c>
      <c r="C426" s="22" t="s">
        <v>47</v>
      </c>
      <c r="D426" s="48" t="s">
        <v>11</v>
      </c>
      <c r="E426" t="s">
        <v>177</v>
      </c>
      <c r="F426">
        <v>2016</v>
      </c>
      <c r="G426" t="s">
        <v>333</v>
      </c>
      <c r="H426" s="42">
        <v>138</v>
      </c>
      <c r="J426" t="s">
        <v>248</v>
      </c>
      <c r="L426" s="34">
        <v>2</v>
      </c>
      <c r="M426" s="38">
        <v>0.75</v>
      </c>
      <c r="N426" s="38">
        <f t="shared" si="6"/>
        <v>1.5</v>
      </c>
    </row>
    <row r="427" spans="1:14">
      <c r="A427" s="29">
        <v>42745</v>
      </c>
      <c r="B427" s="22" t="s">
        <v>57</v>
      </c>
      <c r="C427" s="22" t="s">
        <v>47</v>
      </c>
      <c r="D427" s="48" t="s">
        <v>5</v>
      </c>
      <c r="E427" t="s">
        <v>157</v>
      </c>
      <c r="F427">
        <v>2016</v>
      </c>
      <c r="G427" t="s">
        <v>247</v>
      </c>
      <c r="H427" s="42">
        <v>94</v>
      </c>
      <c r="J427" t="s">
        <v>248</v>
      </c>
      <c r="L427" s="34">
        <v>2</v>
      </c>
      <c r="M427" s="38">
        <v>0.75</v>
      </c>
      <c r="N427" s="38">
        <f t="shared" si="6"/>
        <v>1.5</v>
      </c>
    </row>
    <row r="428" spans="1:14">
      <c r="A428" s="29">
        <v>42745</v>
      </c>
      <c r="B428" s="22" t="s">
        <v>57</v>
      </c>
      <c r="C428" s="22" t="s">
        <v>47</v>
      </c>
      <c r="D428" s="48" t="s">
        <v>5</v>
      </c>
      <c r="E428" t="s">
        <v>157</v>
      </c>
      <c r="F428">
        <v>2016</v>
      </c>
      <c r="G428" t="s">
        <v>254</v>
      </c>
      <c r="H428" s="42">
        <v>411</v>
      </c>
      <c r="J428" t="s">
        <v>248</v>
      </c>
      <c r="L428" s="34">
        <v>2</v>
      </c>
      <c r="M428" s="38">
        <v>0.75</v>
      </c>
      <c r="N428" s="38">
        <f t="shared" si="6"/>
        <v>1.5</v>
      </c>
    </row>
    <row r="429" spans="1:14">
      <c r="A429" s="29">
        <v>42746</v>
      </c>
      <c r="B429" s="22" t="s">
        <v>293</v>
      </c>
      <c r="C429" s="22" t="s">
        <v>41</v>
      </c>
      <c r="D429" s="48" t="s">
        <v>5</v>
      </c>
      <c r="E429" t="s">
        <v>159</v>
      </c>
      <c r="F429">
        <v>2016</v>
      </c>
      <c r="G429" t="s">
        <v>247</v>
      </c>
      <c r="H429" s="42">
        <v>56</v>
      </c>
      <c r="J429" t="s">
        <v>248</v>
      </c>
      <c r="L429" s="34">
        <v>4</v>
      </c>
      <c r="M429" s="38">
        <v>0.75</v>
      </c>
      <c r="N429" s="38">
        <f t="shared" si="6"/>
        <v>3</v>
      </c>
    </row>
    <row r="430" spans="1:14">
      <c r="A430" s="29">
        <v>42746</v>
      </c>
      <c r="B430" s="22" t="s">
        <v>293</v>
      </c>
      <c r="C430" s="22" t="s">
        <v>41</v>
      </c>
      <c r="D430" s="48" t="s">
        <v>5</v>
      </c>
      <c r="E430" t="s">
        <v>159</v>
      </c>
      <c r="F430">
        <v>2016</v>
      </c>
      <c r="G430" t="s">
        <v>326</v>
      </c>
      <c r="H430" s="42">
        <v>423</v>
      </c>
      <c r="J430" t="s">
        <v>248</v>
      </c>
      <c r="L430" s="34">
        <v>4</v>
      </c>
      <c r="M430" s="38">
        <v>0.75</v>
      </c>
      <c r="N430" s="38">
        <f t="shared" si="6"/>
        <v>3</v>
      </c>
    </row>
    <row r="431" spans="1:14">
      <c r="A431" s="29">
        <v>42746</v>
      </c>
      <c r="B431" s="22" t="s">
        <v>293</v>
      </c>
      <c r="C431" s="22" t="s">
        <v>41</v>
      </c>
      <c r="D431" s="48" t="s">
        <v>5</v>
      </c>
      <c r="E431" t="s">
        <v>255</v>
      </c>
      <c r="F431">
        <v>2016</v>
      </c>
      <c r="G431" t="s">
        <v>57</v>
      </c>
      <c r="H431" s="42">
        <v>424</v>
      </c>
      <c r="J431" t="s">
        <v>248</v>
      </c>
      <c r="L431" s="34">
        <v>2</v>
      </c>
      <c r="M431" s="38">
        <v>0.75</v>
      </c>
      <c r="N431" s="38">
        <f t="shared" si="6"/>
        <v>1.5</v>
      </c>
    </row>
    <row r="432" spans="1:14">
      <c r="A432" s="29">
        <v>42746</v>
      </c>
      <c r="B432" s="22" t="s">
        <v>28</v>
      </c>
      <c r="C432" s="22" t="s">
        <v>271</v>
      </c>
      <c r="D432" s="48" t="s">
        <v>5</v>
      </c>
      <c r="E432" t="s">
        <v>159</v>
      </c>
      <c r="F432">
        <v>2016</v>
      </c>
      <c r="G432" t="s">
        <v>319</v>
      </c>
      <c r="H432" s="42">
        <v>401</v>
      </c>
      <c r="J432" t="s">
        <v>248</v>
      </c>
      <c r="L432" s="34">
        <v>2</v>
      </c>
      <c r="M432" s="38">
        <v>0.75</v>
      </c>
      <c r="N432" s="38">
        <f t="shared" si="6"/>
        <v>1.5</v>
      </c>
    </row>
    <row r="433" spans="1:14">
      <c r="A433" s="29">
        <v>42746</v>
      </c>
      <c r="B433" s="22" t="s">
        <v>28</v>
      </c>
      <c r="C433" s="22" t="s">
        <v>271</v>
      </c>
      <c r="D433" s="48" t="s">
        <v>5</v>
      </c>
      <c r="E433" t="s">
        <v>160</v>
      </c>
      <c r="F433">
        <v>2016</v>
      </c>
      <c r="G433" t="s">
        <v>373</v>
      </c>
      <c r="H433" s="42" t="s">
        <v>57</v>
      </c>
      <c r="J433" t="s">
        <v>248</v>
      </c>
      <c r="L433" s="34">
        <v>2</v>
      </c>
      <c r="M433" s="38">
        <v>0.75</v>
      </c>
      <c r="N433" s="38">
        <f t="shared" si="6"/>
        <v>1.5</v>
      </c>
    </row>
    <row r="434" spans="1:14">
      <c r="A434" s="29">
        <v>42746</v>
      </c>
      <c r="B434" s="22" t="s">
        <v>28</v>
      </c>
      <c r="C434" s="22" t="s">
        <v>271</v>
      </c>
      <c r="D434" s="48" t="s">
        <v>5</v>
      </c>
      <c r="E434" t="s">
        <v>262</v>
      </c>
      <c r="F434">
        <v>2016</v>
      </c>
      <c r="G434" t="s">
        <v>306</v>
      </c>
      <c r="H434" s="42">
        <v>419</v>
      </c>
      <c r="J434" t="s">
        <v>248</v>
      </c>
      <c r="L434" s="34">
        <v>2</v>
      </c>
      <c r="M434" s="38">
        <v>0.75</v>
      </c>
      <c r="N434" s="38">
        <f t="shared" si="6"/>
        <v>1.5</v>
      </c>
    </row>
    <row r="435" spans="1:14">
      <c r="A435" s="29">
        <v>42746</v>
      </c>
      <c r="B435" s="22" t="s">
        <v>28</v>
      </c>
      <c r="C435" s="22" t="s">
        <v>271</v>
      </c>
      <c r="D435" s="48" t="s">
        <v>5</v>
      </c>
      <c r="E435" t="s">
        <v>157</v>
      </c>
      <c r="F435">
        <v>2016</v>
      </c>
      <c r="G435" t="s">
        <v>250</v>
      </c>
      <c r="H435" s="42">
        <v>14</v>
      </c>
      <c r="J435" t="s">
        <v>248</v>
      </c>
      <c r="L435" s="34">
        <v>2</v>
      </c>
      <c r="M435" s="38">
        <v>0.75</v>
      </c>
      <c r="N435" s="38">
        <f t="shared" si="6"/>
        <v>1.5</v>
      </c>
    </row>
    <row r="436" spans="1:14">
      <c r="A436" s="29">
        <v>42746</v>
      </c>
      <c r="B436" s="22" t="s">
        <v>28</v>
      </c>
      <c r="C436" s="22" t="s">
        <v>271</v>
      </c>
      <c r="D436" s="48" t="s">
        <v>5</v>
      </c>
      <c r="E436" t="s">
        <v>157</v>
      </c>
      <c r="F436">
        <v>2016</v>
      </c>
      <c r="G436" t="s">
        <v>254</v>
      </c>
      <c r="H436" s="42">
        <v>411</v>
      </c>
      <c r="J436" t="s">
        <v>248</v>
      </c>
      <c r="L436" s="34">
        <v>2</v>
      </c>
      <c r="M436" s="38">
        <v>0.75</v>
      </c>
      <c r="N436" s="38">
        <f t="shared" si="6"/>
        <v>1.5</v>
      </c>
    </row>
    <row r="437" spans="1:14">
      <c r="A437" s="29">
        <v>42746</v>
      </c>
      <c r="B437" s="22" t="s">
        <v>28</v>
      </c>
      <c r="C437" s="22" t="s">
        <v>271</v>
      </c>
      <c r="D437" s="48" t="s">
        <v>5</v>
      </c>
      <c r="E437" t="s">
        <v>157</v>
      </c>
      <c r="F437">
        <v>2016</v>
      </c>
      <c r="G437" t="s">
        <v>257</v>
      </c>
      <c r="H437" s="42">
        <v>313</v>
      </c>
      <c r="J437" t="s">
        <v>248</v>
      </c>
      <c r="L437" s="34">
        <v>2</v>
      </c>
      <c r="M437" s="38">
        <v>0.75</v>
      </c>
      <c r="N437" s="38">
        <f t="shared" si="6"/>
        <v>1.5</v>
      </c>
    </row>
    <row r="438" spans="1:14">
      <c r="A438" s="29">
        <v>42746</v>
      </c>
      <c r="B438" s="22" t="s">
        <v>28</v>
      </c>
      <c r="C438" s="22" t="s">
        <v>271</v>
      </c>
      <c r="D438" s="48" t="s">
        <v>5</v>
      </c>
      <c r="E438" t="s">
        <v>255</v>
      </c>
      <c r="F438">
        <v>2016</v>
      </c>
      <c r="G438" t="s">
        <v>57</v>
      </c>
      <c r="H438" s="42">
        <v>424</v>
      </c>
      <c r="J438" t="s">
        <v>248</v>
      </c>
      <c r="L438" s="34">
        <v>2</v>
      </c>
      <c r="M438" s="38">
        <v>0.75</v>
      </c>
      <c r="N438" s="38">
        <f t="shared" si="6"/>
        <v>1.5</v>
      </c>
    </row>
    <row r="439" spans="1:14">
      <c r="A439" s="29">
        <v>42746</v>
      </c>
      <c r="B439" s="22" t="s">
        <v>28</v>
      </c>
      <c r="C439" s="22" t="s">
        <v>271</v>
      </c>
      <c r="D439" s="48" t="s">
        <v>5</v>
      </c>
      <c r="E439" t="s">
        <v>255</v>
      </c>
      <c r="F439">
        <v>2016</v>
      </c>
      <c r="G439" t="s">
        <v>354</v>
      </c>
      <c r="H439" s="42" t="s">
        <v>57</v>
      </c>
      <c r="J439" t="s">
        <v>248</v>
      </c>
      <c r="L439" s="34">
        <v>2</v>
      </c>
      <c r="M439" s="38">
        <v>0.75</v>
      </c>
      <c r="N439" s="38">
        <f t="shared" si="6"/>
        <v>1.5</v>
      </c>
    </row>
    <row r="440" spans="1:14">
      <c r="A440" s="29">
        <v>42746</v>
      </c>
      <c r="B440" s="22" t="s">
        <v>28</v>
      </c>
      <c r="C440" s="22" t="s">
        <v>271</v>
      </c>
      <c r="D440" s="48" t="s">
        <v>5</v>
      </c>
      <c r="E440" t="s">
        <v>158</v>
      </c>
      <c r="F440">
        <v>2016</v>
      </c>
      <c r="G440" t="s">
        <v>57</v>
      </c>
      <c r="H440" s="42">
        <v>54</v>
      </c>
      <c r="J440" t="s">
        <v>248</v>
      </c>
      <c r="L440" s="34">
        <v>2</v>
      </c>
      <c r="M440" s="38">
        <v>0.75</v>
      </c>
      <c r="N440" s="38">
        <f t="shared" si="6"/>
        <v>1.5</v>
      </c>
    </row>
    <row r="441" spans="1:14">
      <c r="A441" s="29">
        <v>42746</v>
      </c>
      <c r="B441" s="22" t="s">
        <v>28</v>
      </c>
      <c r="C441" s="22" t="s">
        <v>271</v>
      </c>
      <c r="D441" s="48" t="s">
        <v>5</v>
      </c>
      <c r="E441" t="s">
        <v>158</v>
      </c>
      <c r="F441">
        <v>2016</v>
      </c>
      <c r="G441" t="s">
        <v>57</v>
      </c>
      <c r="H441" s="42">
        <v>184</v>
      </c>
      <c r="J441" t="s">
        <v>248</v>
      </c>
      <c r="L441" s="34">
        <v>2</v>
      </c>
      <c r="M441" s="38">
        <v>0.75</v>
      </c>
      <c r="N441" s="38">
        <f t="shared" si="6"/>
        <v>1.5</v>
      </c>
    </row>
    <row r="442" spans="1:14">
      <c r="A442" s="29">
        <v>42746</v>
      </c>
      <c r="B442" s="22" t="s">
        <v>28</v>
      </c>
      <c r="C442" s="22" t="s">
        <v>271</v>
      </c>
      <c r="D442" s="48" t="s">
        <v>8</v>
      </c>
      <c r="E442" t="s">
        <v>259</v>
      </c>
      <c r="F442">
        <v>2016</v>
      </c>
      <c r="G442" t="s">
        <v>57</v>
      </c>
      <c r="H442" s="42">
        <v>129</v>
      </c>
      <c r="J442" t="s">
        <v>248</v>
      </c>
      <c r="L442" s="34">
        <v>2</v>
      </c>
      <c r="M442" s="38">
        <v>0.75</v>
      </c>
      <c r="N442" s="38">
        <f t="shared" si="6"/>
        <v>1.5</v>
      </c>
    </row>
    <row r="443" spans="1:14">
      <c r="A443" s="29">
        <v>42746</v>
      </c>
      <c r="B443" s="22" t="s">
        <v>28</v>
      </c>
      <c r="C443" s="22" t="s">
        <v>271</v>
      </c>
      <c r="D443" s="48" t="s">
        <v>8</v>
      </c>
      <c r="E443" t="s">
        <v>183</v>
      </c>
      <c r="F443">
        <v>2016</v>
      </c>
      <c r="G443" t="s">
        <v>374</v>
      </c>
      <c r="H443" s="42">
        <v>413</v>
      </c>
      <c r="J443" t="s">
        <v>248</v>
      </c>
      <c r="L443" s="34">
        <v>2</v>
      </c>
      <c r="M443" s="38">
        <v>0.75</v>
      </c>
      <c r="N443" s="38">
        <f t="shared" si="6"/>
        <v>1.5</v>
      </c>
    </row>
    <row r="444" spans="1:14">
      <c r="A444" s="29">
        <v>42746</v>
      </c>
      <c r="B444" s="22" t="s">
        <v>28</v>
      </c>
      <c r="C444" s="22" t="s">
        <v>271</v>
      </c>
      <c r="D444" s="48" t="s">
        <v>8</v>
      </c>
      <c r="E444" t="s">
        <v>179</v>
      </c>
      <c r="F444">
        <v>2016</v>
      </c>
      <c r="G444" t="s">
        <v>309</v>
      </c>
      <c r="H444" s="42">
        <v>26</v>
      </c>
      <c r="J444" t="s">
        <v>248</v>
      </c>
      <c r="L444" s="34">
        <v>2</v>
      </c>
      <c r="M444" s="38">
        <v>0.75</v>
      </c>
      <c r="N444" s="38">
        <f t="shared" si="6"/>
        <v>1.5</v>
      </c>
    </row>
    <row r="445" spans="1:14">
      <c r="A445" s="29">
        <v>42746</v>
      </c>
      <c r="B445" s="22" t="s">
        <v>28</v>
      </c>
      <c r="C445" s="22" t="s">
        <v>271</v>
      </c>
      <c r="D445" s="48" t="s">
        <v>8</v>
      </c>
      <c r="E445" t="s">
        <v>177</v>
      </c>
      <c r="F445">
        <v>2016</v>
      </c>
      <c r="G445" t="s">
        <v>57</v>
      </c>
      <c r="H445" s="42">
        <v>312</v>
      </c>
      <c r="J445" t="s">
        <v>248</v>
      </c>
      <c r="L445" s="34">
        <v>2</v>
      </c>
      <c r="M445" s="38">
        <v>0.75</v>
      </c>
      <c r="N445" s="38">
        <f t="shared" si="6"/>
        <v>1.5</v>
      </c>
    </row>
    <row r="446" spans="1:14">
      <c r="A446" s="29">
        <v>42746</v>
      </c>
      <c r="B446" s="22" t="s">
        <v>28</v>
      </c>
      <c r="C446" s="22" t="s">
        <v>271</v>
      </c>
      <c r="D446" s="48" t="s">
        <v>8</v>
      </c>
      <c r="E446" t="s">
        <v>180</v>
      </c>
      <c r="F446">
        <v>2016</v>
      </c>
      <c r="G446" t="s">
        <v>57</v>
      </c>
      <c r="H446" s="42">
        <v>84</v>
      </c>
      <c r="J446" t="s">
        <v>248</v>
      </c>
      <c r="L446" s="34">
        <v>2</v>
      </c>
      <c r="M446" s="38">
        <v>0.75</v>
      </c>
      <c r="N446" s="38">
        <f t="shared" si="6"/>
        <v>1.5</v>
      </c>
    </row>
    <row r="447" spans="1:14">
      <c r="A447" s="29">
        <v>42746</v>
      </c>
      <c r="B447" s="22" t="s">
        <v>28</v>
      </c>
      <c r="C447" s="22" t="s">
        <v>271</v>
      </c>
      <c r="D447" s="48" t="s">
        <v>11</v>
      </c>
      <c r="E447" t="s">
        <v>180</v>
      </c>
      <c r="F447">
        <v>2016</v>
      </c>
      <c r="G447" t="s">
        <v>375</v>
      </c>
      <c r="H447" s="42" t="s">
        <v>57</v>
      </c>
      <c r="J447" t="s">
        <v>248</v>
      </c>
      <c r="L447" s="34">
        <v>2</v>
      </c>
      <c r="M447" s="38">
        <v>0.75</v>
      </c>
      <c r="N447" s="38">
        <f t="shared" si="6"/>
        <v>1.5</v>
      </c>
    </row>
    <row r="448" spans="1:14">
      <c r="A448" s="29">
        <v>42746</v>
      </c>
      <c r="B448" s="22" t="s">
        <v>28</v>
      </c>
      <c r="C448" s="22" t="s">
        <v>271</v>
      </c>
      <c r="D448" s="48" t="s">
        <v>11</v>
      </c>
      <c r="E448" t="s">
        <v>179</v>
      </c>
      <c r="F448">
        <v>2016</v>
      </c>
      <c r="G448" t="s">
        <v>376</v>
      </c>
      <c r="H448" s="42" t="s">
        <v>57</v>
      </c>
      <c r="J448" t="s">
        <v>248</v>
      </c>
      <c r="L448" s="34">
        <v>2</v>
      </c>
      <c r="M448" s="38">
        <v>0.75</v>
      </c>
      <c r="N448" s="38">
        <f t="shared" si="6"/>
        <v>1.5</v>
      </c>
    </row>
    <row r="449" spans="1:14">
      <c r="A449" s="29">
        <v>42746</v>
      </c>
      <c r="B449" s="22" t="s">
        <v>28</v>
      </c>
      <c r="C449" s="22" t="s">
        <v>271</v>
      </c>
      <c r="D449" s="48" t="s">
        <v>11</v>
      </c>
      <c r="E449" t="s">
        <v>177</v>
      </c>
      <c r="F449">
        <v>2016</v>
      </c>
      <c r="G449" t="s">
        <v>317</v>
      </c>
      <c r="H449" s="42">
        <v>138</v>
      </c>
      <c r="J449" t="s">
        <v>248</v>
      </c>
      <c r="L449" s="34">
        <v>2</v>
      </c>
      <c r="M449" s="38">
        <v>0.75</v>
      </c>
      <c r="N449" s="38">
        <f t="shared" si="6"/>
        <v>1.5</v>
      </c>
    </row>
    <row r="450" spans="1:14">
      <c r="A450" s="29">
        <v>42747</v>
      </c>
      <c r="B450" s="22" t="s">
        <v>57</v>
      </c>
      <c r="C450" s="22" t="s">
        <v>38</v>
      </c>
      <c r="D450" s="48" t="s">
        <v>5</v>
      </c>
      <c r="E450" t="s">
        <v>157</v>
      </c>
      <c r="F450">
        <v>2016</v>
      </c>
      <c r="G450" t="s">
        <v>250</v>
      </c>
      <c r="H450" s="42">
        <v>14</v>
      </c>
      <c r="J450" t="s">
        <v>248</v>
      </c>
      <c r="L450" s="34">
        <v>4</v>
      </c>
      <c r="M450" s="38">
        <v>0.75</v>
      </c>
      <c r="N450" s="38">
        <f t="shared" si="6"/>
        <v>3</v>
      </c>
    </row>
    <row r="451" spans="1:14">
      <c r="A451" s="29">
        <v>42747</v>
      </c>
      <c r="B451" s="22" t="s">
        <v>57</v>
      </c>
      <c r="C451" s="22" t="s">
        <v>38</v>
      </c>
      <c r="D451" s="48" t="s">
        <v>5</v>
      </c>
      <c r="E451" t="s">
        <v>157</v>
      </c>
      <c r="F451">
        <v>2016</v>
      </c>
      <c r="G451" t="s">
        <v>254</v>
      </c>
      <c r="H451" s="42">
        <v>411</v>
      </c>
      <c r="J451" t="s">
        <v>248</v>
      </c>
      <c r="L451" s="34">
        <v>4</v>
      </c>
      <c r="M451" s="38">
        <v>0.75</v>
      </c>
      <c r="N451" s="38">
        <f t="shared" ref="N451:N514" si="7">M451*L451</f>
        <v>3</v>
      </c>
    </row>
    <row r="452" spans="1:14">
      <c r="A452" s="29">
        <v>42747</v>
      </c>
      <c r="B452" s="22" t="s">
        <v>63</v>
      </c>
      <c r="C452" s="22" t="s">
        <v>57</v>
      </c>
      <c r="D452" s="48" t="s">
        <v>5</v>
      </c>
      <c r="E452" t="s">
        <v>157</v>
      </c>
      <c r="F452">
        <v>2016</v>
      </c>
      <c r="G452" t="s">
        <v>250</v>
      </c>
      <c r="H452" s="42">
        <v>14</v>
      </c>
      <c r="J452" t="s">
        <v>248</v>
      </c>
      <c r="L452" s="34">
        <v>4</v>
      </c>
      <c r="M452" s="38">
        <v>0.75</v>
      </c>
      <c r="N452" s="38">
        <f t="shared" si="7"/>
        <v>3</v>
      </c>
    </row>
    <row r="453" spans="1:14">
      <c r="A453" s="29">
        <v>42747</v>
      </c>
      <c r="B453" s="22" t="s">
        <v>63</v>
      </c>
      <c r="C453" s="22" t="s">
        <v>57</v>
      </c>
      <c r="D453" s="48" t="s">
        <v>5</v>
      </c>
      <c r="E453" t="s">
        <v>255</v>
      </c>
      <c r="F453">
        <v>2016</v>
      </c>
      <c r="G453" t="s">
        <v>57</v>
      </c>
      <c r="H453" s="42">
        <v>424</v>
      </c>
      <c r="J453" t="s">
        <v>248</v>
      </c>
      <c r="L453" s="34">
        <v>4</v>
      </c>
      <c r="M453" s="38">
        <v>0.75</v>
      </c>
      <c r="N453" s="38">
        <f t="shared" si="7"/>
        <v>3</v>
      </c>
    </row>
    <row r="454" spans="1:14">
      <c r="A454" s="29">
        <v>42747</v>
      </c>
      <c r="B454" s="22" t="s">
        <v>28</v>
      </c>
      <c r="C454" s="22" t="s">
        <v>271</v>
      </c>
      <c r="D454" s="48" t="s">
        <v>5</v>
      </c>
      <c r="E454" t="s">
        <v>157</v>
      </c>
      <c r="F454">
        <v>2016</v>
      </c>
      <c r="G454" t="s">
        <v>250</v>
      </c>
      <c r="H454" s="42">
        <v>14</v>
      </c>
      <c r="J454" t="s">
        <v>248</v>
      </c>
      <c r="L454" s="34">
        <v>2</v>
      </c>
      <c r="M454" s="38">
        <v>0.75</v>
      </c>
      <c r="N454" s="38">
        <f t="shared" si="7"/>
        <v>1.5</v>
      </c>
    </row>
    <row r="455" spans="1:14">
      <c r="A455" s="29">
        <v>42747</v>
      </c>
      <c r="B455" s="22" t="s">
        <v>28</v>
      </c>
      <c r="C455" s="22" t="s">
        <v>271</v>
      </c>
      <c r="D455" s="48" t="s">
        <v>5</v>
      </c>
      <c r="E455" t="s">
        <v>157</v>
      </c>
      <c r="F455">
        <v>2016</v>
      </c>
      <c r="G455" t="s">
        <v>254</v>
      </c>
      <c r="H455" s="42">
        <v>411</v>
      </c>
      <c r="J455" t="s">
        <v>248</v>
      </c>
      <c r="L455" s="34">
        <v>2</v>
      </c>
      <c r="M455" s="38">
        <v>0.75</v>
      </c>
      <c r="N455" s="38">
        <f t="shared" si="7"/>
        <v>1.5</v>
      </c>
    </row>
    <row r="456" spans="1:14">
      <c r="A456" s="29">
        <v>42748</v>
      </c>
      <c r="B456" s="22" t="s">
        <v>115</v>
      </c>
      <c r="C456" s="22" t="s">
        <v>57</v>
      </c>
      <c r="D456" s="48" t="s">
        <v>5</v>
      </c>
      <c r="E456" t="s">
        <v>157</v>
      </c>
      <c r="F456">
        <v>2016</v>
      </c>
      <c r="G456" t="s">
        <v>57</v>
      </c>
      <c r="H456" s="42">
        <v>313</v>
      </c>
      <c r="J456" t="s">
        <v>248</v>
      </c>
      <c r="L456" s="34">
        <v>2</v>
      </c>
      <c r="M456" s="38">
        <v>0.75</v>
      </c>
      <c r="N456" s="38">
        <f t="shared" si="7"/>
        <v>1.5</v>
      </c>
    </row>
    <row r="457" spans="1:14">
      <c r="A457" s="29">
        <v>42748</v>
      </c>
      <c r="B457" s="22" t="s">
        <v>115</v>
      </c>
      <c r="C457" s="22" t="s">
        <v>57</v>
      </c>
      <c r="D457" s="48" t="s">
        <v>5</v>
      </c>
      <c r="E457" t="s">
        <v>157</v>
      </c>
      <c r="F457">
        <v>2016</v>
      </c>
      <c r="G457" t="s">
        <v>254</v>
      </c>
      <c r="H457" s="42">
        <v>411</v>
      </c>
      <c r="J457" t="s">
        <v>248</v>
      </c>
      <c r="L457" s="34">
        <v>2</v>
      </c>
      <c r="M457" s="38">
        <v>0.75</v>
      </c>
      <c r="N457" s="38">
        <f t="shared" si="7"/>
        <v>1.5</v>
      </c>
    </row>
    <row r="458" spans="1:14">
      <c r="A458" s="29">
        <v>42748</v>
      </c>
      <c r="B458" s="22" t="s">
        <v>115</v>
      </c>
      <c r="C458" s="22" t="s">
        <v>57</v>
      </c>
      <c r="D458" s="48" t="s">
        <v>5</v>
      </c>
      <c r="E458" t="s">
        <v>255</v>
      </c>
      <c r="F458">
        <v>2016</v>
      </c>
      <c r="G458" t="s">
        <v>57</v>
      </c>
      <c r="H458" s="42">
        <v>424</v>
      </c>
      <c r="J458" t="s">
        <v>248</v>
      </c>
      <c r="L458" s="34">
        <v>2</v>
      </c>
      <c r="M458" s="38">
        <v>0.75</v>
      </c>
      <c r="N458" s="38">
        <f t="shared" si="7"/>
        <v>1.5</v>
      </c>
    </row>
    <row r="459" spans="1:14">
      <c r="A459" s="29">
        <v>42748</v>
      </c>
      <c r="B459" s="22" t="s">
        <v>115</v>
      </c>
      <c r="C459" s="22" t="s">
        <v>57</v>
      </c>
      <c r="D459" s="48" t="s">
        <v>5</v>
      </c>
      <c r="E459" t="s">
        <v>255</v>
      </c>
      <c r="F459">
        <v>2016</v>
      </c>
      <c r="G459" t="s">
        <v>377</v>
      </c>
      <c r="H459" s="42" t="s">
        <v>57</v>
      </c>
      <c r="J459" t="s">
        <v>248</v>
      </c>
      <c r="K459" t="s">
        <v>378</v>
      </c>
      <c r="L459" s="34">
        <v>2</v>
      </c>
      <c r="M459" s="38">
        <v>0.75</v>
      </c>
      <c r="N459" s="38">
        <f t="shared" si="7"/>
        <v>1.5</v>
      </c>
    </row>
    <row r="460" spans="1:14">
      <c r="A460" s="29">
        <v>42748</v>
      </c>
      <c r="B460" s="22" t="s">
        <v>115</v>
      </c>
      <c r="C460" s="22" t="s">
        <v>57</v>
      </c>
      <c r="D460" s="48" t="s">
        <v>5</v>
      </c>
      <c r="E460" t="s">
        <v>158</v>
      </c>
      <c r="F460">
        <v>2016</v>
      </c>
      <c r="G460" t="s">
        <v>57</v>
      </c>
      <c r="H460" s="42">
        <v>184</v>
      </c>
      <c r="J460" t="s">
        <v>248</v>
      </c>
      <c r="K460" t="s">
        <v>379</v>
      </c>
      <c r="L460" s="34">
        <v>2</v>
      </c>
      <c r="M460" s="38">
        <v>0.75</v>
      </c>
      <c r="N460" s="38">
        <f t="shared" si="7"/>
        <v>1.5</v>
      </c>
    </row>
    <row r="461" spans="1:14">
      <c r="A461" s="29">
        <v>42748</v>
      </c>
      <c r="B461" s="22" t="s">
        <v>115</v>
      </c>
      <c r="C461" s="22" t="s">
        <v>57</v>
      </c>
      <c r="D461" s="48" t="s">
        <v>5</v>
      </c>
      <c r="E461" t="s">
        <v>272</v>
      </c>
      <c r="F461">
        <v>2016</v>
      </c>
      <c r="G461" t="s">
        <v>374</v>
      </c>
      <c r="H461" s="42">
        <v>413</v>
      </c>
      <c r="J461" t="s">
        <v>248</v>
      </c>
      <c r="L461" s="34">
        <v>2</v>
      </c>
      <c r="M461" s="38">
        <v>0.75</v>
      </c>
      <c r="N461" s="38">
        <f t="shared" si="7"/>
        <v>1.5</v>
      </c>
    </row>
    <row r="462" spans="1:14">
      <c r="A462" s="29">
        <v>42748</v>
      </c>
      <c r="B462" s="22" t="s">
        <v>57</v>
      </c>
      <c r="C462" s="22" t="s">
        <v>45</v>
      </c>
      <c r="D462" s="48" t="s">
        <v>5</v>
      </c>
      <c r="E462" t="s">
        <v>157</v>
      </c>
      <c r="F462">
        <v>2016</v>
      </c>
      <c r="G462" t="s">
        <v>247</v>
      </c>
      <c r="H462" s="42">
        <v>94</v>
      </c>
      <c r="J462" t="s">
        <v>248</v>
      </c>
      <c r="L462" s="34">
        <v>2</v>
      </c>
      <c r="M462" s="38">
        <v>0.75</v>
      </c>
      <c r="N462" s="38">
        <f t="shared" si="7"/>
        <v>1.5</v>
      </c>
    </row>
    <row r="463" spans="1:14">
      <c r="A463" s="29">
        <v>42748</v>
      </c>
      <c r="B463" s="22" t="s">
        <v>57</v>
      </c>
      <c r="C463" s="22" t="s">
        <v>45</v>
      </c>
      <c r="D463" s="48" t="s">
        <v>5</v>
      </c>
      <c r="E463" t="s">
        <v>157</v>
      </c>
      <c r="F463">
        <v>2016</v>
      </c>
      <c r="G463" t="s">
        <v>250</v>
      </c>
      <c r="H463" s="42">
        <v>14</v>
      </c>
      <c r="J463" t="s">
        <v>248</v>
      </c>
      <c r="L463" s="34">
        <v>2</v>
      </c>
      <c r="M463" s="38">
        <v>0.75</v>
      </c>
      <c r="N463" s="38">
        <f t="shared" si="7"/>
        <v>1.5</v>
      </c>
    </row>
    <row r="464" spans="1:14">
      <c r="A464" s="29">
        <v>42748</v>
      </c>
      <c r="B464" s="22" t="s">
        <v>57</v>
      </c>
      <c r="C464" s="22" t="s">
        <v>45</v>
      </c>
      <c r="D464" s="48" t="s">
        <v>5</v>
      </c>
      <c r="E464" t="s">
        <v>157</v>
      </c>
      <c r="F464">
        <v>2016</v>
      </c>
      <c r="G464" t="s">
        <v>254</v>
      </c>
      <c r="H464" s="42">
        <v>411</v>
      </c>
      <c r="J464" t="s">
        <v>248</v>
      </c>
      <c r="L464" s="34">
        <v>2</v>
      </c>
      <c r="M464" s="38">
        <v>0.75</v>
      </c>
      <c r="N464" s="38">
        <f t="shared" si="7"/>
        <v>1.5</v>
      </c>
    </row>
    <row r="465" spans="1:14">
      <c r="A465" s="29">
        <v>42748</v>
      </c>
      <c r="B465" s="22" t="s">
        <v>57</v>
      </c>
      <c r="C465" s="22" t="s">
        <v>45</v>
      </c>
      <c r="D465" s="48" t="s">
        <v>5</v>
      </c>
      <c r="E465" t="s">
        <v>157</v>
      </c>
      <c r="F465">
        <v>2016</v>
      </c>
      <c r="G465" t="s">
        <v>57</v>
      </c>
      <c r="H465" s="42">
        <v>313</v>
      </c>
      <c r="J465" t="s">
        <v>248</v>
      </c>
      <c r="L465" s="34">
        <v>2</v>
      </c>
      <c r="M465" s="38">
        <v>0.75</v>
      </c>
      <c r="N465" s="38">
        <f t="shared" si="7"/>
        <v>1.5</v>
      </c>
    </row>
    <row r="466" spans="1:14">
      <c r="A466" s="29">
        <v>42748</v>
      </c>
      <c r="B466" s="22" t="s">
        <v>57</v>
      </c>
      <c r="C466" s="22" t="s">
        <v>45</v>
      </c>
      <c r="D466" s="48" t="s">
        <v>5</v>
      </c>
      <c r="E466" t="s">
        <v>159</v>
      </c>
      <c r="F466">
        <v>2016</v>
      </c>
      <c r="G466" t="s">
        <v>319</v>
      </c>
      <c r="H466" s="42">
        <v>401</v>
      </c>
      <c r="J466" t="s">
        <v>248</v>
      </c>
      <c r="L466" s="34">
        <v>2</v>
      </c>
      <c r="M466" s="38">
        <v>0.75</v>
      </c>
      <c r="N466" s="38">
        <f t="shared" si="7"/>
        <v>1.5</v>
      </c>
    </row>
    <row r="467" spans="1:14">
      <c r="A467" s="29">
        <v>42748</v>
      </c>
      <c r="B467" s="22" t="s">
        <v>115</v>
      </c>
      <c r="C467" s="22" t="s">
        <v>57</v>
      </c>
      <c r="D467" s="48" t="s">
        <v>8</v>
      </c>
      <c r="E467" t="s">
        <v>180</v>
      </c>
      <c r="F467">
        <v>2016</v>
      </c>
      <c r="G467" t="s">
        <v>57</v>
      </c>
      <c r="H467" s="42">
        <v>84</v>
      </c>
      <c r="J467" t="s">
        <v>248</v>
      </c>
      <c r="L467" s="34">
        <v>2</v>
      </c>
      <c r="M467" s="38">
        <v>0.75</v>
      </c>
      <c r="N467" s="38">
        <f t="shared" si="7"/>
        <v>1.5</v>
      </c>
    </row>
    <row r="468" spans="1:14">
      <c r="A468" s="29">
        <v>42748</v>
      </c>
      <c r="B468" s="22" t="s">
        <v>57</v>
      </c>
      <c r="C468" s="22" t="s">
        <v>45</v>
      </c>
      <c r="D468" s="48" t="s">
        <v>8</v>
      </c>
      <c r="E468" t="s">
        <v>180</v>
      </c>
      <c r="F468">
        <v>2016</v>
      </c>
      <c r="G468" t="s">
        <v>57</v>
      </c>
      <c r="H468" s="42">
        <v>84</v>
      </c>
      <c r="J468" t="s">
        <v>248</v>
      </c>
      <c r="L468" s="34">
        <v>2</v>
      </c>
      <c r="M468" s="38">
        <v>0.75</v>
      </c>
      <c r="N468" s="38">
        <f t="shared" si="7"/>
        <v>1.5</v>
      </c>
    </row>
    <row r="469" spans="1:14">
      <c r="A469" s="29">
        <v>42748</v>
      </c>
      <c r="B469" s="22" t="s">
        <v>57</v>
      </c>
      <c r="C469" s="22" t="s">
        <v>45</v>
      </c>
      <c r="D469" s="48" t="s">
        <v>5</v>
      </c>
      <c r="E469" t="s">
        <v>183</v>
      </c>
      <c r="F469">
        <v>2016</v>
      </c>
      <c r="G469" t="s">
        <v>307</v>
      </c>
      <c r="H469" s="42">
        <v>419</v>
      </c>
      <c r="J469" t="s">
        <v>248</v>
      </c>
      <c r="L469" s="34">
        <v>2</v>
      </c>
      <c r="M469" s="38">
        <v>0.75</v>
      </c>
      <c r="N469" s="38">
        <f t="shared" si="7"/>
        <v>1.5</v>
      </c>
    </row>
    <row r="470" spans="1:14">
      <c r="A470" s="29">
        <v>42751</v>
      </c>
      <c r="B470" s="22" t="s">
        <v>63</v>
      </c>
      <c r="C470" s="22" t="s">
        <v>57</v>
      </c>
      <c r="D470" s="48" t="s">
        <v>11</v>
      </c>
      <c r="E470" t="s">
        <v>179</v>
      </c>
      <c r="F470">
        <v>2016</v>
      </c>
      <c r="G470" t="s">
        <v>380</v>
      </c>
      <c r="H470" s="42" t="s">
        <v>57</v>
      </c>
      <c r="J470" t="s">
        <v>248</v>
      </c>
      <c r="L470" s="34">
        <v>6</v>
      </c>
      <c r="M470" s="38">
        <v>0.75</v>
      </c>
      <c r="N470" s="38">
        <f t="shared" si="7"/>
        <v>4.5</v>
      </c>
    </row>
    <row r="471" spans="1:14">
      <c r="A471" s="29">
        <v>42751</v>
      </c>
      <c r="B471" s="22" t="s">
        <v>63</v>
      </c>
      <c r="C471" s="22" t="s">
        <v>57</v>
      </c>
      <c r="D471" s="48" t="s">
        <v>5</v>
      </c>
      <c r="E471" t="s">
        <v>159</v>
      </c>
      <c r="F471">
        <v>2016</v>
      </c>
      <c r="G471" t="s">
        <v>247</v>
      </c>
      <c r="H471" s="42">
        <v>56</v>
      </c>
      <c r="J471" t="s">
        <v>248</v>
      </c>
      <c r="L471" s="34">
        <v>2</v>
      </c>
      <c r="M471" s="38">
        <v>0.75</v>
      </c>
      <c r="N471" s="38">
        <f t="shared" si="7"/>
        <v>1.5</v>
      </c>
    </row>
    <row r="472" spans="1:14">
      <c r="A472" s="29">
        <v>42751</v>
      </c>
      <c r="B472" s="22" t="s">
        <v>63</v>
      </c>
      <c r="C472" s="22" t="s">
        <v>57</v>
      </c>
      <c r="D472" s="48" t="s">
        <v>5</v>
      </c>
      <c r="E472" t="s">
        <v>159</v>
      </c>
      <c r="F472">
        <v>2016</v>
      </c>
      <c r="G472" t="s">
        <v>326</v>
      </c>
      <c r="H472" s="42">
        <v>423</v>
      </c>
      <c r="J472" t="s">
        <v>248</v>
      </c>
      <c r="L472" s="34">
        <v>2</v>
      </c>
      <c r="M472" s="38">
        <v>0.75</v>
      </c>
      <c r="N472" s="38">
        <f t="shared" si="7"/>
        <v>1.5</v>
      </c>
    </row>
    <row r="473" spans="1:14">
      <c r="A473" s="29">
        <v>42751</v>
      </c>
      <c r="B473" s="22" t="s">
        <v>57</v>
      </c>
      <c r="C473" s="22" t="s">
        <v>249</v>
      </c>
      <c r="D473" s="48" t="s">
        <v>11</v>
      </c>
      <c r="E473" t="s">
        <v>179</v>
      </c>
      <c r="F473">
        <v>2016</v>
      </c>
      <c r="G473" t="s">
        <v>380</v>
      </c>
      <c r="H473" s="42" t="s">
        <v>57</v>
      </c>
      <c r="J473" t="s">
        <v>248</v>
      </c>
      <c r="L473" s="34">
        <v>4</v>
      </c>
      <c r="M473" s="38">
        <v>0.75</v>
      </c>
      <c r="N473" s="38">
        <f t="shared" si="7"/>
        <v>3</v>
      </c>
    </row>
    <row r="474" spans="1:14">
      <c r="A474" s="29">
        <v>42751</v>
      </c>
      <c r="B474" s="22" t="s">
        <v>57</v>
      </c>
      <c r="C474" s="22" t="s">
        <v>249</v>
      </c>
      <c r="D474" s="48" t="s">
        <v>5</v>
      </c>
      <c r="E474" t="s">
        <v>262</v>
      </c>
      <c r="F474">
        <v>2016</v>
      </c>
      <c r="G474" t="s">
        <v>307</v>
      </c>
      <c r="H474" s="42">
        <v>419</v>
      </c>
      <c r="J474" t="s">
        <v>248</v>
      </c>
      <c r="L474" s="34">
        <v>3</v>
      </c>
      <c r="M474" s="38">
        <v>0.75</v>
      </c>
      <c r="N474" s="38">
        <f t="shared" si="7"/>
        <v>2.25</v>
      </c>
    </row>
    <row r="475" spans="1:14">
      <c r="A475" s="29">
        <v>42751</v>
      </c>
      <c r="B475" s="22" t="s">
        <v>57</v>
      </c>
      <c r="C475" s="22" t="s">
        <v>249</v>
      </c>
      <c r="D475" s="48" t="s">
        <v>5</v>
      </c>
      <c r="E475" t="s">
        <v>157</v>
      </c>
      <c r="F475">
        <v>2016</v>
      </c>
      <c r="G475" t="s">
        <v>247</v>
      </c>
      <c r="H475" s="42">
        <v>94</v>
      </c>
      <c r="J475" t="s">
        <v>248</v>
      </c>
      <c r="L475" s="34">
        <v>3</v>
      </c>
      <c r="M475" s="38">
        <v>0.75</v>
      </c>
      <c r="N475" s="38">
        <f t="shared" si="7"/>
        <v>2.25</v>
      </c>
    </row>
    <row r="476" spans="1:14">
      <c r="A476" s="29">
        <v>42751</v>
      </c>
      <c r="B476" s="22" t="s">
        <v>57</v>
      </c>
      <c r="C476" s="22" t="s">
        <v>249</v>
      </c>
      <c r="D476" s="48" t="s">
        <v>8</v>
      </c>
      <c r="E476" t="s">
        <v>272</v>
      </c>
      <c r="F476">
        <v>2016</v>
      </c>
      <c r="G476" t="s">
        <v>374</v>
      </c>
      <c r="H476" s="42">
        <v>413</v>
      </c>
      <c r="J476" t="s">
        <v>248</v>
      </c>
      <c r="L476" s="34">
        <v>3</v>
      </c>
      <c r="M476" s="38">
        <v>0.75</v>
      </c>
      <c r="N476" s="38">
        <f t="shared" si="7"/>
        <v>2.25</v>
      </c>
    </row>
    <row r="477" spans="1:14">
      <c r="A477" s="29">
        <v>42751</v>
      </c>
      <c r="B477" s="22" t="s">
        <v>109</v>
      </c>
      <c r="C477" s="22" t="s">
        <v>57</v>
      </c>
      <c r="D477" s="48" t="s">
        <v>8</v>
      </c>
      <c r="E477" t="s">
        <v>179</v>
      </c>
      <c r="F477">
        <v>2016</v>
      </c>
      <c r="G477" t="s">
        <v>309</v>
      </c>
      <c r="H477" s="42">
        <v>412</v>
      </c>
      <c r="J477" t="s">
        <v>248</v>
      </c>
      <c r="L477" s="34">
        <v>4</v>
      </c>
      <c r="M477" s="38">
        <v>0.75</v>
      </c>
      <c r="N477" s="38">
        <f t="shared" si="7"/>
        <v>3</v>
      </c>
    </row>
    <row r="478" spans="1:14">
      <c r="A478" s="29">
        <v>42751</v>
      </c>
      <c r="B478" s="22" t="s">
        <v>57</v>
      </c>
      <c r="C478" s="22" t="s">
        <v>249</v>
      </c>
      <c r="D478" s="48" t="s">
        <v>5</v>
      </c>
      <c r="E478" t="s">
        <v>159</v>
      </c>
      <c r="F478">
        <v>2016</v>
      </c>
      <c r="G478" t="s">
        <v>319</v>
      </c>
      <c r="H478" s="42">
        <v>401</v>
      </c>
      <c r="J478" t="s">
        <v>248</v>
      </c>
      <c r="L478" s="34">
        <v>3</v>
      </c>
      <c r="M478" s="38">
        <v>0.75</v>
      </c>
      <c r="N478" s="38">
        <f t="shared" si="7"/>
        <v>2.25</v>
      </c>
    </row>
    <row r="479" spans="1:14">
      <c r="A479" s="29">
        <v>42751</v>
      </c>
      <c r="B479" s="22" t="s">
        <v>57</v>
      </c>
      <c r="C479" s="22" t="s">
        <v>249</v>
      </c>
      <c r="D479" s="48" t="s">
        <v>5</v>
      </c>
      <c r="E479" t="s">
        <v>255</v>
      </c>
      <c r="F479">
        <v>2016</v>
      </c>
      <c r="G479" t="s">
        <v>57</v>
      </c>
      <c r="H479" s="42">
        <v>424</v>
      </c>
      <c r="J479" t="s">
        <v>248</v>
      </c>
      <c r="L479" s="34">
        <v>3</v>
      </c>
      <c r="M479" s="38">
        <v>0.75</v>
      </c>
      <c r="N479" s="38">
        <f t="shared" si="7"/>
        <v>2.25</v>
      </c>
    </row>
    <row r="480" spans="1:14">
      <c r="A480" s="29">
        <v>42751</v>
      </c>
      <c r="B480" s="22" t="s">
        <v>57</v>
      </c>
      <c r="C480" s="22" t="s">
        <v>249</v>
      </c>
      <c r="D480" s="48" t="s">
        <v>11</v>
      </c>
      <c r="E480" t="s">
        <v>177</v>
      </c>
      <c r="F480">
        <v>2016</v>
      </c>
      <c r="G480" t="s">
        <v>317</v>
      </c>
      <c r="H480" s="42">
        <v>138</v>
      </c>
      <c r="J480" t="s">
        <v>248</v>
      </c>
      <c r="L480" s="34">
        <v>3</v>
      </c>
      <c r="M480" s="38">
        <v>0.75</v>
      </c>
      <c r="N480" s="38">
        <f t="shared" si="7"/>
        <v>2.25</v>
      </c>
    </row>
    <row r="481" spans="1:14">
      <c r="A481" s="29">
        <v>42751</v>
      </c>
      <c r="B481" s="22" t="s">
        <v>57</v>
      </c>
      <c r="C481" s="22" t="s">
        <v>249</v>
      </c>
      <c r="D481" s="48" t="s">
        <v>5</v>
      </c>
      <c r="E481" t="s">
        <v>160</v>
      </c>
      <c r="F481">
        <v>2016</v>
      </c>
      <c r="G481" t="s">
        <v>57</v>
      </c>
      <c r="H481" s="42">
        <v>10</v>
      </c>
      <c r="J481" t="s">
        <v>248</v>
      </c>
      <c r="L481" s="34">
        <v>3</v>
      </c>
      <c r="M481" s="38">
        <v>0.75</v>
      </c>
      <c r="N481" s="38">
        <f t="shared" si="7"/>
        <v>2.25</v>
      </c>
    </row>
    <row r="482" spans="1:14">
      <c r="A482" s="29">
        <v>42751</v>
      </c>
      <c r="B482" s="22" t="s">
        <v>109</v>
      </c>
      <c r="C482" s="22" t="s">
        <v>57</v>
      </c>
      <c r="D482" s="48" t="s">
        <v>5</v>
      </c>
      <c r="E482" t="s">
        <v>342</v>
      </c>
      <c r="F482">
        <v>2016</v>
      </c>
      <c r="G482" t="s">
        <v>309</v>
      </c>
      <c r="H482" s="42" t="s">
        <v>57</v>
      </c>
      <c r="J482" t="s">
        <v>248</v>
      </c>
      <c r="L482" s="34">
        <v>3</v>
      </c>
      <c r="M482" s="38">
        <v>0.75</v>
      </c>
      <c r="N482" s="38">
        <f t="shared" si="7"/>
        <v>2.25</v>
      </c>
    </row>
    <row r="483" spans="1:14">
      <c r="A483" s="29">
        <v>42751</v>
      </c>
      <c r="B483" s="22" t="s">
        <v>57</v>
      </c>
      <c r="C483" s="22" t="s">
        <v>249</v>
      </c>
      <c r="D483" s="48" t="s">
        <v>11</v>
      </c>
      <c r="E483" t="s">
        <v>180</v>
      </c>
      <c r="F483">
        <v>2016</v>
      </c>
      <c r="G483" t="s">
        <v>180</v>
      </c>
      <c r="H483" s="42" t="s">
        <v>57</v>
      </c>
      <c r="J483" t="s">
        <v>248</v>
      </c>
      <c r="L483" s="34">
        <v>4</v>
      </c>
      <c r="M483" s="38">
        <v>0.75</v>
      </c>
      <c r="N483" s="38">
        <f t="shared" si="7"/>
        <v>3</v>
      </c>
    </row>
    <row r="484" spans="1:14">
      <c r="A484" s="29">
        <v>42751</v>
      </c>
      <c r="B484" s="22" t="s">
        <v>109</v>
      </c>
      <c r="C484" s="22" t="s">
        <v>57</v>
      </c>
      <c r="D484" s="48" t="s">
        <v>5</v>
      </c>
      <c r="E484" t="s">
        <v>308</v>
      </c>
      <c r="F484">
        <v>2016</v>
      </c>
      <c r="G484" t="s">
        <v>309</v>
      </c>
      <c r="H484" s="42" t="s">
        <v>57</v>
      </c>
      <c r="J484" t="s">
        <v>248</v>
      </c>
      <c r="L484" s="34">
        <v>3</v>
      </c>
      <c r="M484" s="38">
        <v>0.75</v>
      </c>
      <c r="N484" s="38">
        <f t="shared" si="7"/>
        <v>2.25</v>
      </c>
    </row>
    <row r="485" spans="1:14">
      <c r="A485" s="29">
        <v>42752</v>
      </c>
      <c r="B485" s="22" t="s">
        <v>81</v>
      </c>
      <c r="C485" s="22" t="s">
        <v>57</v>
      </c>
      <c r="D485" s="48" t="s">
        <v>5</v>
      </c>
      <c r="E485" t="s">
        <v>157</v>
      </c>
      <c r="F485">
        <v>2016</v>
      </c>
      <c r="G485" t="s">
        <v>247</v>
      </c>
      <c r="H485" s="42">
        <v>94</v>
      </c>
      <c r="J485" t="s">
        <v>248</v>
      </c>
      <c r="L485" s="34">
        <v>4</v>
      </c>
      <c r="M485" s="38">
        <v>0.75</v>
      </c>
      <c r="N485" s="38">
        <f t="shared" si="7"/>
        <v>3</v>
      </c>
    </row>
    <row r="486" spans="1:14">
      <c r="A486" s="29">
        <v>42752</v>
      </c>
      <c r="B486" s="22" t="s">
        <v>81</v>
      </c>
      <c r="C486" s="22" t="s">
        <v>57</v>
      </c>
      <c r="D486" s="48" t="s">
        <v>5</v>
      </c>
      <c r="E486" t="s">
        <v>157</v>
      </c>
      <c r="F486">
        <v>2016</v>
      </c>
      <c r="G486" t="s">
        <v>254</v>
      </c>
      <c r="H486" s="42">
        <v>411</v>
      </c>
      <c r="J486" t="s">
        <v>248</v>
      </c>
      <c r="L486" s="34">
        <v>4</v>
      </c>
      <c r="M486" s="38">
        <v>0.75</v>
      </c>
      <c r="N486" s="38">
        <f t="shared" si="7"/>
        <v>3</v>
      </c>
    </row>
    <row r="487" spans="1:14">
      <c r="A487" s="29">
        <v>42752</v>
      </c>
      <c r="B487" s="22" t="s">
        <v>81</v>
      </c>
      <c r="C487" s="22" t="s">
        <v>57</v>
      </c>
      <c r="D487" s="48" t="s">
        <v>5</v>
      </c>
      <c r="E487" t="s">
        <v>159</v>
      </c>
      <c r="F487">
        <v>2016</v>
      </c>
      <c r="G487" t="s">
        <v>326</v>
      </c>
      <c r="H487" s="42">
        <v>423</v>
      </c>
      <c r="J487" t="s">
        <v>248</v>
      </c>
      <c r="L487" s="34">
        <v>4</v>
      </c>
      <c r="M487" s="38">
        <v>0.75</v>
      </c>
      <c r="N487" s="38">
        <f t="shared" si="7"/>
        <v>3</v>
      </c>
    </row>
    <row r="488" spans="1:14">
      <c r="A488" s="29">
        <v>42753</v>
      </c>
      <c r="B488" s="22" t="s">
        <v>57</v>
      </c>
      <c r="C488" s="22" t="s">
        <v>38</v>
      </c>
      <c r="D488" s="48" t="s">
        <v>5</v>
      </c>
      <c r="E488" t="s">
        <v>159</v>
      </c>
      <c r="F488">
        <v>2016</v>
      </c>
      <c r="G488" t="s">
        <v>319</v>
      </c>
      <c r="H488" s="42">
        <v>401</v>
      </c>
      <c r="J488" t="s">
        <v>248</v>
      </c>
      <c r="L488" s="34">
        <v>2</v>
      </c>
      <c r="M488" s="38">
        <v>0.75</v>
      </c>
      <c r="N488" s="38">
        <f t="shared" si="7"/>
        <v>1.5</v>
      </c>
    </row>
    <row r="489" spans="1:14">
      <c r="A489" s="29">
        <v>42753</v>
      </c>
      <c r="B489" s="22" t="s">
        <v>57</v>
      </c>
      <c r="C489" s="22" t="s">
        <v>38</v>
      </c>
      <c r="D489" s="48" t="s">
        <v>5</v>
      </c>
      <c r="E489" t="s">
        <v>157</v>
      </c>
      <c r="F489">
        <v>2016</v>
      </c>
      <c r="G489" t="s">
        <v>254</v>
      </c>
      <c r="H489" s="42">
        <v>411</v>
      </c>
      <c r="J489" t="s">
        <v>248</v>
      </c>
      <c r="L489" s="34">
        <v>2</v>
      </c>
      <c r="M489" s="38">
        <v>0.75</v>
      </c>
      <c r="N489" s="38">
        <f t="shared" si="7"/>
        <v>1.5</v>
      </c>
    </row>
    <row r="490" spans="1:14">
      <c r="A490" s="29">
        <v>42753</v>
      </c>
      <c r="B490" s="22" t="s">
        <v>57</v>
      </c>
      <c r="C490" s="22" t="s">
        <v>38</v>
      </c>
      <c r="D490" s="48" t="s">
        <v>5</v>
      </c>
      <c r="E490" t="s">
        <v>157</v>
      </c>
      <c r="F490">
        <v>2016</v>
      </c>
      <c r="G490" t="s">
        <v>247</v>
      </c>
      <c r="H490" s="42">
        <v>94</v>
      </c>
      <c r="J490" t="s">
        <v>248</v>
      </c>
      <c r="L490" s="34">
        <v>2</v>
      </c>
      <c r="M490" s="38">
        <v>0.75</v>
      </c>
      <c r="N490" s="38">
        <f t="shared" si="7"/>
        <v>1.5</v>
      </c>
    </row>
    <row r="491" spans="1:14">
      <c r="A491" s="29">
        <v>42753</v>
      </c>
      <c r="B491" s="22" t="s">
        <v>57</v>
      </c>
      <c r="C491" s="22" t="s">
        <v>18</v>
      </c>
      <c r="D491" s="48" t="s">
        <v>5</v>
      </c>
      <c r="E491" t="s">
        <v>381</v>
      </c>
      <c r="F491">
        <v>2016</v>
      </c>
      <c r="G491" t="s">
        <v>306</v>
      </c>
      <c r="H491" s="42">
        <v>419</v>
      </c>
      <c r="J491" t="s">
        <v>248</v>
      </c>
      <c r="L491" s="34">
        <v>2</v>
      </c>
      <c r="M491" s="38">
        <v>0.75</v>
      </c>
      <c r="N491" s="38">
        <f t="shared" si="7"/>
        <v>1.5</v>
      </c>
    </row>
    <row r="492" spans="1:14">
      <c r="A492" s="29">
        <v>42753</v>
      </c>
      <c r="B492" s="22" t="s">
        <v>57</v>
      </c>
      <c r="C492" s="22" t="s">
        <v>18</v>
      </c>
      <c r="D492" s="48" t="s">
        <v>5</v>
      </c>
      <c r="E492" t="s">
        <v>157</v>
      </c>
      <c r="F492">
        <v>2016</v>
      </c>
      <c r="G492" t="s">
        <v>57</v>
      </c>
      <c r="H492" s="42">
        <v>313</v>
      </c>
      <c r="J492" t="s">
        <v>248</v>
      </c>
      <c r="L492" s="34">
        <v>2</v>
      </c>
      <c r="M492" s="38">
        <v>0.75</v>
      </c>
      <c r="N492" s="38">
        <f t="shared" si="7"/>
        <v>1.5</v>
      </c>
    </row>
    <row r="493" spans="1:14">
      <c r="A493" s="29">
        <v>42753</v>
      </c>
      <c r="B493" s="22" t="s">
        <v>57</v>
      </c>
      <c r="C493" s="22" t="s">
        <v>18</v>
      </c>
      <c r="D493" s="48" t="s">
        <v>5</v>
      </c>
      <c r="E493" t="s">
        <v>157</v>
      </c>
      <c r="F493">
        <v>2016</v>
      </c>
      <c r="G493" t="s">
        <v>250</v>
      </c>
      <c r="H493" s="42">
        <v>14</v>
      </c>
      <c r="J493" t="s">
        <v>248</v>
      </c>
      <c r="L493" s="34">
        <v>2</v>
      </c>
      <c r="M493" s="38">
        <v>0.75</v>
      </c>
      <c r="N493" s="38">
        <f t="shared" si="7"/>
        <v>1.5</v>
      </c>
    </row>
    <row r="494" spans="1:14">
      <c r="A494" s="29">
        <v>42753</v>
      </c>
      <c r="B494" s="22" t="s">
        <v>57</v>
      </c>
      <c r="C494" s="22" t="s">
        <v>18</v>
      </c>
      <c r="D494" s="48" t="s">
        <v>5</v>
      </c>
      <c r="E494" t="s">
        <v>157</v>
      </c>
      <c r="F494">
        <v>2016</v>
      </c>
      <c r="G494" t="s">
        <v>254</v>
      </c>
      <c r="H494" s="42">
        <v>411</v>
      </c>
      <c r="J494" t="s">
        <v>248</v>
      </c>
      <c r="L494" s="34">
        <v>2</v>
      </c>
      <c r="M494" s="38">
        <v>0.75</v>
      </c>
      <c r="N494" s="38">
        <f t="shared" si="7"/>
        <v>1.5</v>
      </c>
    </row>
    <row r="495" spans="1:14">
      <c r="A495" s="29">
        <v>42753</v>
      </c>
      <c r="B495" s="22" t="s">
        <v>57</v>
      </c>
      <c r="C495" s="22" t="s">
        <v>18</v>
      </c>
      <c r="D495" s="48" t="s">
        <v>5</v>
      </c>
      <c r="E495" t="s">
        <v>157</v>
      </c>
      <c r="F495">
        <v>2016</v>
      </c>
      <c r="G495" t="s">
        <v>247</v>
      </c>
      <c r="H495" s="42">
        <v>94</v>
      </c>
      <c r="J495" t="s">
        <v>248</v>
      </c>
      <c r="L495" s="34">
        <v>2</v>
      </c>
      <c r="M495" s="38">
        <v>0.75</v>
      </c>
      <c r="N495" s="38">
        <f t="shared" si="7"/>
        <v>1.5</v>
      </c>
    </row>
    <row r="496" spans="1:14">
      <c r="A496" s="29">
        <v>42753</v>
      </c>
      <c r="B496" s="22" t="s">
        <v>57</v>
      </c>
      <c r="C496" s="22" t="s">
        <v>18</v>
      </c>
      <c r="D496" s="48" t="s">
        <v>11</v>
      </c>
      <c r="E496" t="s">
        <v>177</v>
      </c>
      <c r="F496">
        <v>2016</v>
      </c>
      <c r="G496" t="s">
        <v>333</v>
      </c>
      <c r="H496" s="42">
        <v>138</v>
      </c>
      <c r="J496" t="s">
        <v>248</v>
      </c>
      <c r="L496" s="34">
        <v>2</v>
      </c>
      <c r="M496" s="38">
        <v>0.75</v>
      </c>
      <c r="N496" s="38">
        <f t="shared" si="7"/>
        <v>1.5</v>
      </c>
    </row>
    <row r="497" spans="1:14">
      <c r="A497" s="29">
        <v>42753</v>
      </c>
      <c r="B497" s="22" t="s">
        <v>57</v>
      </c>
      <c r="C497" s="22" t="s">
        <v>18</v>
      </c>
      <c r="D497" s="48" t="s">
        <v>11</v>
      </c>
      <c r="E497" t="s">
        <v>180</v>
      </c>
      <c r="F497">
        <v>2016</v>
      </c>
      <c r="G497" t="s">
        <v>375</v>
      </c>
      <c r="H497" s="42" t="s">
        <v>57</v>
      </c>
      <c r="J497" t="s">
        <v>248</v>
      </c>
      <c r="L497" s="34">
        <v>2</v>
      </c>
      <c r="M497" s="38">
        <v>0.75</v>
      </c>
      <c r="N497" s="38">
        <f t="shared" si="7"/>
        <v>1.5</v>
      </c>
    </row>
    <row r="498" spans="1:14">
      <c r="A498" s="29">
        <v>42754</v>
      </c>
      <c r="B498" s="22" t="s">
        <v>110</v>
      </c>
      <c r="C498" s="22" t="s">
        <v>57</v>
      </c>
      <c r="D498" s="48" t="s">
        <v>5</v>
      </c>
      <c r="E498" t="s">
        <v>159</v>
      </c>
      <c r="F498">
        <v>2016</v>
      </c>
      <c r="G498" t="s">
        <v>326</v>
      </c>
      <c r="H498" s="42">
        <v>423</v>
      </c>
      <c r="J498" t="s">
        <v>248</v>
      </c>
      <c r="L498" s="34">
        <v>5</v>
      </c>
      <c r="M498" s="38">
        <v>0.75</v>
      </c>
      <c r="N498" s="38">
        <f t="shared" si="7"/>
        <v>3.75</v>
      </c>
    </row>
    <row r="499" spans="1:14">
      <c r="A499" s="29">
        <v>42755</v>
      </c>
      <c r="B499" s="22" t="s">
        <v>57</v>
      </c>
      <c r="C499" s="22" t="s">
        <v>22</v>
      </c>
      <c r="D499" s="48" t="s">
        <v>5</v>
      </c>
      <c r="E499" t="s">
        <v>157</v>
      </c>
      <c r="F499">
        <v>2016</v>
      </c>
      <c r="G499" t="s">
        <v>254</v>
      </c>
      <c r="H499" s="42">
        <v>49</v>
      </c>
      <c r="J499" t="s">
        <v>248</v>
      </c>
      <c r="L499" s="34">
        <v>1</v>
      </c>
      <c r="M499" s="38">
        <v>0.75</v>
      </c>
      <c r="N499" s="38">
        <f t="shared" si="7"/>
        <v>0.75</v>
      </c>
    </row>
    <row r="500" spans="1:14">
      <c r="A500" s="29">
        <v>42755</v>
      </c>
      <c r="B500" s="22" t="s">
        <v>57</v>
      </c>
      <c r="C500" s="22" t="s">
        <v>22</v>
      </c>
      <c r="D500" s="48" t="s">
        <v>5</v>
      </c>
      <c r="E500" t="s">
        <v>157</v>
      </c>
      <c r="F500">
        <v>2016</v>
      </c>
      <c r="G500" t="s">
        <v>257</v>
      </c>
      <c r="H500" s="42">
        <v>313</v>
      </c>
      <c r="J500" t="s">
        <v>248</v>
      </c>
      <c r="L500" s="34">
        <v>1</v>
      </c>
      <c r="M500" s="38">
        <v>0.75</v>
      </c>
      <c r="N500" s="38">
        <f t="shared" si="7"/>
        <v>0.75</v>
      </c>
    </row>
    <row r="501" spans="1:14">
      <c r="A501" s="29">
        <v>42758</v>
      </c>
      <c r="B501" s="22" t="s">
        <v>63</v>
      </c>
      <c r="C501" s="22" t="s">
        <v>57</v>
      </c>
      <c r="D501" s="48" t="s">
        <v>5</v>
      </c>
      <c r="E501" t="s">
        <v>158</v>
      </c>
      <c r="F501">
        <v>2016</v>
      </c>
      <c r="G501" t="s">
        <v>382</v>
      </c>
      <c r="H501" s="42" t="s">
        <v>57</v>
      </c>
      <c r="J501" t="s">
        <v>248</v>
      </c>
      <c r="K501" t="s">
        <v>383</v>
      </c>
      <c r="L501" s="34">
        <v>2</v>
      </c>
      <c r="M501" s="38">
        <v>0.75</v>
      </c>
      <c r="N501" s="38">
        <f t="shared" si="7"/>
        <v>1.5</v>
      </c>
    </row>
    <row r="502" spans="1:14">
      <c r="A502" s="29">
        <v>42758</v>
      </c>
      <c r="B502" s="22" t="s">
        <v>63</v>
      </c>
      <c r="C502" s="22" t="s">
        <v>57</v>
      </c>
      <c r="D502" s="48" t="s">
        <v>5</v>
      </c>
      <c r="E502" t="s">
        <v>262</v>
      </c>
      <c r="F502">
        <v>2016</v>
      </c>
      <c r="G502" t="s">
        <v>306</v>
      </c>
      <c r="H502" s="42">
        <v>419</v>
      </c>
      <c r="J502" t="s">
        <v>248</v>
      </c>
      <c r="L502" s="34">
        <v>2</v>
      </c>
      <c r="M502" s="38">
        <v>0.75</v>
      </c>
      <c r="N502" s="38">
        <f t="shared" si="7"/>
        <v>1.5</v>
      </c>
    </row>
    <row r="503" spans="1:14">
      <c r="A503" s="29">
        <v>42758</v>
      </c>
      <c r="B503" s="22" t="s">
        <v>63</v>
      </c>
      <c r="C503" s="22" t="s">
        <v>57</v>
      </c>
      <c r="D503" s="48" t="s">
        <v>11</v>
      </c>
      <c r="E503" t="s">
        <v>179</v>
      </c>
      <c r="F503">
        <v>2016</v>
      </c>
      <c r="G503" t="s">
        <v>380</v>
      </c>
      <c r="H503" s="42" t="s">
        <v>57</v>
      </c>
      <c r="J503" t="s">
        <v>248</v>
      </c>
      <c r="L503" s="34">
        <v>4</v>
      </c>
      <c r="M503" s="38">
        <v>0.75</v>
      </c>
      <c r="N503" s="38">
        <f t="shared" si="7"/>
        <v>3</v>
      </c>
    </row>
    <row r="504" spans="1:14">
      <c r="A504" s="29">
        <v>42758</v>
      </c>
      <c r="B504" s="22" t="s">
        <v>63</v>
      </c>
      <c r="C504" s="22" t="s">
        <v>57</v>
      </c>
      <c r="D504" s="48" t="s">
        <v>11</v>
      </c>
      <c r="E504" t="s">
        <v>177</v>
      </c>
      <c r="F504">
        <v>2016</v>
      </c>
      <c r="G504" t="s">
        <v>317</v>
      </c>
      <c r="H504" s="42">
        <v>142</v>
      </c>
      <c r="J504" t="s">
        <v>248</v>
      </c>
      <c r="L504" s="34">
        <v>4</v>
      </c>
      <c r="M504" s="38">
        <v>0.75</v>
      </c>
      <c r="N504" s="38">
        <f t="shared" si="7"/>
        <v>3</v>
      </c>
    </row>
    <row r="505" spans="1:14">
      <c r="A505" s="29">
        <v>42758</v>
      </c>
      <c r="B505" s="22" t="s">
        <v>57</v>
      </c>
      <c r="C505" s="22" t="s">
        <v>38</v>
      </c>
      <c r="D505" s="48" t="s">
        <v>8</v>
      </c>
      <c r="E505" t="s">
        <v>259</v>
      </c>
      <c r="F505">
        <v>2016</v>
      </c>
      <c r="G505" t="s">
        <v>57</v>
      </c>
      <c r="H505" s="42" t="s">
        <v>57</v>
      </c>
      <c r="J505" t="s">
        <v>248</v>
      </c>
      <c r="K505" t="s">
        <v>384</v>
      </c>
      <c r="L505" s="34">
        <v>3</v>
      </c>
      <c r="M505" s="38">
        <v>0.75</v>
      </c>
      <c r="N505" s="38">
        <f t="shared" si="7"/>
        <v>2.25</v>
      </c>
    </row>
    <row r="506" spans="1:14">
      <c r="A506" s="29">
        <v>42759</v>
      </c>
      <c r="B506" s="22" t="s">
        <v>112</v>
      </c>
      <c r="C506" s="22" t="s">
        <v>57</v>
      </c>
      <c r="D506" s="48" t="s">
        <v>5</v>
      </c>
      <c r="E506" t="s">
        <v>385</v>
      </c>
      <c r="F506">
        <v>2016</v>
      </c>
      <c r="G506" t="s">
        <v>386</v>
      </c>
      <c r="H506" s="42" t="s">
        <v>57</v>
      </c>
      <c r="J506" t="s">
        <v>248</v>
      </c>
      <c r="K506" t="s">
        <v>387</v>
      </c>
      <c r="L506" s="34">
        <v>4</v>
      </c>
      <c r="M506" s="38">
        <v>0.75</v>
      </c>
      <c r="N506" s="38">
        <f t="shared" si="7"/>
        <v>3</v>
      </c>
    </row>
    <row r="507" spans="1:14">
      <c r="A507" s="29">
        <v>42759</v>
      </c>
      <c r="B507" s="22" t="s">
        <v>63</v>
      </c>
      <c r="C507" s="22" t="s">
        <v>57</v>
      </c>
      <c r="D507" s="48" t="s">
        <v>5</v>
      </c>
      <c r="E507" t="s">
        <v>158</v>
      </c>
      <c r="F507">
        <v>2016</v>
      </c>
      <c r="G507" t="s">
        <v>382</v>
      </c>
      <c r="H507" s="42" t="s">
        <v>57</v>
      </c>
      <c r="J507" t="s">
        <v>248</v>
      </c>
      <c r="K507" t="s">
        <v>383</v>
      </c>
      <c r="L507" s="34">
        <v>2</v>
      </c>
      <c r="M507" s="38">
        <v>0.75</v>
      </c>
      <c r="N507" s="38">
        <f t="shared" si="7"/>
        <v>1.5</v>
      </c>
    </row>
    <row r="508" spans="1:14">
      <c r="A508" s="29">
        <v>42765</v>
      </c>
      <c r="B508" s="22" t="s">
        <v>79</v>
      </c>
      <c r="C508" s="22" t="s">
        <v>57</v>
      </c>
      <c r="D508" s="48" t="s">
        <v>5</v>
      </c>
      <c r="E508" t="s">
        <v>306</v>
      </c>
      <c r="F508">
        <v>2016</v>
      </c>
      <c r="G508" t="s">
        <v>306</v>
      </c>
      <c r="H508" s="42">
        <v>419</v>
      </c>
      <c r="J508" t="s">
        <v>248</v>
      </c>
      <c r="L508" s="34">
        <v>3</v>
      </c>
      <c r="M508" s="38">
        <v>0.75</v>
      </c>
      <c r="N508" s="38">
        <f t="shared" si="7"/>
        <v>2.25</v>
      </c>
    </row>
    <row r="509" spans="1:14">
      <c r="A509" s="29">
        <v>42765</v>
      </c>
      <c r="B509" s="22" t="s">
        <v>63</v>
      </c>
      <c r="C509" s="22" t="s">
        <v>57</v>
      </c>
      <c r="D509" s="48" t="s">
        <v>5</v>
      </c>
      <c r="E509" t="s">
        <v>255</v>
      </c>
      <c r="F509">
        <v>2016</v>
      </c>
      <c r="G509" t="s">
        <v>57</v>
      </c>
      <c r="H509" s="42">
        <v>21</v>
      </c>
      <c r="J509" t="s">
        <v>248</v>
      </c>
      <c r="L509" s="34">
        <v>2</v>
      </c>
      <c r="M509" s="38">
        <v>0.75</v>
      </c>
      <c r="N509" s="38">
        <f t="shared" si="7"/>
        <v>1.5</v>
      </c>
    </row>
    <row r="510" spans="1:14">
      <c r="A510" s="29">
        <v>42765</v>
      </c>
      <c r="B510" s="22" t="s">
        <v>63</v>
      </c>
      <c r="C510" s="22" t="s">
        <v>57</v>
      </c>
      <c r="D510" s="48" t="s">
        <v>5</v>
      </c>
      <c r="E510" t="s">
        <v>157</v>
      </c>
      <c r="F510">
        <v>2016</v>
      </c>
      <c r="G510" t="s">
        <v>250</v>
      </c>
      <c r="H510" s="42">
        <v>7</v>
      </c>
      <c r="J510" t="s">
        <v>248</v>
      </c>
      <c r="L510" s="34">
        <v>2</v>
      </c>
      <c r="M510" s="38">
        <v>0.75</v>
      </c>
      <c r="N510" s="38">
        <f t="shared" si="7"/>
        <v>1.5</v>
      </c>
    </row>
    <row r="511" spans="1:14">
      <c r="A511" s="29">
        <v>42765</v>
      </c>
      <c r="B511" s="22" t="s">
        <v>63</v>
      </c>
      <c r="C511" s="22" t="s">
        <v>57</v>
      </c>
      <c r="D511" s="48" t="s">
        <v>8</v>
      </c>
      <c r="E511" t="s">
        <v>182</v>
      </c>
      <c r="F511">
        <v>2016</v>
      </c>
      <c r="G511" t="s">
        <v>57</v>
      </c>
      <c r="H511" s="42">
        <v>16</v>
      </c>
      <c r="J511" t="s">
        <v>248</v>
      </c>
      <c r="L511" s="34">
        <v>2</v>
      </c>
      <c r="M511" s="38">
        <v>0.75</v>
      </c>
      <c r="N511" s="38">
        <f t="shared" si="7"/>
        <v>1.5</v>
      </c>
    </row>
    <row r="512" spans="1:14">
      <c r="A512" s="29">
        <v>42765</v>
      </c>
      <c r="B512" s="22" t="s">
        <v>293</v>
      </c>
      <c r="C512" s="22" t="s">
        <v>41</v>
      </c>
      <c r="D512" s="48" t="s">
        <v>5</v>
      </c>
      <c r="E512" t="s">
        <v>159</v>
      </c>
      <c r="F512">
        <v>2016</v>
      </c>
      <c r="G512" t="s">
        <v>326</v>
      </c>
      <c r="H512" s="42">
        <v>423</v>
      </c>
      <c r="J512" t="s">
        <v>248</v>
      </c>
      <c r="L512" s="34">
        <v>4</v>
      </c>
      <c r="M512" s="38">
        <v>0.75</v>
      </c>
      <c r="N512" s="38">
        <f t="shared" si="7"/>
        <v>3</v>
      </c>
    </row>
    <row r="513" spans="1:14">
      <c r="A513" s="29">
        <v>42765</v>
      </c>
      <c r="B513" s="22" t="s">
        <v>293</v>
      </c>
      <c r="C513" s="22" t="s">
        <v>41</v>
      </c>
      <c r="D513" s="48" t="s">
        <v>5</v>
      </c>
      <c r="E513" t="s">
        <v>159</v>
      </c>
      <c r="F513">
        <v>2016</v>
      </c>
      <c r="G513" t="s">
        <v>247</v>
      </c>
      <c r="H513" s="42">
        <v>56</v>
      </c>
      <c r="J513" t="s">
        <v>248</v>
      </c>
      <c r="L513" s="34">
        <v>4</v>
      </c>
      <c r="M513" s="38">
        <v>0.75</v>
      </c>
      <c r="N513" s="38">
        <f t="shared" si="7"/>
        <v>3</v>
      </c>
    </row>
    <row r="514" spans="1:14">
      <c r="A514" s="29">
        <v>42765</v>
      </c>
      <c r="B514" s="22" t="s">
        <v>293</v>
      </c>
      <c r="C514" s="22" t="s">
        <v>41</v>
      </c>
      <c r="D514" s="48" t="s">
        <v>5</v>
      </c>
      <c r="E514" t="s">
        <v>255</v>
      </c>
      <c r="F514">
        <v>2016</v>
      </c>
      <c r="G514" t="s">
        <v>57</v>
      </c>
      <c r="H514" s="42">
        <v>21</v>
      </c>
      <c r="J514" t="s">
        <v>248</v>
      </c>
      <c r="L514" s="34">
        <v>1</v>
      </c>
      <c r="M514" s="38">
        <v>0.75</v>
      </c>
      <c r="N514" s="38">
        <f t="shared" si="7"/>
        <v>0.75</v>
      </c>
    </row>
    <row r="515" spans="1:14">
      <c r="A515" s="29">
        <v>42765</v>
      </c>
      <c r="B515" s="22" t="s">
        <v>57</v>
      </c>
      <c r="C515" s="22" t="s">
        <v>22</v>
      </c>
      <c r="D515" s="48" t="s">
        <v>5</v>
      </c>
      <c r="E515" t="s">
        <v>157</v>
      </c>
      <c r="F515">
        <v>2016</v>
      </c>
      <c r="G515" t="s">
        <v>250</v>
      </c>
      <c r="H515" s="42">
        <v>7</v>
      </c>
      <c r="J515" t="s">
        <v>248</v>
      </c>
      <c r="L515" s="34">
        <v>1</v>
      </c>
      <c r="M515" s="38">
        <v>0.75</v>
      </c>
      <c r="N515" s="38">
        <f t="shared" ref="N515:N578" si="8">M515*L515</f>
        <v>0.75</v>
      </c>
    </row>
    <row r="516" spans="1:14">
      <c r="A516" s="29">
        <v>42765</v>
      </c>
      <c r="B516" s="22" t="s">
        <v>57</v>
      </c>
      <c r="C516" s="22" t="s">
        <v>22</v>
      </c>
      <c r="D516" s="48" t="s">
        <v>5</v>
      </c>
      <c r="E516" t="s">
        <v>157</v>
      </c>
      <c r="F516">
        <v>2016</v>
      </c>
      <c r="G516" t="s">
        <v>257</v>
      </c>
      <c r="H516" s="42">
        <v>313</v>
      </c>
      <c r="J516" t="s">
        <v>248</v>
      </c>
      <c r="L516" s="34">
        <v>1</v>
      </c>
      <c r="M516" s="38">
        <v>0.75</v>
      </c>
      <c r="N516" s="38">
        <f t="shared" si="8"/>
        <v>0.75</v>
      </c>
    </row>
    <row r="517" spans="1:14">
      <c r="A517" s="29">
        <v>42765</v>
      </c>
      <c r="B517" s="22" t="s">
        <v>57</v>
      </c>
      <c r="C517" s="22" t="s">
        <v>22</v>
      </c>
      <c r="D517" s="48" t="s">
        <v>8</v>
      </c>
      <c r="E517" t="s">
        <v>182</v>
      </c>
      <c r="F517">
        <v>2016</v>
      </c>
      <c r="G517" t="s">
        <v>57</v>
      </c>
      <c r="H517" s="42">
        <v>16</v>
      </c>
      <c r="J517" t="s">
        <v>248</v>
      </c>
      <c r="L517" s="34">
        <v>1</v>
      </c>
      <c r="M517" s="38">
        <v>0.75</v>
      </c>
      <c r="N517" s="38">
        <f t="shared" si="8"/>
        <v>0.75</v>
      </c>
    </row>
    <row r="518" spans="1:14">
      <c r="A518" s="29">
        <v>42765</v>
      </c>
      <c r="B518" s="22" t="s">
        <v>57</v>
      </c>
      <c r="C518" s="22" t="s">
        <v>22</v>
      </c>
      <c r="D518" s="48" t="s">
        <v>11</v>
      </c>
      <c r="E518" t="s">
        <v>179</v>
      </c>
      <c r="F518">
        <v>2016</v>
      </c>
      <c r="G518" t="s">
        <v>318</v>
      </c>
      <c r="H518" s="42" t="s">
        <v>57</v>
      </c>
      <c r="J518" t="s">
        <v>248</v>
      </c>
      <c r="L518" s="34">
        <v>1</v>
      </c>
      <c r="M518" s="38">
        <v>0.75</v>
      </c>
      <c r="N518" s="38">
        <f t="shared" si="8"/>
        <v>0.75</v>
      </c>
    </row>
    <row r="519" spans="1:14">
      <c r="A519" s="29">
        <v>42766</v>
      </c>
      <c r="B519" s="22" t="s">
        <v>9</v>
      </c>
      <c r="C519" s="22" t="s">
        <v>57</v>
      </c>
      <c r="D519" s="48" t="s">
        <v>5</v>
      </c>
      <c r="E519" t="s">
        <v>306</v>
      </c>
      <c r="F519">
        <v>2016</v>
      </c>
      <c r="G519" t="s">
        <v>306</v>
      </c>
      <c r="H519" s="42">
        <v>419</v>
      </c>
      <c r="J519" t="s">
        <v>248</v>
      </c>
      <c r="L519" s="34">
        <v>1</v>
      </c>
      <c r="M519" s="38">
        <v>0.75</v>
      </c>
      <c r="N519" s="38">
        <f t="shared" si="8"/>
        <v>0.75</v>
      </c>
    </row>
    <row r="520" spans="1:14">
      <c r="A520" s="29">
        <v>42767</v>
      </c>
      <c r="B520" s="22" t="s">
        <v>28</v>
      </c>
      <c r="C520" s="22" t="s">
        <v>271</v>
      </c>
      <c r="D520" s="48" t="s">
        <v>5</v>
      </c>
      <c r="E520" t="s">
        <v>158</v>
      </c>
      <c r="F520">
        <v>2016</v>
      </c>
      <c r="G520" t="s">
        <v>57</v>
      </c>
      <c r="H520" s="42">
        <v>54</v>
      </c>
      <c r="J520" t="s">
        <v>248</v>
      </c>
      <c r="L520" s="34">
        <v>4</v>
      </c>
      <c r="M520" s="38">
        <v>0.75</v>
      </c>
      <c r="N520" s="38">
        <f t="shared" si="8"/>
        <v>3</v>
      </c>
    </row>
    <row r="521" spans="1:14">
      <c r="A521" s="29">
        <v>42767</v>
      </c>
      <c r="B521" s="22" t="s">
        <v>28</v>
      </c>
      <c r="C521" s="22" t="s">
        <v>271</v>
      </c>
      <c r="D521" s="48" t="s">
        <v>5</v>
      </c>
      <c r="E521" t="s">
        <v>158</v>
      </c>
      <c r="F521">
        <v>2016</v>
      </c>
      <c r="G521" t="s">
        <v>57</v>
      </c>
      <c r="H521" s="42">
        <v>184</v>
      </c>
      <c r="J521" t="s">
        <v>248</v>
      </c>
      <c r="L521" s="34">
        <v>4</v>
      </c>
      <c r="M521" s="38">
        <v>0.75</v>
      </c>
      <c r="N521" s="38">
        <f t="shared" si="8"/>
        <v>3</v>
      </c>
    </row>
    <row r="522" spans="1:14">
      <c r="A522" s="29">
        <v>42767</v>
      </c>
      <c r="B522" s="22" t="s">
        <v>28</v>
      </c>
      <c r="C522" s="22" t="s">
        <v>271</v>
      </c>
      <c r="D522" s="48" t="s">
        <v>5</v>
      </c>
      <c r="E522" t="s">
        <v>158</v>
      </c>
      <c r="F522">
        <v>2016</v>
      </c>
      <c r="G522" t="s">
        <v>57</v>
      </c>
      <c r="H522" s="42">
        <v>194</v>
      </c>
      <c r="J522" t="s">
        <v>248</v>
      </c>
      <c r="L522" s="34">
        <v>4</v>
      </c>
      <c r="M522" s="38">
        <v>0.75</v>
      </c>
      <c r="N522" s="38">
        <f t="shared" si="8"/>
        <v>3</v>
      </c>
    </row>
    <row r="523" spans="1:14">
      <c r="A523" s="29">
        <v>42767</v>
      </c>
      <c r="B523" s="22" t="s">
        <v>28</v>
      </c>
      <c r="C523" s="22" t="s">
        <v>271</v>
      </c>
      <c r="D523" s="48" t="s">
        <v>5</v>
      </c>
      <c r="E523" t="s">
        <v>157</v>
      </c>
      <c r="F523">
        <v>2016</v>
      </c>
      <c r="G523" t="s">
        <v>250</v>
      </c>
      <c r="H523" s="42">
        <v>48</v>
      </c>
      <c r="J523" t="s">
        <v>248</v>
      </c>
      <c r="L523" s="34">
        <v>2</v>
      </c>
      <c r="M523" s="38">
        <v>0.75</v>
      </c>
      <c r="N523" s="38">
        <f t="shared" si="8"/>
        <v>1.5</v>
      </c>
    </row>
    <row r="524" spans="1:14">
      <c r="A524" s="29">
        <v>42767</v>
      </c>
      <c r="B524" s="22" t="s">
        <v>28</v>
      </c>
      <c r="C524" s="22" t="s">
        <v>271</v>
      </c>
      <c r="D524" s="48" t="s">
        <v>5</v>
      </c>
      <c r="E524" t="s">
        <v>157</v>
      </c>
      <c r="F524">
        <v>2016</v>
      </c>
      <c r="G524" t="s">
        <v>254</v>
      </c>
      <c r="H524" s="42">
        <v>414</v>
      </c>
      <c r="J524" t="s">
        <v>248</v>
      </c>
      <c r="L524" s="34">
        <v>2</v>
      </c>
      <c r="M524" s="38">
        <v>0.75</v>
      </c>
      <c r="N524" s="38">
        <f t="shared" si="8"/>
        <v>1.5</v>
      </c>
    </row>
    <row r="525" spans="1:14">
      <c r="A525" s="29">
        <v>42767</v>
      </c>
      <c r="B525" s="22" t="s">
        <v>28</v>
      </c>
      <c r="C525" s="22" t="s">
        <v>271</v>
      </c>
      <c r="D525" s="48" t="s">
        <v>5</v>
      </c>
      <c r="E525" t="s">
        <v>157</v>
      </c>
      <c r="F525">
        <v>2016</v>
      </c>
      <c r="G525" t="s">
        <v>247</v>
      </c>
      <c r="H525" s="42">
        <v>89</v>
      </c>
      <c r="J525" t="s">
        <v>248</v>
      </c>
      <c r="L525" s="34">
        <v>2</v>
      </c>
      <c r="M525" s="38">
        <v>0.75</v>
      </c>
      <c r="N525" s="38">
        <f t="shared" si="8"/>
        <v>1.5</v>
      </c>
    </row>
    <row r="526" spans="1:14">
      <c r="A526" s="29">
        <v>42767</v>
      </c>
      <c r="B526" s="22" t="s">
        <v>28</v>
      </c>
      <c r="C526" s="22" t="s">
        <v>271</v>
      </c>
      <c r="D526" s="48" t="s">
        <v>5</v>
      </c>
      <c r="E526" t="s">
        <v>157</v>
      </c>
      <c r="F526">
        <v>2016</v>
      </c>
      <c r="G526" t="s">
        <v>257</v>
      </c>
      <c r="H526" s="42">
        <v>313</v>
      </c>
      <c r="J526" t="s">
        <v>248</v>
      </c>
      <c r="L526" s="34">
        <v>2</v>
      </c>
      <c r="M526" s="38">
        <v>0.75</v>
      </c>
      <c r="N526" s="38">
        <f t="shared" si="8"/>
        <v>1.5</v>
      </c>
    </row>
    <row r="527" spans="1:14">
      <c r="A527" s="29">
        <v>42768</v>
      </c>
      <c r="B527" s="22" t="s">
        <v>13</v>
      </c>
      <c r="C527" s="22" t="s">
        <v>57</v>
      </c>
      <c r="D527" s="48" t="s">
        <v>5</v>
      </c>
      <c r="E527" t="s">
        <v>157</v>
      </c>
      <c r="F527">
        <v>2016</v>
      </c>
      <c r="G527" t="s">
        <v>338</v>
      </c>
      <c r="H527" s="42" t="s">
        <v>353</v>
      </c>
      <c r="J527" t="s">
        <v>248</v>
      </c>
      <c r="L527" s="34">
        <v>12</v>
      </c>
      <c r="M527" s="38">
        <v>0.75</v>
      </c>
      <c r="N527" s="38">
        <f t="shared" si="8"/>
        <v>9</v>
      </c>
    </row>
    <row r="528" spans="1:14">
      <c r="A528" s="29">
        <v>42768</v>
      </c>
      <c r="B528" s="22" t="s">
        <v>13</v>
      </c>
      <c r="C528" s="22" t="s">
        <v>57</v>
      </c>
      <c r="D528" s="48" t="s">
        <v>5</v>
      </c>
      <c r="E528" t="s">
        <v>159</v>
      </c>
      <c r="F528">
        <v>2016</v>
      </c>
      <c r="G528" t="s">
        <v>338</v>
      </c>
      <c r="H528" s="42">
        <v>17</v>
      </c>
      <c r="J528" t="s">
        <v>248</v>
      </c>
      <c r="L528" s="34">
        <v>12</v>
      </c>
      <c r="M528" s="38">
        <v>0.75</v>
      </c>
      <c r="N528" s="38">
        <f t="shared" si="8"/>
        <v>9</v>
      </c>
    </row>
    <row r="529" spans="1:14">
      <c r="A529" s="29">
        <v>42768</v>
      </c>
      <c r="B529" s="22" t="s">
        <v>13</v>
      </c>
      <c r="C529" s="22" t="s">
        <v>57</v>
      </c>
      <c r="D529" s="48" t="s">
        <v>5</v>
      </c>
      <c r="E529" t="s">
        <v>255</v>
      </c>
      <c r="F529">
        <v>2016</v>
      </c>
      <c r="G529" t="s">
        <v>338</v>
      </c>
      <c r="H529" s="42">
        <v>71</v>
      </c>
      <c r="J529" t="s">
        <v>248</v>
      </c>
      <c r="L529" s="34">
        <v>6</v>
      </c>
      <c r="M529" s="38">
        <v>0.75</v>
      </c>
      <c r="N529" s="38">
        <f t="shared" si="8"/>
        <v>4.5</v>
      </c>
    </row>
    <row r="530" spans="1:14">
      <c r="A530" s="29">
        <v>42768</v>
      </c>
      <c r="B530" s="22" t="s">
        <v>105</v>
      </c>
      <c r="C530" s="22" t="s">
        <v>53</v>
      </c>
      <c r="D530" s="48" t="s">
        <v>11</v>
      </c>
      <c r="E530" t="s">
        <v>177</v>
      </c>
      <c r="F530">
        <v>2016</v>
      </c>
      <c r="G530" t="s">
        <v>317</v>
      </c>
      <c r="H530" s="42">
        <v>142</v>
      </c>
      <c r="J530" t="s">
        <v>248</v>
      </c>
      <c r="L530" s="34">
        <v>3</v>
      </c>
      <c r="M530" s="38">
        <v>0.75</v>
      </c>
      <c r="N530" s="38">
        <f t="shared" si="8"/>
        <v>2.25</v>
      </c>
    </row>
    <row r="531" spans="1:14">
      <c r="A531" s="29">
        <v>42768</v>
      </c>
      <c r="B531" s="22" t="s">
        <v>105</v>
      </c>
      <c r="C531" s="22" t="s">
        <v>53</v>
      </c>
      <c r="D531" s="48" t="s">
        <v>11</v>
      </c>
      <c r="E531" t="s">
        <v>179</v>
      </c>
      <c r="F531">
        <v>2016</v>
      </c>
      <c r="G531" t="s">
        <v>318</v>
      </c>
      <c r="H531" s="42" t="s">
        <v>57</v>
      </c>
      <c r="J531" t="s">
        <v>248</v>
      </c>
      <c r="L531" s="34">
        <v>4</v>
      </c>
      <c r="M531" s="38">
        <v>0.75</v>
      </c>
      <c r="N531" s="38">
        <f t="shared" si="8"/>
        <v>3</v>
      </c>
    </row>
    <row r="532" spans="1:14">
      <c r="A532" s="29">
        <v>42768</v>
      </c>
      <c r="B532" s="22" t="s">
        <v>64</v>
      </c>
      <c r="C532" s="22" t="s">
        <v>57</v>
      </c>
      <c r="D532" s="48" t="s">
        <v>11</v>
      </c>
      <c r="E532" t="s">
        <v>177</v>
      </c>
      <c r="F532">
        <v>2016</v>
      </c>
      <c r="G532" t="s">
        <v>338</v>
      </c>
      <c r="H532" s="42" t="s">
        <v>57</v>
      </c>
      <c r="J532" t="s">
        <v>248</v>
      </c>
      <c r="L532" s="34">
        <v>2</v>
      </c>
      <c r="M532" s="38">
        <v>0.75</v>
      </c>
      <c r="N532" s="38">
        <f t="shared" si="8"/>
        <v>1.5</v>
      </c>
    </row>
    <row r="533" spans="1:14">
      <c r="A533" s="29">
        <v>42768</v>
      </c>
      <c r="B533" s="22" t="s">
        <v>64</v>
      </c>
      <c r="C533" s="22" t="s">
        <v>57</v>
      </c>
      <c r="D533" s="48" t="s">
        <v>11</v>
      </c>
      <c r="E533" t="s">
        <v>177</v>
      </c>
      <c r="F533">
        <v>2016</v>
      </c>
      <c r="G533" t="s">
        <v>388</v>
      </c>
      <c r="H533" s="42" t="s">
        <v>57</v>
      </c>
      <c r="J533" t="s">
        <v>248</v>
      </c>
      <c r="L533" s="34">
        <v>2</v>
      </c>
      <c r="M533" s="38">
        <v>0.75</v>
      </c>
      <c r="N533" s="38">
        <f t="shared" si="8"/>
        <v>1.5</v>
      </c>
    </row>
    <row r="534" spans="1:14">
      <c r="A534" s="29">
        <v>42769</v>
      </c>
      <c r="B534" s="22" t="s">
        <v>28</v>
      </c>
      <c r="C534" s="22" t="s">
        <v>271</v>
      </c>
      <c r="D534" s="48" t="s">
        <v>5</v>
      </c>
      <c r="E534" t="s">
        <v>157</v>
      </c>
      <c r="F534">
        <v>2016</v>
      </c>
      <c r="G534" t="s">
        <v>254</v>
      </c>
      <c r="H534" s="42">
        <v>414</v>
      </c>
      <c r="J534" t="s">
        <v>248</v>
      </c>
      <c r="L534" s="34">
        <v>2</v>
      </c>
      <c r="M534" s="38">
        <v>0.75</v>
      </c>
      <c r="N534" s="38">
        <f t="shared" si="8"/>
        <v>1.5</v>
      </c>
    </row>
    <row r="535" spans="1:14">
      <c r="A535" s="29">
        <v>42773</v>
      </c>
      <c r="B535" s="22" t="s">
        <v>105</v>
      </c>
      <c r="C535" s="22" t="s">
        <v>53</v>
      </c>
      <c r="D535" s="48" t="s">
        <v>5</v>
      </c>
      <c r="E535" t="s">
        <v>158</v>
      </c>
      <c r="F535">
        <v>2016</v>
      </c>
      <c r="G535" t="s">
        <v>257</v>
      </c>
      <c r="H535" s="42">
        <v>194</v>
      </c>
      <c r="J535" t="s">
        <v>248</v>
      </c>
      <c r="L535" s="34">
        <v>1</v>
      </c>
      <c r="M535" s="38">
        <v>5</v>
      </c>
      <c r="N535" s="38">
        <f t="shared" si="8"/>
        <v>5</v>
      </c>
    </row>
    <row r="536" spans="1:14">
      <c r="A536" s="29">
        <v>42773</v>
      </c>
      <c r="B536" s="22" t="s">
        <v>57</v>
      </c>
      <c r="C536" s="22" t="s">
        <v>38</v>
      </c>
      <c r="D536" s="48" t="s">
        <v>11</v>
      </c>
      <c r="E536" t="s">
        <v>179</v>
      </c>
      <c r="F536">
        <v>2015</v>
      </c>
      <c r="G536" t="s">
        <v>57</v>
      </c>
      <c r="H536" s="42">
        <v>131</v>
      </c>
      <c r="J536" t="s">
        <v>248</v>
      </c>
      <c r="K536" t="s">
        <v>389</v>
      </c>
      <c r="L536" s="34">
        <v>2</v>
      </c>
      <c r="M536" s="38">
        <v>0.75</v>
      </c>
      <c r="N536" s="38">
        <f t="shared" si="8"/>
        <v>1.5</v>
      </c>
    </row>
    <row r="537" spans="1:14">
      <c r="A537" s="29">
        <v>42774</v>
      </c>
      <c r="B537" s="22" t="s">
        <v>28</v>
      </c>
      <c r="C537" s="22" t="s">
        <v>271</v>
      </c>
      <c r="D537" s="48" t="s">
        <v>5</v>
      </c>
      <c r="E537" t="s">
        <v>157</v>
      </c>
      <c r="F537">
        <v>2016</v>
      </c>
      <c r="G537" t="s">
        <v>305</v>
      </c>
      <c r="H537" s="42" t="s">
        <v>57</v>
      </c>
      <c r="J537" t="s">
        <v>248</v>
      </c>
      <c r="L537" s="34">
        <v>1</v>
      </c>
      <c r="M537" s="38">
        <v>5</v>
      </c>
      <c r="N537" s="38">
        <f t="shared" si="8"/>
        <v>5</v>
      </c>
    </row>
    <row r="538" spans="1:14">
      <c r="A538" s="29">
        <v>42774</v>
      </c>
      <c r="B538" s="22" t="s">
        <v>28</v>
      </c>
      <c r="C538" s="22" t="s">
        <v>271</v>
      </c>
      <c r="D538" s="48" t="s">
        <v>5</v>
      </c>
      <c r="E538" t="s">
        <v>157</v>
      </c>
      <c r="F538">
        <v>2016</v>
      </c>
      <c r="G538" t="s">
        <v>305</v>
      </c>
      <c r="H538" s="42" t="s">
        <v>57</v>
      </c>
      <c r="J538" t="s">
        <v>248</v>
      </c>
      <c r="K538" t="s">
        <v>390</v>
      </c>
      <c r="L538" s="34">
        <v>1</v>
      </c>
      <c r="M538" s="38">
        <v>5</v>
      </c>
      <c r="N538" s="38">
        <f t="shared" si="8"/>
        <v>5</v>
      </c>
    </row>
    <row r="539" spans="1:14">
      <c r="A539" s="29">
        <v>42775</v>
      </c>
      <c r="B539" s="22" t="s">
        <v>57</v>
      </c>
      <c r="C539" s="22" t="s">
        <v>53</v>
      </c>
      <c r="D539" s="48" t="s">
        <v>11</v>
      </c>
      <c r="E539" t="s">
        <v>179</v>
      </c>
      <c r="F539">
        <v>2016</v>
      </c>
      <c r="G539" t="s">
        <v>380</v>
      </c>
      <c r="H539" s="42" t="s">
        <v>57</v>
      </c>
      <c r="J539" t="s">
        <v>248</v>
      </c>
      <c r="L539" s="34">
        <v>3</v>
      </c>
      <c r="M539" s="38">
        <v>0.75</v>
      </c>
      <c r="N539" s="38">
        <f t="shared" si="8"/>
        <v>2.25</v>
      </c>
    </row>
    <row r="540" spans="1:14">
      <c r="A540" s="29">
        <v>42775</v>
      </c>
      <c r="B540" s="22" t="s">
        <v>57</v>
      </c>
      <c r="C540" s="22" t="s">
        <v>53</v>
      </c>
      <c r="D540" s="48" t="s">
        <v>11</v>
      </c>
      <c r="E540" t="s">
        <v>177</v>
      </c>
      <c r="F540">
        <v>2016</v>
      </c>
      <c r="G540" t="s">
        <v>333</v>
      </c>
      <c r="H540" s="42" t="s">
        <v>57</v>
      </c>
      <c r="J540" t="s">
        <v>248</v>
      </c>
      <c r="L540" s="34">
        <v>2</v>
      </c>
      <c r="M540" s="38">
        <v>0.75</v>
      </c>
      <c r="N540" s="38">
        <f t="shared" si="8"/>
        <v>1.5</v>
      </c>
    </row>
    <row r="541" spans="1:14">
      <c r="A541" s="29">
        <v>42775</v>
      </c>
      <c r="B541" s="22" t="s">
        <v>57</v>
      </c>
      <c r="C541" s="22" t="s">
        <v>53</v>
      </c>
      <c r="D541" s="48" t="s">
        <v>5</v>
      </c>
      <c r="E541" t="s">
        <v>255</v>
      </c>
      <c r="F541">
        <v>2016</v>
      </c>
      <c r="G541" t="s">
        <v>57</v>
      </c>
      <c r="H541" s="42">
        <v>324</v>
      </c>
      <c r="J541" t="s">
        <v>248</v>
      </c>
      <c r="L541" s="34">
        <v>2</v>
      </c>
      <c r="M541" s="38">
        <v>0.75</v>
      </c>
      <c r="N541" s="38">
        <f t="shared" si="8"/>
        <v>1.5</v>
      </c>
    </row>
    <row r="542" spans="1:14">
      <c r="A542" s="29">
        <v>42775</v>
      </c>
      <c r="B542" s="22" t="s">
        <v>57</v>
      </c>
      <c r="C542" s="22" t="s">
        <v>53</v>
      </c>
      <c r="D542" s="48" t="s">
        <v>5</v>
      </c>
      <c r="E542" t="s">
        <v>157</v>
      </c>
      <c r="F542">
        <v>2016</v>
      </c>
      <c r="G542" t="s">
        <v>250</v>
      </c>
      <c r="H542" s="42">
        <v>48</v>
      </c>
      <c r="J542" t="s">
        <v>248</v>
      </c>
      <c r="L542" s="34">
        <v>2</v>
      </c>
      <c r="M542" s="38">
        <v>0.75</v>
      </c>
      <c r="N542" s="38">
        <f t="shared" si="8"/>
        <v>1.5</v>
      </c>
    </row>
    <row r="543" spans="1:14">
      <c r="A543" s="29">
        <v>42775</v>
      </c>
      <c r="B543" s="22" t="s">
        <v>57</v>
      </c>
      <c r="C543" s="22" t="s">
        <v>53</v>
      </c>
      <c r="D543" s="48" t="s">
        <v>5</v>
      </c>
      <c r="E543" t="s">
        <v>157</v>
      </c>
      <c r="F543">
        <v>2016</v>
      </c>
      <c r="G543" t="s">
        <v>391</v>
      </c>
      <c r="H543" s="42">
        <v>413</v>
      </c>
      <c r="J543" t="s">
        <v>248</v>
      </c>
      <c r="L543" s="34">
        <v>2</v>
      </c>
      <c r="M543" s="38">
        <v>0.75</v>
      </c>
      <c r="N543" s="38">
        <f t="shared" si="8"/>
        <v>1.5</v>
      </c>
    </row>
    <row r="544" spans="1:14">
      <c r="A544" s="29">
        <v>42775</v>
      </c>
      <c r="B544" s="22" t="s">
        <v>107</v>
      </c>
      <c r="C544" s="22" t="s">
        <v>57</v>
      </c>
      <c r="D544" s="48" t="s">
        <v>11</v>
      </c>
      <c r="E544" t="s">
        <v>177</v>
      </c>
      <c r="F544">
        <v>2016</v>
      </c>
      <c r="G544" t="s">
        <v>57</v>
      </c>
      <c r="H544" s="42">
        <v>112</v>
      </c>
      <c r="J544" t="s">
        <v>248</v>
      </c>
      <c r="L544" s="34">
        <v>1</v>
      </c>
      <c r="M544" s="38">
        <v>0.75</v>
      </c>
      <c r="N544" s="38">
        <f t="shared" si="8"/>
        <v>0.75</v>
      </c>
    </row>
    <row r="545" spans="1:14">
      <c r="A545" s="29">
        <v>42775</v>
      </c>
      <c r="B545" s="22" t="s">
        <v>107</v>
      </c>
      <c r="C545" s="22" t="s">
        <v>57</v>
      </c>
      <c r="D545" s="48" t="s">
        <v>11</v>
      </c>
      <c r="E545" t="s">
        <v>177</v>
      </c>
      <c r="F545">
        <v>2016</v>
      </c>
      <c r="G545" t="s">
        <v>57</v>
      </c>
      <c r="H545" s="42">
        <v>150</v>
      </c>
      <c r="J545" t="s">
        <v>248</v>
      </c>
      <c r="L545" s="34">
        <v>1</v>
      </c>
      <c r="M545" s="38">
        <v>0.75</v>
      </c>
      <c r="N545" s="38">
        <f t="shared" si="8"/>
        <v>0.75</v>
      </c>
    </row>
    <row r="546" spans="1:14">
      <c r="A546" s="29">
        <v>42775</v>
      </c>
      <c r="B546" s="22" t="s">
        <v>57</v>
      </c>
      <c r="C546" s="22" t="s">
        <v>53</v>
      </c>
      <c r="D546" s="48" t="s">
        <v>5</v>
      </c>
      <c r="E546" t="s">
        <v>159</v>
      </c>
      <c r="F546">
        <v>2016</v>
      </c>
      <c r="G546" t="s">
        <v>338</v>
      </c>
      <c r="H546" s="42">
        <v>17</v>
      </c>
      <c r="J546" t="s">
        <v>248</v>
      </c>
      <c r="L546" s="34">
        <v>2</v>
      </c>
      <c r="M546" s="38">
        <v>0.75</v>
      </c>
      <c r="N546" s="38">
        <f t="shared" si="8"/>
        <v>1.5</v>
      </c>
    </row>
    <row r="547" spans="1:14">
      <c r="A547" s="29">
        <v>42775</v>
      </c>
      <c r="B547" s="22" t="s">
        <v>57</v>
      </c>
      <c r="C547" s="22" t="s">
        <v>53</v>
      </c>
      <c r="D547" s="48" t="s">
        <v>5</v>
      </c>
      <c r="E547" t="s">
        <v>157</v>
      </c>
      <c r="F547">
        <v>2016</v>
      </c>
      <c r="G547" t="s">
        <v>338</v>
      </c>
      <c r="H547" s="42">
        <v>37</v>
      </c>
      <c r="J547" t="s">
        <v>248</v>
      </c>
      <c r="L547" s="34">
        <v>2</v>
      </c>
      <c r="M547" s="38">
        <v>0.75</v>
      </c>
      <c r="N547" s="38">
        <f t="shared" si="8"/>
        <v>1.5</v>
      </c>
    </row>
    <row r="548" spans="1:14">
      <c r="A548" s="29">
        <v>42775</v>
      </c>
      <c r="B548" s="22" t="s">
        <v>57</v>
      </c>
      <c r="C548" s="22" t="s">
        <v>53</v>
      </c>
      <c r="D548" s="48" t="s">
        <v>8</v>
      </c>
      <c r="E548" t="s">
        <v>392</v>
      </c>
      <c r="F548">
        <v>2016</v>
      </c>
      <c r="G548" t="s">
        <v>338</v>
      </c>
      <c r="H548" s="42" t="s">
        <v>341</v>
      </c>
      <c r="J548" t="s">
        <v>248</v>
      </c>
      <c r="L548" s="34">
        <v>2</v>
      </c>
      <c r="M548" s="38">
        <v>0.75</v>
      </c>
      <c r="N548" s="38">
        <f t="shared" si="8"/>
        <v>1.5</v>
      </c>
    </row>
    <row r="549" spans="1:14">
      <c r="A549" s="29">
        <v>42775</v>
      </c>
      <c r="B549" s="22" t="s">
        <v>57</v>
      </c>
      <c r="C549" s="22" t="s">
        <v>53</v>
      </c>
      <c r="D549" s="48" t="s">
        <v>11</v>
      </c>
      <c r="E549" t="s">
        <v>179</v>
      </c>
      <c r="F549">
        <v>2016</v>
      </c>
      <c r="G549" t="s">
        <v>338</v>
      </c>
      <c r="H549" s="42">
        <v>417</v>
      </c>
      <c r="J549" t="s">
        <v>248</v>
      </c>
      <c r="L549" s="34">
        <v>2</v>
      </c>
      <c r="M549" s="38">
        <v>0.75</v>
      </c>
      <c r="N549" s="38">
        <f t="shared" si="8"/>
        <v>1.5</v>
      </c>
    </row>
    <row r="550" spans="1:14">
      <c r="A550" s="29">
        <v>42776</v>
      </c>
      <c r="B550" s="22" t="s">
        <v>57</v>
      </c>
      <c r="C550" s="22" t="s">
        <v>49</v>
      </c>
      <c r="D550" s="48" t="s">
        <v>11</v>
      </c>
      <c r="E550" t="s">
        <v>179</v>
      </c>
      <c r="F550">
        <v>2016</v>
      </c>
      <c r="G550" t="s">
        <v>380</v>
      </c>
      <c r="H550" s="42" t="s">
        <v>57</v>
      </c>
      <c r="J550" t="s">
        <v>248</v>
      </c>
      <c r="L550" s="34">
        <v>2</v>
      </c>
      <c r="M550" s="38">
        <v>0.75</v>
      </c>
      <c r="N550" s="38">
        <f t="shared" si="8"/>
        <v>1.5</v>
      </c>
    </row>
    <row r="551" spans="1:14">
      <c r="A551" s="29">
        <v>42776</v>
      </c>
      <c r="B551" s="22" t="s">
        <v>57</v>
      </c>
      <c r="C551" s="22" t="s">
        <v>49</v>
      </c>
      <c r="D551" s="48" t="s">
        <v>11</v>
      </c>
      <c r="E551" t="s">
        <v>177</v>
      </c>
      <c r="F551">
        <v>2016</v>
      </c>
      <c r="G551" t="s">
        <v>333</v>
      </c>
      <c r="H551" s="42" t="s">
        <v>57</v>
      </c>
      <c r="J551" t="s">
        <v>248</v>
      </c>
      <c r="L551" s="34">
        <v>2</v>
      </c>
      <c r="M551" s="38">
        <v>0.75</v>
      </c>
      <c r="N551" s="38">
        <f t="shared" si="8"/>
        <v>1.5</v>
      </c>
    </row>
    <row r="552" spans="1:14">
      <c r="A552" s="29">
        <v>42779</v>
      </c>
      <c r="B552" s="22" t="s">
        <v>57</v>
      </c>
      <c r="C552" s="22" t="s">
        <v>22</v>
      </c>
      <c r="D552" s="48" t="s">
        <v>11</v>
      </c>
      <c r="E552" t="s">
        <v>179</v>
      </c>
      <c r="F552">
        <v>2016</v>
      </c>
      <c r="G552" t="s">
        <v>380</v>
      </c>
      <c r="H552" s="42" t="s">
        <v>57</v>
      </c>
      <c r="J552" t="s">
        <v>248</v>
      </c>
      <c r="L552" s="34">
        <v>2</v>
      </c>
      <c r="M552" s="38">
        <v>0.75</v>
      </c>
      <c r="N552" s="38">
        <f t="shared" si="8"/>
        <v>1.5</v>
      </c>
    </row>
    <row r="553" spans="1:14">
      <c r="A553" s="29">
        <v>42779</v>
      </c>
      <c r="B553" s="22" t="s">
        <v>57</v>
      </c>
      <c r="C553" s="22" t="s">
        <v>22</v>
      </c>
      <c r="D553" s="48" t="s">
        <v>11</v>
      </c>
      <c r="E553" t="s">
        <v>177</v>
      </c>
      <c r="F553">
        <v>2016</v>
      </c>
      <c r="G553" t="s">
        <v>333</v>
      </c>
      <c r="H553" s="42" t="s">
        <v>57</v>
      </c>
      <c r="J553" t="s">
        <v>248</v>
      </c>
      <c r="L553" s="34">
        <v>2</v>
      </c>
      <c r="M553" s="38">
        <v>0.75</v>
      </c>
      <c r="N553" s="38">
        <f t="shared" si="8"/>
        <v>1.5</v>
      </c>
    </row>
    <row r="554" spans="1:14">
      <c r="A554" s="29">
        <v>42779</v>
      </c>
      <c r="B554" s="22" t="s">
        <v>57</v>
      </c>
      <c r="C554" s="22" t="s">
        <v>22</v>
      </c>
      <c r="D554" s="48" t="s">
        <v>11</v>
      </c>
      <c r="E554" t="s">
        <v>179</v>
      </c>
      <c r="F554">
        <v>2015</v>
      </c>
      <c r="G554" t="s">
        <v>57</v>
      </c>
      <c r="H554" s="42">
        <v>131</v>
      </c>
      <c r="J554" t="s">
        <v>248</v>
      </c>
      <c r="L554" s="34">
        <v>2</v>
      </c>
      <c r="M554" s="38">
        <v>0.75</v>
      </c>
      <c r="N554" s="38">
        <f t="shared" si="8"/>
        <v>1.5</v>
      </c>
    </row>
    <row r="555" spans="1:14">
      <c r="A555" s="29">
        <v>42780</v>
      </c>
      <c r="B555" s="22" t="s">
        <v>63</v>
      </c>
      <c r="C555" s="22" t="s">
        <v>57</v>
      </c>
      <c r="D555" s="48" t="s">
        <v>5</v>
      </c>
      <c r="E555" t="s">
        <v>262</v>
      </c>
      <c r="F555">
        <v>2016</v>
      </c>
      <c r="G555" t="s">
        <v>307</v>
      </c>
      <c r="H555" s="42">
        <v>419</v>
      </c>
      <c r="J555" t="s">
        <v>248</v>
      </c>
      <c r="L555" s="34">
        <v>3</v>
      </c>
      <c r="M555" s="38">
        <v>0.75</v>
      </c>
      <c r="N555" s="38">
        <f t="shared" si="8"/>
        <v>2.25</v>
      </c>
    </row>
    <row r="556" spans="1:14">
      <c r="A556" s="29">
        <v>42781</v>
      </c>
      <c r="B556" s="22" t="s">
        <v>107</v>
      </c>
      <c r="C556" s="22" t="s">
        <v>57</v>
      </c>
      <c r="D556" s="48" t="s">
        <v>11</v>
      </c>
      <c r="E556" t="s">
        <v>180</v>
      </c>
      <c r="F556">
        <v>2016</v>
      </c>
      <c r="G556" t="s">
        <v>57</v>
      </c>
      <c r="H556" s="42">
        <v>151</v>
      </c>
      <c r="J556" t="s">
        <v>248</v>
      </c>
      <c r="L556" s="34">
        <v>1</v>
      </c>
      <c r="M556" s="38">
        <v>0.75</v>
      </c>
      <c r="N556" s="38">
        <f t="shared" si="8"/>
        <v>0.75</v>
      </c>
    </row>
    <row r="557" spans="1:14">
      <c r="A557" s="29">
        <v>42781</v>
      </c>
      <c r="B557" s="22" t="s">
        <v>57</v>
      </c>
      <c r="C557" s="22" t="s">
        <v>53</v>
      </c>
      <c r="D557" s="48" t="s">
        <v>8</v>
      </c>
      <c r="E557" t="s">
        <v>178</v>
      </c>
      <c r="F557">
        <v>2016</v>
      </c>
      <c r="G557" t="s">
        <v>337</v>
      </c>
      <c r="H557" s="42" t="s">
        <v>339</v>
      </c>
      <c r="J557" t="s">
        <v>248</v>
      </c>
      <c r="L557" s="34">
        <v>2</v>
      </c>
      <c r="M557" s="38">
        <v>0.75</v>
      </c>
      <c r="N557" s="38">
        <f t="shared" si="8"/>
        <v>1.5</v>
      </c>
    </row>
    <row r="558" spans="1:14">
      <c r="A558" s="29">
        <v>42782</v>
      </c>
      <c r="B558" s="22" t="s">
        <v>27</v>
      </c>
      <c r="C558" s="22" t="s">
        <v>57</v>
      </c>
      <c r="D558" s="48" t="s">
        <v>5</v>
      </c>
      <c r="E558" t="s">
        <v>393</v>
      </c>
      <c r="F558">
        <v>2016</v>
      </c>
      <c r="G558" t="s">
        <v>391</v>
      </c>
      <c r="H558" s="42">
        <v>413</v>
      </c>
      <c r="J558" t="s">
        <v>248</v>
      </c>
      <c r="L558" s="34">
        <v>2</v>
      </c>
      <c r="M558" s="38">
        <v>0.75</v>
      </c>
      <c r="N558" s="38">
        <f t="shared" si="8"/>
        <v>1.5</v>
      </c>
    </row>
    <row r="559" spans="1:14">
      <c r="A559" s="29">
        <v>42782</v>
      </c>
      <c r="B559" s="22" t="s">
        <v>27</v>
      </c>
      <c r="C559" s="22" t="s">
        <v>57</v>
      </c>
      <c r="D559" s="48" t="s">
        <v>5</v>
      </c>
      <c r="E559" t="s">
        <v>393</v>
      </c>
      <c r="F559">
        <v>2016</v>
      </c>
      <c r="G559" t="s">
        <v>394</v>
      </c>
      <c r="H559" s="42" t="s">
        <v>57</v>
      </c>
      <c r="J559" t="s">
        <v>248</v>
      </c>
      <c r="K559" t="s">
        <v>395</v>
      </c>
      <c r="L559" s="34">
        <v>2</v>
      </c>
      <c r="M559" s="38">
        <v>0.75</v>
      </c>
      <c r="N559" s="38">
        <f t="shared" si="8"/>
        <v>1.5</v>
      </c>
    </row>
    <row r="560" spans="1:14">
      <c r="A560" s="29">
        <v>42782</v>
      </c>
      <c r="B560" s="22" t="s">
        <v>57</v>
      </c>
      <c r="C560" s="22" t="s">
        <v>38</v>
      </c>
      <c r="D560" s="48" t="s">
        <v>11</v>
      </c>
      <c r="E560" t="s">
        <v>396</v>
      </c>
      <c r="F560">
        <v>2015</v>
      </c>
      <c r="G560" t="s">
        <v>396</v>
      </c>
      <c r="H560" s="42">
        <v>111</v>
      </c>
      <c r="J560" t="s">
        <v>248</v>
      </c>
      <c r="L560" s="34">
        <v>2</v>
      </c>
      <c r="M560" s="38">
        <v>0.75</v>
      </c>
      <c r="N560" s="38">
        <f t="shared" si="8"/>
        <v>1.5</v>
      </c>
    </row>
    <row r="561" spans="1:14">
      <c r="A561" s="29">
        <v>42782</v>
      </c>
      <c r="B561" s="22" t="s">
        <v>57</v>
      </c>
      <c r="C561" s="22" t="s">
        <v>38</v>
      </c>
      <c r="D561" s="48" t="s">
        <v>5</v>
      </c>
      <c r="E561" t="s">
        <v>397</v>
      </c>
      <c r="F561">
        <v>2016</v>
      </c>
      <c r="G561" t="s">
        <v>398</v>
      </c>
      <c r="H561" s="42" t="s">
        <v>57</v>
      </c>
      <c r="J561" t="s">
        <v>248</v>
      </c>
      <c r="K561" t="s">
        <v>399</v>
      </c>
      <c r="L561" s="34">
        <v>2</v>
      </c>
      <c r="M561" s="38">
        <v>1</v>
      </c>
      <c r="N561" s="38">
        <f t="shared" si="8"/>
        <v>2</v>
      </c>
    </row>
    <row r="562" spans="1:14">
      <c r="A562" s="29">
        <v>42782</v>
      </c>
      <c r="B562" s="22" t="s">
        <v>57</v>
      </c>
      <c r="C562" s="22" t="s">
        <v>38</v>
      </c>
      <c r="D562" s="48" t="s">
        <v>5</v>
      </c>
      <c r="E562" t="s">
        <v>162</v>
      </c>
      <c r="F562">
        <v>2016</v>
      </c>
      <c r="G562" t="s">
        <v>400</v>
      </c>
      <c r="H562" s="42" t="s">
        <v>57</v>
      </c>
      <c r="J562" t="s">
        <v>248</v>
      </c>
      <c r="K562" t="s">
        <v>401</v>
      </c>
      <c r="L562" s="34">
        <v>2</v>
      </c>
      <c r="M562" s="38">
        <v>0.75</v>
      </c>
      <c r="N562" s="38">
        <f t="shared" si="8"/>
        <v>1.5</v>
      </c>
    </row>
    <row r="563" spans="1:14">
      <c r="A563" s="29">
        <v>42786</v>
      </c>
      <c r="B563" s="22" t="s">
        <v>79</v>
      </c>
      <c r="C563" s="22" t="s">
        <v>57</v>
      </c>
      <c r="D563" s="48" t="s">
        <v>11</v>
      </c>
      <c r="E563" t="s">
        <v>259</v>
      </c>
      <c r="F563">
        <v>2016</v>
      </c>
      <c r="G563" t="s">
        <v>316</v>
      </c>
      <c r="H563" s="42">
        <v>129</v>
      </c>
      <c r="J563" t="s">
        <v>248</v>
      </c>
      <c r="L563" s="34">
        <v>1</v>
      </c>
      <c r="M563" s="38">
        <v>0.75</v>
      </c>
      <c r="N563" s="38">
        <f t="shared" si="8"/>
        <v>0.75</v>
      </c>
    </row>
    <row r="564" spans="1:14">
      <c r="A564" s="29">
        <v>42786</v>
      </c>
      <c r="B564" s="22" t="s">
        <v>13</v>
      </c>
      <c r="C564" s="22" t="s">
        <v>57</v>
      </c>
      <c r="D564" s="48" t="s">
        <v>11</v>
      </c>
      <c r="E564" t="s">
        <v>179</v>
      </c>
      <c r="F564">
        <v>2016</v>
      </c>
      <c r="G564" t="s">
        <v>338</v>
      </c>
      <c r="H564" s="42">
        <v>96</v>
      </c>
      <c r="J564" t="s">
        <v>248</v>
      </c>
      <c r="L564" s="34">
        <v>12</v>
      </c>
      <c r="M564" s="38">
        <v>0.75</v>
      </c>
      <c r="N564" s="38">
        <f t="shared" si="8"/>
        <v>9</v>
      </c>
    </row>
    <row r="565" spans="1:14">
      <c r="A565" s="29">
        <v>42786</v>
      </c>
      <c r="B565" s="22" t="s">
        <v>13</v>
      </c>
      <c r="C565" s="22" t="s">
        <v>57</v>
      </c>
      <c r="D565" s="48" t="s">
        <v>11</v>
      </c>
      <c r="E565" t="s">
        <v>177</v>
      </c>
      <c r="F565">
        <v>2016</v>
      </c>
      <c r="G565" t="s">
        <v>338</v>
      </c>
      <c r="H565" s="42">
        <v>420</v>
      </c>
      <c r="J565" t="s">
        <v>248</v>
      </c>
      <c r="L565" s="34">
        <v>12</v>
      </c>
      <c r="M565" s="38">
        <v>0.75</v>
      </c>
      <c r="N565" s="38">
        <f t="shared" si="8"/>
        <v>9</v>
      </c>
    </row>
    <row r="566" spans="1:14">
      <c r="A566" s="29">
        <v>42786</v>
      </c>
      <c r="B566" s="22" t="s">
        <v>57</v>
      </c>
      <c r="C566" s="22" t="s">
        <v>45</v>
      </c>
      <c r="D566" s="48" t="s">
        <v>11</v>
      </c>
      <c r="E566" t="s">
        <v>177</v>
      </c>
      <c r="F566">
        <v>2015</v>
      </c>
      <c r="G566" t="s">
        <v>57</v>
      </c>
      <c r="H566" s="42">
        <v>81</v>
      </c>
      <c r="J566" t="s">
        <v>248</v>
      </c>
      <c r="L566" s="34">
        <v>2</v>
      </c>
      <c r="M566" s="38">
        <v>0.75</v>
      </c>
      <c r="N566" s="38">
        <f t="shared" si="8"/>
        <v>1.5</v>
      </c>
    </row>
    <row r="567" spans="1:14">
      <c r="A567" s="29">
        <v>42786</v>
      </c>
      <c r="B567" s="22" t="s">
        <v>57</v>
      </c>
      <c r="C567" s="22" t="s">
        <v>45</v>
      </c>
      <c r="D567" s="48" t="s">
        <v>5</v>
      </c>
      <c r="E567" t="s">
        <v>157</v>
      </c>
      <c r="F567">
        <v>2016</v>
      </c>
      <c r="G567" t="s">
        <v>250</v>
      </c>
      <c r="H567" s="42">
        <v>48</v>
      </c>
      <c r="J567" t="s">
        <v>248</v>
      </c>
      <c r="L567" s="34">
        <v>2</v>
      </c>
      <c r="M567" s="38">
        <v>0.75</v>
      </c>
      <c r="N567" s="38">
        <f t="shared" si="8"/>
        <v>1.5</v>
      </c>
    </row>
    <row r="568" spans="1:14">
      <c r="A568" s="29">
        <v>42786</v>
      </c>
      <c r="B568" s="22" t="s">
        <v>57</v>
      </c>
      <c r="C568" s="22" t="s">
        <v>45</v>
      </c>
      <c r="D568" s="48" t="s">
        <v>5</v>
      </c>
      <c r="E568" t="s">
        <v>157</v>
      </c>
      <c r="F568">
        <v>2016</v>
      </c>
      <c r="G568" t="s">
        <v>391</v>
      </c>
      <c r="H568" s="42">
        <v>413</v>
      </c>
      <c r="J568" t="s">
        <v>248</v>
      </c>
      <c r="L568" s="34">
        <v>2</v>
      </c>
      <c r="M568" s="38">
        <v>0.75</v>
      </c>
      <c r="N568" s="38">
        <f t="shared" si="8"/>
        <v>1.5</v>
      </c>
    </row>
    <row r="569" spans="1:14">
      <c r="A569" s="29">
        <v>42786</v>
      </c>
      <c r="B569" s="22" t="s">
        <v>57</v>
      </c>
      <c r="C569" s="22" t="s">
        <v>45</v>
      </c>
      <c r="D569" s="48" t="s">
        <v>8</v>
      </c>
      <c r="E569" t="s">
        <v>273</v>
      </c>
      <c r="F569">
        <v>2016</v>
      </c>
      <c r="G569" t="s">
        <v>402</v>
      </c>
      <c r="H569" s="42" t="s">
        <v>57</v>
      </c>
      <c r="J569" t="s">
        <v>248</v>
      </c>
      <c r="L569" s="34">
        <v>2</v>
      </c>
      <c r="M569" s="38">
        <v>0.75</v>
      </c>
      <c r="N569" s="38">
        <f t="shared" si="8"/>
        <v>1.5</v>
      </c>
    </row>
    <row r="570" spans="1:14">
      <c r="A570" s="29">
        <v>42786</v>
      </c>
      <c r="B570" s="22" t="s">
        <v>57</v>
      </c>
      <c r="C570" s="22" t="s">
        <v>45</v>
      </c>
      <c r="D570" s="48" t="s">
        <v>5</v>
      </c>
      <c r="E570" t="s">
        <v>306</v>
      </c>
      <c r="F570">
        <v>2016</v>
      </c>
      <c r="G570" t="s">
        <v>307</v>
      </c>
      <c r="H570" s="42">
        <v>419</v>
      </c>
      <c r="J570" t="s">
        <v>248</v>
      </c>
      <c r="L570" s="34">
        <v>2</v>
      </c>
      <c r="M570" s="38">
        <v>0.75</v>
      </c>
      <c r="N570" s="38">
        <f t="shared" si="8"/>
        <v>1.5</v>
      </c>
    </row>
    <row r="571" spans="1:14">
      <c r="A571" s="29">
        <v>42787</v>
      </c>
      <c r="B571" s="22" t="s">
        <v>81</v>
      </c>
      <c r="C571" s="22" t="s">
        <v>57</v>
      </c>
      <c r="D571" s="48" t="s">
        <v>5</v>
      </c>
      <c r="E571" t="s">
        <v>159</v>
      </c>
      <c r="F571">
        <v>2016</v>
      </c>
      <c r="G571" t="s">
        <v>326</v>
      </c>
      <c r="H571" s="42">
        <v>418</v>
      </c>
      <c r="J571" t="s">
        <v>248</v>
      </c>
      <c r="L571" s="34">
        <v>1</v>
      </c>
      <c r="M571" s="38">
        <v>5</v>
      </c>
      <c r="N571" s="38">
        <f t="shared" si="8"/>
        <v>5</v>
      </c>
    </row>
    <row r="572" spans="1:14">
      <c r="A572" s="29">
        <v>42793</v>
      </c>
      <c r="B572" s="22" t="s">
        <v>57</v>
      </c>
      <c r="C572" s="22" t="s">
        <v>53</v>
      </c>
      <c r="D572" s="48" t="s">
        <v>11</v>
      </c>
      <c r="E572" t="s">
        <v>179</v>
      </c>
      <c r="F572">
        <v>2016</v>
      </c>
      <c r="G572" t="s">
        <v>380</v>
      </c>
      <c r="H572" s="42">
        <v>205</v>
      </c>
      <c r="J572" t="s">
        <v>248</v>
      </c>
      <c r="L572" s="34">
        <v>3</v>
      </c>
      <c r="M572" s="38">
        <v>0.75</v>
      </c>
      <c r="N572" s="38">
        <f t="shared" si="8"/>
        <v>2.25</v>
      </c>
    </row>
    <row r="573" spans="1:14">
      <c r="A573" s="29">
        <v>42793</v>
      </c>
      <c r="B573" s="22" t="s">
        <v>57</v>
      </c>
      <c r="C573" s="22" t="s">
        <v>53</v>
      </c>
      <c r="D573" s="48" t="s">
        <v>11</v>
      </c>
      <c r="E573" t="s">
        <v>177</v>
      </c>
      <c r="F573">
        <v>2016</v>
      </c>
      <c r="G573" t="s">
        <v>333</v>
      </c>
      <c r="H573" s="42">
        <v>403</v>
      </c>
      <c r="J573" t="s">
        <v>248</v>
      </c>
      <c r="L573" s="34">
        <v>3</v>
      </c>
      <c r="M573" s="38">
        <v>0.75</v>
      </c>
      <c r="N573" s="38">
        <f t="shared" si="8"/>
        <v>2.25</v>
      </c>
    </row>
    <row r="574" spans="1:14">
      <c r="A574" s="29">
        <v>42793</v>
      </c>
      <c r="B574" s="22" t="s">
        <v>57</v>
      </c>
      <c r="C574" s="22" t="s">
        <v>53</v>
      </c>
      <c r="D574" s="48" t="s">
        <v>5</v>
      </c>
      <c r="E574" t="s">
        <v>158</v>
      </c>
      <c r="F574">
        <v>2016</v>
      </c>
      <c r="G574" t="s">
        <v>403</v>
      </c>
      <c r="H574" s="42" t="s">
        <v>57</v>
      </c>
      <c r="J574" t="s">
        <v>248</v>
      </c>
      <c r="L574" s="34">
        <v>5</v>
      </c>
      <c r="M574" s="38">
        <v>0.75</v>
      </c>
      <c r="N574" s="38">
        <f t="shared" si="8"/>
        <v>3.75</v>
      </c>
    </row>
    <row r="575" spans="1:14">
      <c r="A575" s="29">
        <v>42793</v>
      </c>
      <c r="B575" s="22" t="s">
        <v>57</v>
      </c>
      <c r="C575" s="22" t="s">
        <v>53</v>
      </c>
      <c r="D575" s="48" t="s">
        <v>5</v>
      </c>
      <c r="E575" t="s">
        <v>157</v>
      </c>
      <c r="F575">
        <v>2016</v>
      </c>
      <c r="G575" t="s">
        <v>250</v>
      </c>
      <c r="H575" s="42">
        <v>48</v>
      </c>
      <c r="J575" t="s">
        <v>248</v>
      </c>
      <c r="L575" s="34">
        <v>3</v>
      </c>
      <c r="M575" s="38">
        <v>0.75</v>
      </c>
      <c r="N575" s="38">
        <f t="shared" si="8"/>
        <v>2.25</v>
      </c>
    </row>
    <row r="576" spans="1:14">
      <c r="A576" s="29">
        <v>42793</v>
      </c>
      <c r="B576" s="22" t="s">
        <v>57</v>
      </c>
      <c r="C576" s="22" t="s">
        <v>53</v>
      </c>
      <c r="D576" s="48" t="s">
        <v>5</v>
      </c>
      <c r="E576" t="s">
        <v>157</v>
      </c>
      <c r="F576">
        <v>2016</v>
      </c>
      <c r="G576" t="s">
        <v>254</v>
      </c>
      <c r="H576" s="42">
        <v>414</v>
      </c>
      <c r="J576" t="s">
        <v>248</v>
      </c>
      <c r="L576" s="34">
        <v>3</v>
      </c>
      <c r="M576" s="38">
        <v>0.75</v>
      </c>
      <c r="N576" s="38">
        <f t="shared" si="8"/>
        <v>2.25</v>
      </c>
    </row>
    <row r="577" spans="1:14">
      <c r="A577" s="29">
        <v>42796</v>
      </c>
      <c r="B577" s="22" t="s">
        <v>110</v>
      </c>
      <c r="C577" s="22" t="s">
        <v>57</v>
      </c>
      <c r="D577" s="48" t="s">
        <v>5</v>
      </c>
      <c r="E577" t="s">
        <v>308</v>
      </c>
      <c r="F577">
        <v>2016</v>
      </c>
      <c r="G577" t="s">
        <v>404</v>
      </c>
      <c r="H577" s="42">
        <v>419</v>
      </c>
      <c r="J577" t="s">
        <v>248</v>
      </c>
      <c r="L577" s="34">
        <v>2</v>
      </c>
      <c r="M577" s="38">
        <v>0.75</v>
      </c>
      <c r="N577" s="38">
        <f t="shared" si="8"/>
        <v>1.5</v>
      </c>
    </row>
    <row r="578" spans="1:14">
      <c r="A578" s="29">
        <v>42796</v>
      </c>
      <c r="B578" s="22" t="s">
        <v>110</v>
      </c>
      <c r="C578" s="22" t="s">
        <v>57</v>
      </c>
      <c r="D578" s="48" t="s">
        <v>5</v>
      </c>
      <c r="E578" t="s">
        <v>157</v>
      </c>
      <c r="F578">
        <v>2016</v>
      </c>
      <c r="G578" t="s">
        <v>391</v>
      </c>
      <c r="H578" s="42">
        <v>421</v>
      </c>
      <c r="J578" t="s">
        <v>248</v>
      </c>
      <c r="L578" s="34">
        <v>2</v>
      </c>
      <c r="M578" s="38">
        <v>0.75</v>
      </c>
      <c r="N578" s="38">
        <f t="shared" si="8"/>
        <v>1.5</v>
      </c>
    </row>
    <row r="579" spans="1:14">
      <c r="A579" s="29">
        <v>42796</v>
      </c>
      <c r="B579" s="22" t="s">
        <v>110</v>
      </c>
      <c r="C579" s="22" t="s">
        <v>57</v>
      </c>
      <c r="D579" s="48" t="s">
        <v>5</v>
      </c>
      <c r="E579" t="s">
        <v>157</v>
      </c>
      <c r="F579">
        <v>2016</v>
      </c>
      <c r="G579" t="s">
        <v>405</v>
      </c>
      <c r="H579" s="42">
        <v>24</v>
      </c>
      <c r="J579" t="s">
        <v>248</v>
      </c>
      <c r="L579" s="34">
        <v>2</v>
      </c>
      <c r="M579" s="38">
        <v>0.75</v>
      </c>
      <c r="N579" s="38">
        <f t="shared" ref="N579:N642" si="9">M579*L579</f>
        <v>1.5</v>
      </c>
    </row>
    <row r="580" spans="1:14">
      <c r="A580" s="29">
        <v>42796</v>
      </c>
      <c r="B580" s="22" t="s">
        <v>110</v>
      </c>
      <c r="C580" s="22" t="s">
        <v>57</v>
      </c>
      <c r="D580" s="48" t="s">
        <v>5</v>
      </c>
      <c r="E580" t="s">
        <v>255</v>
      </c>
      <c r="F580">
        <v>2016</v>
      </c>
      <c r="G580" t="s">
        <v>406</v>
      </c>
      <c r="H580" s="42" t="s">
        <v>57</v>
      </c>
      <c r="J580" t="s">
        <v>248</v>
      </c>
      <c r="L580" s="34">
        <v>2</v>
      </c>
      <c r="M580" s="38">
        <v>0.75</v>
      </c>
      <c r="N580" s="38">
        <f t="shared" si="9"/>
        <v>1.5</v>
      </c>
    </row>
    <row r="581" spans="1:14">
      <c r="A581" s="29">
        <v>42796</v>
      </c>
      <c r="B581" s="22" t="s">
        <v>110</v>
      </c>
      <c r="C581" s="22" t="s">
        <v>57</v>
      </c>
      <c r="D581" s="48" t="s">
        <v>5</v>
      </c>
      <c r="E581" t="s">
        <v>255</v>
      </c>
      <c r="F581">
        <v>2016</v>
      </c>
      <c r="G581" t="s">
        <v>407</v>
      </c>
      <c r="H581" s="42" t="s">
        <v>57</v>
      </c>
      <c r="J581" t="s">
        <v>248</v>
      </c>
      <c r="L581" s="34">
        <v>2</v>
      </c>
      <c r="M581" s="38">
        <v>0.75</v>
      </c>
      <c r="N581" s="38">
        <f t="shared" si="9"/>
        <v>1.5</v>
      </c>
    </row>
    <row r="582" spans="1:14">
      <c r="A582" s="29">
        <v>42796</v>
      </c>
      <c r="B582" s="22" t="s">
        <v>110</v>
      </c>
      <c r="C582" s="22" t="s">
        <v>57</v>
      </c>
      <c r="D582" s="48" t="s">
        <v>5</v>
      </c>
      <c r="E582" t="s">
        <v>158</v>
      </c>
      <c r="F582">
        <v>2016</v>
      </c>
      <c r="G582" t="s">
        <v>403</v>
      </c>
      <c r="H582" s="42" t="s">
        <v>57</v>
      </c>
      <c r="J582" t="s">
        <v>248</v>
      </c>
      <c r="L582" s="34">
        <v>2</v>
      </c>
      <c r="M582" s="38">
        <v>0.75</v>
      </c>
      <c r="N582" s="38">
        <f t="shared" si="9"/>
        <v>1.5</v>
      </c>
    </row>
    <row r="583" spans="1:14">
      <c r="A583" s="29">
        <v>42797</v>
      </c>
      <c r="B583" s="22" t="s">
        <v>57</v>
      </c>
      <c r="C583" s="22" t="s">
        <v>53</v>
      </c>
      <c r="D583" s="48" t="s">
        <v>8</v>
      </c>
      <c r="E583" t="s">
        <v>8</v>
      </c>
      <c r="F583">
        <v>2016</v>
      </c>
      <c r="G583" t="s">
        <v>337</v>
      </c>
      <c r="H583" s="42" t="s">
        <v>408</v>
      </c>
      <c r="J583" t="s">
        <v>248</v>
      </c>
      <c r="L583" s="34">
        <v>2</v>
      </c>
      <c r="M583" s="38">
        <v>0.75</v>
      </c>
      <c r="N583" s="38">
        <f t="shared" si="9"/>
        <v>1.5</v>
      </c>
    </row>
    <row r="584" spans="1:14">
      <c r="A584" s="29">
        <v>42797</v>
      </c>
      <c r="B584" s="22" t="s">
        <v>57</v>
      </c>
      <c r="C584" s="22" t="s">
        <v>53</v>
      </c>
      <c r="D584" s="48" t="s">
        <v>5</v>
      </c>
      <c r="E584" t="s">
        <v>158</v>
      </c>
      <c r="F584">
        <v>2016</v>
      </c>
      <c r="G584" t="s">
        <v>403</v>
      </c>
      <c r="H584" s="42" t="s">
        <v>57</v>
      </c>
      <c r="J584" t="s">
        <v>248</v>
      </c>
      <c r="L584" s="34">
        <v>1</v>
      </c>
      <c r="M584" s="38">
        <v>10</v>
      </c>
      <c r="N584" s="38">
        <f t="shared" si="9"/>
        <v>10</v>
      </c>
    </row>
    <row r="585" spans="1:14">
      <c r="A585" s="29">
        <v>42800</v>
      </c>
      <c r="B585" s="22" t="s">
        <v>57</v>
      </c>
      <c r="C585" s="22" t="s">
        <v>47</v>
      </c>
      <c r="D585" s="48" t="s">
        <v>5</v>
      </c>
      <c r="E585" t="s">
        <v>157</v>
      </c>
      <c r="F585">
        <v>2016</v>
      </c>
      <c r="G585" t="s">
        <v>391</v>
      </c>
      <c r="H585" s="42">
        <v>413</v>
      </c>
      <c r="J585" t="s">
        <v>248</v>
      </c>
      <c r="L585" s="34">
        <v>2</v>
      </c>
      <c r="M585" s="38">
        <v>0.75</v>
      </c>
      <c r="N585" s="38">
        <f t="shared" si="9"/>
        <v>1.5</v>
      </c>
    </row>
    <row r="586" spans="1:14">
      <c r="A586" s="29">
        <v>42800</v>
      </c>
      <c r="B586" s="22" t="s">
        <v>57</v>
      </c>
      <c r="C586" s="22" t="s">
        <v>47</v>
      </c>
      <c r="D586" s="48" t="s">
        <v>5</v>
      </c>
      <c r="E586" t="s">
        <v>157</v>
      </c>
      <c r="F586">
        <v>2016</v>
      </c>
      <c r="G586" t="s">
        <v>326</v>
      </c>
      <c r="H586" s="42">
        <v>48</v>
      </c>
      <c r="J586" t="s">
        <v>248</v>
      </c>
      <c r="L586" s="34">
        <v>2</v>
      </c>
      <c r="M586" s="38">
        <v>0.75</v>
      </c>
      <c r="N586" s="38">
        <f t="shared" si="9"/>
        <v>1.5</v>
      </c>
    </row>
    <row r="587" spans="1:14">
      <c r="A587" s="29">
        <v>42800</v>
      </c>
      <c r="B587" s="22" t="s">
        <v>57</v>
      </c>
      <c r="C587" s="22" t="s">
        <v>47</v>
      </c>
      <c r="D587" s="48" t="s">
        <v>11</v>
      </c>
      <c r="E587" t="s">
        <v>179</v>
      </c>
      <c r="F587">
        <v>2016</v>
      </c>
      <c r="G587" t="s">
        <v>380</v>
      </c>
      <c r="H587" s="42">
        <v>205</v>
      </c>
      <c r="J587" t="s">
        <v>248</v>
      </c>
      <c r="L587" s="34">
        <v>2</v>
      </c>
      <c r="M587" s="38">
        <v>0.75</v>
      </c>
      <c r="N587" s="38">
        <f t="shared" si="9"/>
        <v>1.5</v>
      </c>
    </row>
    <row r="588" spans="1:14">
      <c r="A588" s="29">
        <v>42801</v>
      </c>
      <c r="B588" s="22" t="s">
        <v>57</v>
      </c>
      <c r="C588" s="22" t="s">
        <v>53</v>
      </c>
      <c r="D588" s="48" t="s">
        <v>11</v>
      </c>
      <c r="E588" t="s">
        <v>179</v>
      </c>
      <c r="F588">
        <v>2016</v>
      </c>
      <c r="G588" t="s">
        <v>380</v>
      </c>
      <c r="H588" s="42">
        <v>150</v>
      </c>
      <c r="J588" t="s">
        <v>248</v>
      </c>
      <c r="L588" s="34">
        <v>1</v>
      </c>
      <c r="M588" s="38">
        <v>10</v>
      </c>
      <c r="N588" s="38">
        <f t="shared" si="9"/>
        <v>10</v>
      </c>
    </row>
    <row r="589" spans="1:14">
      <c r="A589" s="29">
        <v>42801</v>
      </c>
      <c r="B589" s="22" t="s">
        <v>63</v>
      </c>
      <c r="C589" s="22" t="s">
        <v>57</v>
      </c>
      <c r="D589" s="48" t="s">
        <v>5</v>
      </c>
      <c r="E589" t="s">
        <v>255</v>
      </c>
      <c r="F589">
        <v>2016</v>
      </c>
      <c r="G589" t="s">
        <v>403</v>
      </c>
      <c r="H589" s="42" t="s">
        <v>57</v>
      </c>
      <c r="J589" t="s">
        <v>248</v>
      </c>
      <c r="L589" s="34">
        <v>2</v>
      </c>
      <c r="M589" s="38">
        <v>0.75</v>
      </c>
      <c r="N589" s="38">
        <f t="shared" si="9"/>
        <v>1.5</v>
      </c>
    </row>
    <row r="590" spans="1:14">
      <c r="A590" s="29">
        <v>42801</v>
      </c>
      <c r="B590" s="22" t="s">
        <v>28</v>
      </c>
      <c r="C590" s="22" t="s">
        <v>271</v>
      </c>
      <c r="D590" s="48" t="s">
        <v>5</v>
      </c>
      <c r="E590" t="s">
        <v>158</v>
      </c>
      <c r="F590">
        <v>2016</v>
      </c>
      <c r="G590" t="s">
        <v>409</v>
      </c>
      <c r="H590" s="42" t="s">
        <v>57</v>
      </c>
      <c r="J590" t="s">
        <v>248</v>
      </c>
      <c r="K590" t="s">
        <v>410</v>
      </c>
      <c r="L590" s="34">
        <v>3</v>
      </c>
      <c r="M590" s="38">
        <v>0.75</v>
      </c>
      <c r="N590" s="38">
        <f t="shared" si="9"/>
        <v>2.25</v>
      </c>
    </row>
    <row r="591" spans="1:14">
      <c r="A591" s="29">
        <v>42801</v>
      </c>
      <c r="B591" s="22" t="s">
        <v>28</v>
      </c>
      <c r="C591" s="22" t="s">
        <v>271</v>
      </c>
      <c r="D591" s="48" t="s">
        <v>5</v>
      </c>
      <c r="E591" t="s">
        <v>158</v>
      </c>
      <c r="F591">
        <v>2016</v>
      </c>
      <c r="G591" t="s">
        <v>411</v>
      </c>
      <c r="H591" s="42" t="s">
        <v>57</v>
      </c>
      <c r="J591" t="s">
        <v>248</v>
      </c>
      <c r="K591" t="s">
        <v>412</v>
      </c>
      <c r="L591" s="34">
        <v>3</v>
      </c>
      <c r="M591" s="38">
        <v>0.75</v>
      </c>
      <c r="N591" s="38">
        <f t="shared" si="9"/>
        <v>2.25</v>
      </c>
    </row>
    <row r="592" spans="1:14">
      <c r="A592" s="29">
        <v>42801</v>
      </c>
      <c r="B592" s="22" t="s">
        <v>28</v>
      </c>
      <c r="C592" s="22" t="s">
        <v>271</v>
      </c>
      <c r="D592" s="48" t="s">
        <v>5</v>
      </c>
      <c r="E592" t="s">
        <v>255</v>
      </c>
      <c r="F592">
        <v>2016</v>
      </c>
      <c r="G592" t="s">
        <v>413</v>
      </c>
      <c r="H592" s="42" t="s">
        <v>57</v>
      </c>
      <c r="J592" t="s">
        <v>248</v>
      </c>
      <c r="K592" t="s">
        <v>414</v>
      </c>
      <c r="L592" s="34">
        <v>3</v>
      </c>
      <c r="M592" s="38">
        <v>0.75</v>
      </c>
      <c r="N592" s="38">
        <f t="shared" si="9"/>
        <v>2.25</v>
      </c>
    </row>
    <row r="593" spans="1:14">
      <c r="A593" s="29">
        <v>42801</v>
      </c>
      <c r="B593" s="22" t="s">
        <v>28</v>
      </c>
      <c r="C593" s="22" t="s">
        <v>271</v>
      </c>
      <c r="D593" s="48" t="s">
        <v>5</v>
      </c>
      <c r="E593" t="s">
        <v>255</v>
      </c>
      <c r="F593">
        <v>2016</v>
      </c>
      <c r="G593" t="s">
        <v>415</v>
      </c>
      <c r="H593" s="42" t="s">
        <v>57</v>
      </c>
      <c r="J593" t="s">
        <v>248</v>
      </c>
      <c r="K593" t="s">
        <v>416</v>
      </c>
      <c r="L593" s="34">
        <v>3</v>
      </c>
      <c r="M593" s="38">
        <v>0.75</v>
      </c>
      <c r="N593" s="38">
        <f t="shared" si="9"/>
        <v>2.25</v>
      </c>
    </row>
    <row r="594" spans="1:14">
      <c r="A594" s="29">
        <v>42802</v>
      </c>
      <c r="B594" s="22" t="s">
        <v>72</v>
      </c>
      <c r="C594" s="22" t="s">
        <v>57</v>
      </c>
      <c r="D594" s="48" t="s">
        <v>5</v>
      </c>
      <c r="E594" t="s">
        <v>255</v>
      </c>
      <c r="F594">
        <v>2016</v>
      </c>
      <c r="G594" t="s">
        <v>338</v>
      </c>
      <c r="H594" s="42">
        <v>41</v>
      </c>
      <c r="J594" t="s">
        <v>248</v>
      </c>
      <c r="L594" s="34">
        <v>2</v>
      </c>
      <c r="M594" s="38">
        <v>0.75</v>
      </c>
      <c r="N594" s="38">
        <f t="shared" si="9"/>
        <v>1.5</v>
      </c>
    </row>
    <row r="595" spans="1:14">
      <c r="A595" s="29">
        <v>42802</v>
      </c>
      <c r="B595" s="22" t="s">
        <v>64</v>
      </c>
      <c r="C595" s="22" t="s">
        <v>57</v>
      </c>
      <c r="D595" s="48" t="s">
        <v>5</v>
      </c>
      <c r="E595" t="s">
        <v>255</v>
      </c>
      <c r="F595">
        <v>2016</v>
      </c>
      <c r="G595" t="s">
        <v>57</v>
      </c>
      <c r="H595" s="42">
        <v>23</v>
      </c>
      <c r="J595" t="s">
        <v>248</v>
      </c>
      <c r="L595" s="34">
        <v>1</v>
      </c>
      <c r="M595" s="38">
        <v>0.75</v>
      </c>
      <c r="N595" s="38">
        <f t="shared" si="9"/>
        <v>0.75</v>
      </c>
    </row>
    <row r="596" spans="1:14">
      <c r="A596" s="29">
        <v>42802</v>
      </c>
      <c r="B596" s="22" t="s">
        <v>64</v>
      </c>
      <c r="C596" s="22" t="s">
        <v>57</v>
      </c>
      <c r="D596" s="48" t="s">
        <v>5</v>
      </c>
      <c r="E596" t="s">
        <v>255</v>
      </c>
      <c r="F596">
        <v>2016</v>
      </c>
      <c r="G596" t="s">
        <v>57</v>
      </c>
      <c r="H596" s="42">
        <v>85</v>
      </c>
      <c r="J596" t="s">
        <v>248</v>
      </c>
      <c r="L596" s="34">
        <v>1</v>
      </c>
      <c r="M596" s="38">
        <v>0.75</v>
      </c>
      <c r="N596" s="38">
        <f t="shared" si="9"/>
        <v>0.75</v>
      </c>
    </row>
    <row r="597" spans="1:14">
      <c r="A597" s="29">
        <v>42802</v>
      </c>
      <c r="B597" s="22" t="s">
        <v>63</v>
      </c>
      <c r="C597" s="22" t="s">
        <v>57</v>
      </c>
      <c r="D597" s="48" t="s">
        <v>5</v>
      </c>
      <c r="E597" t="s">
        <v>255</v>
      </c>
      <c r="F597">
        <v>2016</v>
      </c>
      <c r="G597" t="s">
        <v>57</v>
      </c>
      <c r="H597" s="42">
        <v>324</v>
      </c>
      <c r="J597" t="s">
        <v>248</v>
      </c>
      <c r="L597" s="34">
        <v>1</v>
      </c>
      <c r="M597" s="38">
        <v>0.75</v>
      </c>
      <c r="N597" s="38">
        <f t="shared" si="9"/>
        <v>0.75</v>
      </c>
    </row>
    <row r="598" spans="1:14">
      <c r="A598" s="29">
        <v>42802</v>
      </c>
      <c r="B598" s="22" t="s">
        <v>63</v>
      </c>
      <c r="C598" s="22" t="s">
        <v>57</v>
      </c>
      <c r="D598" s="48" t="s">
        <v>8</v>
      </c>
      <c r="E598" t="s">
        <v>275</v>
      </c>
      <c r="F598">
        <v>2016</v>
      </c>
      <c r="G598" t="s">
        <v>417</v>
      </c>
      <c r="H598" s="42" t="s">
        <v>57</v>
      </c>
      <c r="J598" t="s">
        <v>248</v>
      </c>
      <c r="L598" s="34">
        <v>2</v>
      </c>
      <c r="M598" s="38">
        <v>0.75</v>
      </c>
      <c r="N598" s="38">
        <f t="shared" si="9"/>
        <v>1.5</v>
      </c>
    </row>
    <row r="599" spans="1:14">
      <c r="A599" s="29">
        <v>42802</v>
      </c>
      <c r="B599" s="22" t="s">
        <v>64</v>
      </c>
      <c r="C599" s="22" t="s">
        <v>57</v>
      </c>
      <c r="D599" s="48" t="s">
        <v>5</v>
      </c>
      <c r="E599" t="s">
        <v>159</v>
      </c>
      <c r="F599">
        <v>2016</v>
      </c>
      <c r="G599" t="s">
        <v>319</v>
      </c>
      <c r="H599" s="42">
        <v>408</v>
      </c>
      <c r="J599" t="s">
        <v>248</v>
      </c>
      <c r="L599" s="34">
        <v>2</v>
      </c>
      <c r="M599" s="38">
        <v>0.75</v>
      </c>
      <c r="N599" s="38">
        <f t="shared" si="9"/>
        <v>1.5</v>
      </c>
    </row>
    <row r="600" spans="1:14">
      <c r="A600" s="29">
        <v>42802</v>
      </c>
      <c r="B600" s="22" t="s">
        <v>64</v>
      </c>
      <c r="C600" s="22" t="s">
        <v>57</v>
      </c>
      <c r="D600" s="48" t="s">
        <v>5</v>
      </c>
      <c r="E600" t="s">
        <v>157</v>
      </c>
      <c r="F600">
        <v>2016</v>
      </c>
      <c r="G600" t="s">
        <v>250</v>
      </c>
      <c r="H600" s="42">
        <v>48</v>
      </c>
      <c r="J600" t="s">
        <v>248</v>
      </c>
      <c r="L600" s="34">
        <v>2</v>
      </c>
      <c r="M600" s="38">
        <v>0.75</v>
      </c>
      <c r="N600" s="38">
        <f t="shared" si="9"/>
        <v>1.5</v>
      </c>
    </row>
    <row r="601" spans="1:14">
      <c r="A601" s="29">
        <v>42802</v>
      </c>
      <c r="B601" s="22" t="s">
        <v>64</v>
      </c>
      <c r="C601" s="22" t="s">
        <v>57</v>
      </c>
      <c r="D601" s="48" t="s">
        <v>5</v>
      </c>
      <c r="E601" t="s">
        <v>157</v>
      </c>
      <c r="F601">
        <v>2016</v>
      </c>
      <c r="G601" t="s">
        <v>257</v>
      </c>
      <c r="H601" s="42">
        <v>24</v>
      </c>
      <c r="J601" t="s">
        <v>248</v>
      </c>
      <c r="L601" s="34">
        <v>2</v>
      </c>
      <c r="M601" s="38">
        <v>0.75</v>
      </c>
      <c r="N601" s="38">
        <f t="shared" si="9"/>
        <v>1.5</v>
      </c>
    </row>
    <row r="602" spans="1:14">
      <c r="A602" s="29">
        <v>42802</v>
      </c>
      <c r="B602" s="22" t="s">
        <v>64</v>
      </c>
      <c r="C602" s="22" t="s">
        <v>57</v>
      </c>
      <c r="D602" s="48" t="s">
        <v>11</v>
      </c>
      <c r="E602" t="s">
        <v>347</v>
      </c>
      <c r="F602">
        <v>2016</v>
      </c>
      <c r="G602" t="s">
        <v>338</v>
      </c>
      <c r="H602" s="43">
        <v>100</v>
      </c>
      <c r="I602" s="13"/>
      <c r="J602" t="s">
        <v>248</v>
      </c>
      <c r="L602" s="34">
        <v>2</v>
      </c>
      <c r="M602" s="38">
        <v>0.75</v>
      </c>
      <c r="N602" s="38">
        <f t="shared" si="9"/>
        <v>1.5</v>
      </c>
    </row>
    <row r="603" spans="1:14">
      <c r="A603" s="29">
        <v>42802</v>
      </c>
      <c r="B603" s="22" t="s">
        <v>64</v>
      </c>
      <c r="C603" s="22" t="s">
        <v>57</v>
      </c>
      <c r="D603" s="48" t="s">
        <v>5</v>
      </c>
      <c r="E603" t="s">
        <v>347</v>
      </c>
      <c r="F603">
        <v>2016</v>
      </c>
      <c r="G603" t="s">
        <v>338</v>
      </c>
      <c r="H603" s="42" t="s">
        <v>57</v>
      </c>
      <c r="J603" t="s">
        <v>248</v>
      </c>
      <c r="L603" s="34">
        <v>2</v>
      </c>
      <c r="M603" s="38">
        <v>0.75</v>
      </c>
      <c r="N603" s="38">
        <f t="shared" si="9"/>
        <v>1.5</v>
      </c>
    </row>
    <row r="604" spans="1:14">
      <c r="A604" s="29">
        <v>42804</v>
      </c>
      <c r="B604" s="22" t="s">
        <v>57</v>
      </c>
      <c r="C604" s="22" t="s">
        <v>22</v>
      </c>
      <c r="D604" s="48" t="s">
        <v>11</v>
      </c>
      <c r="E604" t="s">
        <v>177</v>
      </c>
      <c r="F604">
        <v>2016</v>
      </c>
      <c r="G604" t="s">
        <v>338</v>
      </c>
      <c r="H604" s="42">
        <v>99</v>
      </c>
      <c r="J604" t="s">
        <v>248</v>
      </c>
      <c r="L604" s="34">
        <v>1</v>
      </c>
      <c r="M604" s="38">
        <v>0.75</v>
      </c>
      <c r="N604" s="38">
        <f t="shared" si="9"/>
        <v>0.75</v>
      </c>
    </row>
    <row r="605" spans="1:14">
      <c r="A605" s="29">
        <v>42807</v>
      </c>
      <c r="B605" s="22" t="s">
        <v>29</v>
      </c>
      <c r="C605" s="22" t="s">
        <v>45</v>
      </c>
      <c r="D605" s="48" t="s">
        <v>5</v>
      </c>
      <c r="E605" t="s">
        <v>157</v>
      </c>
      <c r="F605">
        <v>2016</v>
      </c>
      <c r="G605" t="s">
        <v>391</v>
      </c>
      <c r="H605" s="42">
        <v>413</v>
      </c>
      <c r="J605" t="s">
        <v>248</v>
      </c>
      <c r="L605" s="34">
        <v>3</v>
      </c>
      <c r="M605" s="38">
        <v>0.75</v>
      </c>
      <c r="N605" s="38">
        <f t="shared" si="9"/>
        <v>2.25</v>
      </c>
    </row>
    <row r="606" spans="1:14">
      <c r="A606" s="29">
        <v>42807</v>
      </c>
      <c r="B606" s="22" t="s">
        <v>13</v>
      </c>
      <c r="C606" s="22" t="s">
        <v>57</v>
      </c>
      <c r="D606" s="48" t="s">
        <v>5</v>
      </c>
      <c r="E606" t="s">
        <v>157</v>
      </c>
      <c r="F606">
        <v>2015</v>
      </c>
      <c r="G606" t="s">
        <v>418</v>
      </c>
      <c r="H606" s="42" t="s">
        <v>419</v>
      </c>
      <c r="J606" t="s">
        <v>248</v>
      </c>
      <c r="L606" s="34">
        <v>2</v>
      </c>
      <c r="M606" s="38">
        <v>0.75</v>
      </c>
      <c r="N606" s="38">
        <f t="shared" si="9"/>
        <v>1.5</v>
      </c>
    </row>
    <row r="607" spans="1:14">
      <c r="A607" s="29">
        <v>42807</v>
      </c>
      <c r="B607" s="22" t="s">
        <v>13</v>
      </c>
      <c r="C607" s="22" t="s">
        <v>57</v>
      </c>
      <c r="D607" s="48" t="s">
        <v>11</v>
      </c>
      <c r="E607" t="s">
        <v>420</v>
      </c>
      <c r="F607">
        <v>2015</v>
      </c>
      <c r="G607" t="s">
        <v>421</v>
      </c>
      <c r="H607" s="42" t="s">
        <v>422</v>
      </c>
      <c r="J607" t="s">
        <v>248</v>
      </c>
      <c r="L607" s="34">
        <v>2</v>
      </c>
      <c r="M607" s="38">
        <v>0.75</v>
      </c>
      <c r="N607" s="38">
        <f t="shared" si="9"/>
        <v>1.5</v>
      </c>
    </row>
    <row r="608" spans="1:14">
      <c r="A608" s="29">
        <v>42807</v>
      </c>
      <c r="B608" s="22" t="s">
        <v>13</v>
      </c>
      <c r="C608" s="22" t="s">
        <v>57</v>
      </c>
      <c r="D608" s="48" t="s">
        <v>5</v>
      </c>
      <c r="E608" t="s">
        <v>157</v>
      </c>
      <c r="F608">
        <v>2015</v>
      </c>
      <c r="G608" t="s">
        <v>338</v>
      </c>
      <c r="H608" s="42">
        <v>19</v>
      </c>
      <c r="J608" t="s">
        <v>248</v>
      </c>
      <c r="L608" s="34">
        <v>1</v>
      </c>
      <c r="M608" s="38">
        <v>0.75</v>
      </c>
      <c r="N608" s="38">
        <f t="shared" si="9"/>
        <v>0.75</v>
      </c>
    </row>
    <row r="609" spans="1:14">
      <c r="A609" s="29">
        <v>42807</v>
      </c>
      <c r="B609" s="22" t="s">
        <v>13</v>
      </c>
      <c r="C609" s="22" t="s">
        <v>57</v>
      </c>
      <c r="D609" s="48" t="s">
        <v>5</v>
      </c>
      <c r="E609" t="s">
        <v>255</v>
      </c>
      <c r="F609">
        <v>2016</v>
      </c>
      <c r="G609" t="s">
        <v>338</v>
      </c>
      <c r="H609" s="42">
        <v>41</v>
      </c>
      <c r="J609" t="s">
        <v>248</v>
      </c>
      <c r="L609" s="34">
        <v>1</v>
      </c>
      <c r="M609" s="38">
        <v>0.75</v>
      </c>
      <c r="N609" s="38">
        <f t="shared" si="9"/>
        <v>0.75</v>
      </c>
    </row>
    <row r="610" spans="1:14">
      <c r="A610" s="29">
        <v>42810</v>
      </c>
      <c r="B610" s="22" t="s">
        <v>57</v>
      </c>
      <c r="C610" s="22" t="s">
        <v>41</v>
      </c>
      <c r="D610" s="48" t="s">
        <v>5</v>
      </c>
      <c r="E610" t="s">
        <v>381</v>
      </c>
      <c r="F610" t="s">
        <v>423</v>
      </c>
      <c r="G610" t="s">
        <v>57</v>
      </c>
      <c r="H610" s="42" t="s">
        <v>57</v>
      </c>
      <c r="J610" t="s">
        <v>248</v>
      </c>
      <c r="K610" t="s">
        <v>424</v>
      </c>
      <c r="L610" s="34">
        <v>3</v>
      </c>
      <c r="M610" s="38">
        <v>0.75</v>
      </c>
      <c r="N610" s="38">
        <f t="shared" si="9"/>
        <v>2.25</v>
      </c>
    </row>
    <row r="611" spans="1:14">
      <c r="A611" s="29">
        <v>42810</v>
      </c>
      <c r="B611" s="22" t="s">
        <v>9</v>
      </c>
      <c r="C611" s="22" t="s">
        <v>41</v>
      </c>
      <c r="D611" s="48" t="s">
        <v>5</v>
      </c>
      <c r="E611" t="s">
        <v>157</v>
      </c>
      <c r="F611">
        <v>2015</v>
      </c>
      <c r="G611" t="s">
        <v>57</v>
      </c>
      <c r="H611" s="42" t="s">
        <v>57</v>
      </c>
      <c r="J611" t="s">
        <v>248</v>
      </c>
      <c r="K611" t="s">
        <v>425</v>
      </c>
      <c r="L611" s="34">
        <v>2</v>
      </c>
      <c r="M611" s="38">
        <v>0.75</v>
      </c>
      <c r="N611" s="38">
        <f t="shared" si="9"/>
        <v>1.5</v>
      </c>
    </row>
    <row r="612" spans="1:14">
      <c r="A612" s="29">
        <v>42810</v>
      </c>
      <c r="B612" s="22" t="s">
        <v>57</v>
      </c>
      <c r="C612" s="22" t="s">
        <v>49</v>
      </c>
      <c r="D612" s="48" t="s">
        <v>5</v>
      </c>
      <c r="E612" t="s">
        <v>381</v>
      </c>
      <c r="F612" t="s">
        <v>423</v>
      </c>
      <c r="G612" t="s">
        <v>57</v>
      </c>
      <c r="H612" s="42" t="s">
        <v>57</v>
      </c>
      <c r="J612" t="s">
        <v>248</v>
      </c>
      <c r="K612" t="s">
        <v>424</v>
      </c>
      <c r="L612" s="34">
        <v>2</v>
      </c>
      <c r="M612" s="38">
        <v>0.75</v>
      </c>
      <c r="N612" s="38">
        <f t="shared" si="9"/>
        <v>1.5</v>
      </c>
    </row>
    <row r="613" spans="1:14">
      <c r="A613" s="29">
        <v>42810</v>
      </c>
      <c r="B613" s="22" t="s">
        <v>57</v>
      </c>
      <c r="C613" s="22" t="s">
        <v>49</v>
      </c>
      <c r="D613" s="48" t="s">
        <v>8</v>
      </c>
      <c r="E613" t="s">
        <v>275</v>
      </c>
      <c r="F613">
        <v>2016</v>
      </c>
      <c r="G613" t="s">
        <v>275</v>
      </c>
      <c r="H613" s="42" t="s">
        <v>57</v>
      </c>
      <c r="J613" t="s">
        <v>248</v>
      </c>
      <c r="L613" s="34">
        <v>2</v>
      </c>
      <c r="M613" s="38">
        <v>0.75</v>
      </c>
      <c r="N613" s="38">
        <f t="shared" si="9"/>
        <v>1.5</v>
      </c>
    </row>
    <row r="614" spans="1:14">
      <c r="A614" s="29">
        <v>42811</v>
      </c>
      <c r="B614" s="22" t="s">
        <v>57</v>
      </c>
      <c r="C614" s="22" t="s">
        <v>49</v>
      </c>
      <c r="D614" s="48" t="s">
        <v>5</v>
      </c>
      <c r="E614" t="s">
        <v>255</v>
      </c>
      <c r="F614">
        <v>2016</v>
      </c>
      <c r="G614" t="s">
        <v>57</v>
      </c>
      <c r="H614" s="42">
        <v>324</v>
      </c>
      <c r="J614" t="s">
        <v>248</v>
      </c>
      <c r="L614" s="34">
        <v>2</v>
      </c>
      <c r="M614" s="38">
        <v>0.75</v>
      </c>
      <c r="N614" s="38">
        <f t="shared" si="9"/>
        <v>1.5</v>
      </c>
    </row>
    <row r="615" spans="1:14">
      <c r="A615" s="29">
        <v>42814</v>
      </c>
      <c r="B615" s="22" t="s">
        <v>28</v>
      </c>
      <c r="C615" s="22" t="s">
        <v>271</v>
      </c>
      <c r="D615" s="48" t="s">
        <v>5</v>
      </c>
      <c r="E615" t="s">
        <v>157</v>
      </c>
      <c r="F615">
        <v>2016</v>
      </c>
      <c r="G615" t="s">
        <v>426</v>
      </c>
      <c r="H615" s="42" t="s">
        <v>57</v>
      </c>
      <c r="J615" t="s">
        <v>248</v>
      </c>
      <c r="L615" s="34">
        <v>3</v>
      </c>
      <c r="M615" s="38">
        <v>0.75</v>
      </c>
      <c r="N615" s="38">
        <f t="shared" si="9"/>
        <v>2.25</v>
      </c>
    </row>
    <row r="616" spans="1:14">
      <c r="A616" s="29">
        <v>42814</v>
      </c>
      <c r="B616" s="22" t="s">
        <v>28</v>
      </c>
      <c r="C616" s="22" t="s">
        <v>271</v>
      </c>
      <c r="D616" s="48" t="s">
        <v>5</v>
      </c>
      <c r="E616" t="s">
        <v>159</v>
      </c>
      <c r="F616">
        <v>2016</v>
      </c>
      <c r="G616" t="s">
        <v>319</v>
      </c>
      <c r="H616" s="42">
        <v>408</v>
      </c>
      <c r="J616" t="s">
        <v>248</v>
      </c>
      <c r="L616" s="34">
        <v>2</v>
      </c>
      <c r="M616" s="38">
        <v>0.75</v>
      </c>
      <c r="N616" s="38">
        <f t="shared" si="9"/>
        <v>1.5</v>
      </c>
    </row>
    <row r="617" spans="1:14">
      <c r="A617" s="29">
        <v>42816</v>
      </c>
      <c r="B617" s="22" t="s">
        <v>81</v>
      </c>
      <c r="C617" s="22" t="s">
        <v>57</v>
      </c>
      <c r="D617" s="48" t="s">
        <v>5</v>
      </c>
      <c r="E617" t="s">
        <v>159</v>
      </c>
      <c r="F617">
        <v>2016</v>
      </c>
      <c r="G617" t="s">
        <v>326</v>
      </c>
      <c r="H617" s="42">
        <v>198</v>
      </c>
      <c r="J617" t="s">
        <v>248</v>
      </c>
      <c r="L617" s="34">
        <v>6</v>
      </c>
      <c r="M617" s="38">
        <v>0.75</v>
      </c>
      <c r="N617" s="38">
        <f t="shared" si="9"/>
        <v>4.5</v>
      </c>
    </row>
    <row r="618" spans="1:14">
      <c r="A618" s="29">
        <v>42816</v>
      </c>
      <c r="B618" s="22" t="s">
        <v>81</v>
      </c>
      <c r="C618" s="22" t="s">
        <v>57</v>
      </c>
      <c r="D618" s="48" t="s">
        <v>5</v>
      </c>
      <c r="E618" t="s">
        <v>381</v>
      </c>
      <c r="F618" t="s">
        <v>423</v>
      </c>
      <c r="G618" t="s">
        <v>57</v>
      </c>
      <c r="H618" s="42" t="s">
        <v>57</v>
      </c>
      <c r="J618" t="s">
        <v>248</v>
      </c>
      <c r="K618" t="s">
        <v>424</v>
      </c>
      <c r="L618" s="34">
        <v>2</v>
      </c>
      <c r="M618" s="38">
        <v>0.75</v>
      </c>
      <c r="N618" s="38">
        <f t="shared" si="9"/>
        <v>1.5</v>
      </c>
    </row>
    <row r="619" spans="1:14">
      <c r="A619" s="29">
        <v>42816</v>
      </c>
      <c r="B619" s="22" t="s">
        <v>81</v>
      </c>
      <c r="C619" s="22" t="s">
        <v>57</v>
      </c>
      <c r="D619" s="48" t="s">
        <v>5</v>
      </c>
      <c r="E619" t="s">
        <v>157</v>
      </c>
      <c r="F619">
        <v>2015</v>
      </c>
      <c r="G619" t="s">
        <v>427</v>
      </c>
      <c r="H619" s="42">
        <v>311</v>
      </c>
      <c r="J619" t="s">
        <v>248</v>
      </c>
      <c r="L619" s="34">
        <v>2</v>
      </c>
      <c r="M619" s="38">
        <v>0.75</v>
      </c>
      <c r="N619" s="38">
        <f t="shared" si="9"/>
        <v>1.5</v>
      </c>
    </row>
    <row r="620" spans="1:14">
      <c r="A620" s="29">
        <v>42817</v>
      </c>
      <c r="B620" s="22" t="s">
        <v>110</v>
      </c>
      <c r="C620" s="22" t="s">
        <v>57</v>
      </c>
      <c r="D620" s="48" t="s">
        <v>5</v>
      </c>
      <c r="E620" t="s">
        <v>159</v>
      </c>
      <c r="F620">
        <v>2016</v>
      </c>
      <c r="G620" t="s">
        <v>319</v>
      </c>
      <c r="H620" s="42">
        <v>409</v>
      </c>
      <c r="J620" t="s">
        <v>248</v>
      </c>
      <c r="L620" s="34">
        <v>1</v>
      </c>
      <c r="M620" s="38">
        <v>0.75</v>
      </c>
      <c r="N620" s="38">
        <f t="shared" si="9"/>
        <v>0.75</v>
      </c>
    </row>
    <row r="621" spans="1:14">
      <c r="A621" s="29">
        <v>42817</v>
      </c>
      <c r="B621" s="22" t="s">
        <v>110</v>
      </c>
      <c r="C621" s="22" t="s">
        <v>57</v>
      </c>
      <c r="D621" s="48" t="s">
        <v>5</v>
      </c>
      <c r="E621" t="s">
        <v>159</v>
      </c>
      <c r="F621">
        <v>2016</v>
      </c>
      <c r="G621" t="s">
        <v>326</v>
      </c>
      <c r="H621" s="42">
        <v>198</v>
      </c>
      <c r="J621" t="s">
        <v>248</v>
      </c>
      <c r="L621" s="34">
        <v>2</v>
      </c>
      <c r="M621" s="38">
        <v>0.75</v>
      </c>
      <c r="N621" s="38">
        <f t="shared" si="9"/>
        <v>1.5</v>
      </c>
    </row>
    <row r="622" spans="1:14">
      <c r="A622" s="29">
        <v>42817</v>
      </c>
      <c r="B622" s="22" t="s">
        <v>63</v>
      </c>
      <c r="C622" s="22" t="s">
        <v>57</v>
      </c>
      <c r="D622" s="48" t="s">
        <v>5</v>
      </c>
      <c r="E622" t="s">
        <v>157</v>
      </c>
      <c r="F622">
        <v>2016</v>
      </c>
      <c r="G622" t="s">
        <v>247</v>
      </c>
      <c r="H622" s="42">
        <v>94</v>
      </c>
      <c r="J622" t="s">
        <v>248</v>
      </c>
      <c r="L622" s="34">
        <v>2</v>
      </c>
      <c r="M622" s="38">
        <v>0.75</v>
      </c>
      <c r="N622" s="38">
        <f t="shared" si="9"/>
        <v>1.5</v>
      </c>
    </row>
    <row r="623" spans="1:14">
      <c r="A623" s="29">
        <v>42817</v>
      </c>
      <c r="B623" s="22" t="s">
        <v>63</v>
      </c>
      <c r="C623" s="22" t="s">
        <v>57</v>
      </c>
      <c r="D623" s="48" t="s">
        <v>5</v>
      </c>
      <c r="E623" t="s">
        <v>157</v>
      </c>
      <c r="F623">
        <v>2016</v>
      </c>
      <c r="G623" t="s">
        <v>254</v>
      </c>
      <c r="H623" s="42">
        <v>414</v>
      </c>
      <c r="J623" t="s">
        <v>248</v>
      </c>
      <c r="L623" s="34">
        <v>2</v>
      </c>
      <c r="M623" s="38">
        <v>0.75</v>
      </c>
      <c r="N623" s="38">
        <f t="shared" si="9"/>
        <v>1.5</v>
      </c>
    </row>
    <row r="624" spans="1:14">
      <c r="A624" s="29">
        <v>42817</v>
      </c>
      <c r="B624" s="22" t="s">
        <v>109</v>
      </c>
      <c r="C624" s="22" t="s">
        <v>57</v>
      </c>
      <c r="D624" s="48" t="s">
        <v>8</v>
      </c>
      <c r="E624" t="s">
        <v>179</v>
      </c>
      <c r="F624">
        <v>2016</v>
      </c>
      <c r="G624" t="s">
        <v>309</v>
      </c>
      <c r="H624" s="42">
        <v>404</v>
      </c>
      <c r="J624" t="s">
        <v>248</v>
      </c>
      <c r="L624" s="34">
        <v>2</v>
      </c>
      <c r="M624" s="38">
        <v>0.75</v>
      </c>
      <c r="N624" s="38">
        <f t="shared" si="9"/>
        <v>1.5</v>
      </c>
    </row>
    <row r="625" spans="1:14">
      <c r="A625" s="29">
        <v>42817</v>
      </c>
      <c r="B625" s="22" t="s">
        <v>110</v>
      </c>
      <c r="C625" s="22" t="s">
        <v>57</v>
      </c>
      <c r="D625" s="48" t="s">
        <v>8</v>
      </c>
      <c r="E625" t="s">
        <v>273</v>
      </c>
      <c r="F625">
        <v>2016</v>
      </c>
      <c r="G625" t="s">
        <v>275</v>
      </c>
      <c r="H625" s="42" t="s">
        <v>57</v>
      </c>
      <c r="J625" t="s">
        <v>248</v>
      </c>
      <c r="L625" s="34">
        <v>2</v>
      </c>
      <c r="M625" s="38">
        <v>0.75</v>
      </c>
      <c r="N625" s="38">
        <f t="shared" si="9"/>
        <v>1.5</v>
      </c>
    </row>
    <row r="626" spans="1:14">
      <c r="A626" s="29">
        <v>42818</v>
      </c>
      <c r="B626" s="22" t="s">
        <v>63</v>
      </c>
      <c r="C626" s="22" t="s">
        <v>57</v>
      </c>
      <c r="D626" s="48" t="s">
        <v>5</v>
      </c>
      <c r="E626" t="s">
        <v>381</v>
      </c>
      <c r="F626" t="s">
        <v>423</v>
      </c>
      <c r="G626" t="s">
        <v>57</v>
      </c>
      <c r="H626" s="42" t="s">
        <v>57</v>
      </c>
      <c r="J626" t="s">
        <v>248</v>
      </c>
      <c r="L626" s="34">
        <v>5</v>
      </c>
      <c r="M626" s="38">
        <v>0.75</v>
      </c>
      <c r="N626" s="38">
        <f t="shared" si="9"/>
        <v>3.75</v>
      </c>
    </row>
    <row r="627" spans="1:14">
      <c r="A627" s="29">
        <v>42818</v>
      </c>
      <c r="B627" s="22" t="s">
        <v>63</v>
      </c>
      <c r="C627" s="22" t="s">
        <v>57</v>
      </c>
      <c r="D627" s="48" t="s">
        <v>8</v>
      </c>
      <c r="E627" t="s">
        <v>272</v>
      </c>
      <c r="F627">
        <v>2016</v>
      </c>
      <c r="G627" t="s">
        <v>275</v>
      </c>
      <c r="H627" s="42" t="s">
        <v>57</v>
      </c>
      <c r="J627" t="s">
        <v>248</v>
      </c>
      <c r="L627" s="34">
        <v>2</v>
      </c>
      <c r="M627" s="38">
        <v>0.75</v>
      </c>
      <c r="N627" s="38">
        <f t="shared" si="9"/>
        <v>1.5</v>
      </c>
    </row>
    <row r="628" spans="1:14">
      <c r="A628" s="29">
        <v>42822</v>
      </c>
      <c r="B628" s="22" t="s">
        <v>63</v>
      </c>
      <c r="C628" s="22"/>
      <c r="D628" s="48" t="s">
        <v>5</v>
      </c>
      <c r="E628" t="s">
        <v>381</v>
      </c>
      <c r="F628" t="s">
        <v>423</v>
      </c>
      <c r="G628" t="s">
        <v>428</v>
      </c>
      <c r="H628" s="42" t="s">
        <v>57</v>
      </c>
      <c r="J628" t="s">
        <v>248</v>
      </c>
      <c r="L628" s="34">
        <v>3</v>
      </c>
      <c r="M628" s="38">
        <v>0.75</v>
      </c>
      <c r="N628" s="38">
        <f t="shared" si="9"/>
        <v>2.25</v>
      </c>
    </row>
    <row r="629" spans="1:14">
      <c r="A629" s="29">
        <v>42822</v>
      </c>
      <c r="B629" s="22" t="s">
        <v>63</v>
      </c>
      <c r="C629" s="22" t="s">
        <v>57</v>
      </c>
      <c r="D629" s="48" t="s">
        <v>5</v>
      </c>
      <c r="E629" t="s">
        <v>255</v>
      </c>
      <c r="F629">
        <v>2015</v>
      </c>
      <c r="G629" t="s">
        <v>57</v>
      </c>
      <c r="H629" s="42" t="s">
        <v>57</v>
      </c>
      <c r="J629" t="s">
        <v>248</v>
      </c>
      <c r="K629" t="s">
        <v>429</v>
      </c>
      <c r="L629" s="34">
        <v>1</v>
      </c>
      <c r="M629" s="38">
        <v>0.75</v>
      </c>
      <c r="N629" s="38">
        <f t="shared" si="9"/>
        <v>0.75</v>
      </c>
    </row>
    <row r="630" spans="1:14">
      <c r="A630" s="29">
        <v>42822</v>
      </c>
      <c r="B630" s="22" t="s">
        <v>57</v>
      </c>
      <c r="C630" s="22" t="s">
        <v>45</v>
      </c>
      <c r="D630" s="48" t="s">
        <v>5</v>
      </c>
      <c r="E630" t="s">
        <v>157</v>
      </c>
      <c r="F630">
        <v>2016</v>
      </c>
      <c r="G630" t="s">
        <v>391</v>
      </c>
      <c r="H630" s="42">
        <v>413</v>
      </c>
      <c r="J630" t="s">
        <v>248</v>
      </c>
      <c r="L630" s="34">
        <v>2</v>
      </c>
      <c r="M630" s="38">
        <v>0.75</v>
      </c>
      <c r="N630" s="38">
        <f t="shared" si="9"/>
        <v>1.5</v>
      </c>
    </row>
    <row r="631" spans="1:14">
      <c r="A631" s="29">
        <v>42822</v>
      </c>
      <c r="B631" s="22" t="s">
        <v>57</v>
      </c>
      <c r="C631" s="22" t="s">
        <v>45</v>
      </c>
      <c r="D631" s="48" t="s">
        <v>8</v>
      </c>
      <c r="E631" t="s">
        <v>275</v>
      </c>
      <c r="F631">
        <v>2016</v>
      </c>
      <c r="G631" t="s">
        <v>275</v>
      </c>
      <c r="H631" s="42">
        <v>15</v>
      </c>
      <c r="J631" t="s">
        <v>248</v>
      </c>
      <c r="L631" s="34">
        <v>2</v>
      </c>
      <c r="M631" s="38">
        <v>0.75</v>
      </c>
      <c r="N631" s="38">
        <f t="shared" si="9"/>
        <v>1.5</v>
      </c>
    </row>
    <row r="632" spans="1:14">
      <c r="A632" s="29">
        <v>42822</v>
      </c>
      <c r="B632" s="22" t="s">
        <v>57</v>
      </c>
      <c r="C632" s="22" t="s">
        <v>45</v>
      </c>
      <c r="D632" s="48" t="s">
        <v>8</v>
      </c>
      <c r="E632" t="s">
        <v>178</v>
      </c>
      <c r="F632">
        <v>2016</v>
      </c>
      <c r="G632" t="s">
        <v>337</v>
      </c>
      <c r="H632" s="42" t="s">
        <v>430</v>
      </c>
      <c r="J632" t="s">
        <v>248</v>
      </c>
      <c r="L632" s="34">
        <v>2</v>
      </c>
      <c r="M632" s="38">
        <v>0.75</v>
      </c>
      <c r="N632" s="38">
        <f t="shared" si="9"/>
        <v>1.5</v>
      </c>
    </row>
    <row r="633" spans="1:14">
      <c r="A633" s="29">
        <v>42822</v>
      </c>
      <c r="B633" s="22" t="s">
        <v>13</v>
      </c>
      <c r="C633" s="22" t="s">
        <v>57</v>
      </c>
      <c r="D633" s="48" t="s">
        <v>5</v>
      </c>
      <c r="E633" t="s">
        <v>431</v>
      </c>
      <c r="F633">
        <v>2016</v>
      </c>
      <c r="G633" t="s">
        <v>57</v>
      </c>
      <c r="H633" s="42" t="s">
        <v>57</v>
      </c>
      <c r="J633" t="s">
        <v>248</v>
      </c>
      <c r="K633" t="s">
        <v>432</v>
      </c>
      <c r="L633" s="34">
        <v>2</v>
      </c>
      <c r="M633" s="38">
        <v>0.75</v>
      </c>
      <c r="N633" s="38">
        <f t="shared" si="9"/>
        <v>1.5</v>
      </c>
    </row>
    <row r="634" spans="1:14">
      <c r="A634" s="29">
        <v>42823</v>
      </c>
      <c r="B634" s="22" t="s">
        <v>57</v>
      </c>
      <c r="C634" s="22" t="s">
        <v>45</v>
      </c>
      <c r="D634" s="48" t="s">
        <v>5</v>
      </c>
      <c r="E634" t="s">
        <v>161</v>
      </c>
      <c r="F634">
        <v>2016</v>
      </c>
      <c r="G634" t="s">
        <v>57</v>
      </c>
      <c r="H634" s="42">
        <v>45</v>
      </c>
      <c r="J634" t="s">
        <v>248</v>
      </c>
      <c r="L634" s="34">
        <v>2</v>
      </c>
      <c r="M634" s="38">
        <v>0.75</v>
      </c>
      <c r="N634" s="38">
        <f t="shared" si="9"/>
        <v>1.5</v>
      </c>
    </row>
    <row r="635" spans="1:14">
      <c r="A635" s="29">
        <v>42824</v>
      </c>
      <c r="B635" s="22" t="s">
        <v>112</v>
      </c>
      <c r="C635" s="22" t="s">
        <v>57</v>
      </c>
      <c r="D635" s="48" t="s">
        <v>5</v>
      </c>
      <c r="E635" t="s">
        <v>385</v>
      </c>
      <c r="F635">
        <v>2016</v>
      </c>
      <c r="G635" t="s">
        <v>57</v>
      </c>
      <c r="H635" s="42" t="s">
        <v>57</v>
      </c>
      <c r="J635" t="s">
        <v>248</v>
      </c>
      <c r="K635" t="s">
        <v>387</v>
      </c>
      <c r="L635" s="34">
        <v>4</v>
      </c>
      <c r="M635" s="38">
        <v>0.75</v>
      </c>
      <c r="N635" s="38">
        <f t="shared" si="9"/>
        <v>3</v>
      </c>
    </row>
    <row r="636" spans="1:14">
      <c r="A636" s="29">
        <v>42828</v>
      </c>
      <c r="B636" s="22" t="s">
        <v>13</v>
      </c>
      <c r="C636" s="22" t="s">
        <v>57</v>
      </c>
      <c r="D636" s="48" t="s">
        <v>5</v>
      </c>
      <c r="E636" t="s">
        <v>431</v>
      </c>
      <c r="F636">
        <v>2016</v>
      </c>
      <c r="G636" t="s">
        <v>57</v>
      </c>
      <c r="H636" s="42" t="s">
        <v>57</v>
      </c>
      <c r="J636" t="s">
        <v>248</v>
      </c>
      <c r="K636" t="s">
        <v>433</v>
      </c>
      <c r="L636" s="34">
        <v>2</v>
      </c>
      <c r="M636" s="38">
        <v>0.75</v>
      </c>
      <c r="N636" s="38">
        <f t="shared" si="9"/>
        <v>1.5</v>
      </c>
    </row>
    <row r="637" spans="1:14">
      <c r="A637" s="29">
        <v>42828</v>
      </c>
      <c r="B637" s="22" t="s">
        <v>13</v>
      </c>
      <c r="C637" s="22" t="s">
        <v>57</v>
      </c>
      <c r="D637" s="48" t="s">
        <v>5</v>
      </c>
      <c r="E637" t="s">
        <v>434</v>
      </c>
      <c r="F637">
        <v>2016</v>
      </c>
      <c r="G637" t="s">
        <v>357</v>
      </c>
      <c r="H637" s="42" t="s">
        <v>57</v>
      </c>
      <c r="J637" t="s">
        <v>248</v>
      </c>
      <c r="K637" t="s">
        <v>435</v>
      </c>
      <c r="L637" s="34">
        <v>1</v>
      </c>
      <c r="M637" s="38">
        <v>0.75</v>
      </c>
      <c r="N637" s="38">
        <f t="shared" si="9"/>
        <v>0.75</v>
      </c>
    </row>
    <row r="638" spans="1:14">
      <c r="A638" s="29">
        <v>42828</v>
      </c>
      <c r="B638" s="22" t="s">
        <v>13</v>
      </c>
      <c r="C638" s="22" t="s">
        <v>57</v>
      </c>
      <c r="D638" s="48" t="s">
        <v>5</v>
      </c>
      <c r="E638" t="s">
        <v>434</v>
      </c>
      <c r="F638">
        <v>2016</v>
      </c>
      <c r="G638" t="s">
        <v>359</v>
      </c>
      <c r="H638" s="42" t="s">
        <v>57</v>
      </c>
      <c r="J638" t="s">
        <v>248</v>
      </c>
      <c r="K638" t="s">
        <v>436</v>
      </c>
      <c r="L638" s="34">
        <v>1</v>
      </c>
      <c r="M638" s="38">
        <v>0.75</v>
      </c>
      <c r="N638" s="38">
        <f t="shared" si="9"/>
        <v>0.75</v>
      </c>
    </row>
    <row r="639" spans="1:14">
      <c r="A639" s="29">
        <v>42829</v>
      </c>
      <c r="B639" s="22" t="s">
        <v>117</v>
      </c>
      <c r="C639" s="22" t="s">
        <v>57</v>
      </c>
      <c r="D639" s="48" t="s">
        <v>5</v>
      </c>
      <c r="E639" t="s">
        <v>157</v>
      </c>
      <c r="F639">
        <v>2016</v>
      </c>
      <c r="G639" t="s">
        <v>254</v>
      </c>
      <c r="H639" s="42">
        <v>49</v>
      </c>
      <c r="J639" t="s">
        <v>248</v>
      </c>
      <c r="L639" s="34">
        <v>2</v>
      </c>
      <c r="M639" s="38">
        <v>0.375</v>
      </c>
      <c r="N639" s="38">
        <f t="shared" si="9"/>
        <v>0.75</v>
      </c>
    </row>
    <row r="640" spans="1:14">
      <c r="A640" s="29">
        <v>42829</v>
      </c>
      <c r="B640" s="22" t="s">
        <v>117</v>
      </c>
      <c r="C640" s="22" t="s">
        <v>57</v>
      </c>
      <c r="D640" s="48" t="s">
        <v>5</v>
      </c>
      <c r="E640" t="s">
        <v>157</v>
      </c>
      <c r="F640">
        <v>2016</v>
      </c>
      <c r="G640" t="s">
        <v>250</v>
      </c>
      <c r="H640" s="42">
        <v>48</v>
      </c>
      <c r="J640" t="s">
        <v>248</v>
      </c>
      <c r="L640" s="34">
        <v>2</v>
      </c>
      <c r="M640" s="38">
        <v>0.75</v>
      </c>
      <c r="N640" s="38">
        <f t="shared" si="9"/>
        <v>1.5</v>
      </c>
    </row>
    <row r="641" spans="1:14">
      <c r="A641" s="29">
        <v>42829</v>
      </c>
      <c r="B641" s="22" t="s">
        <v>117</v>
      </c>
      <c r="C641" s="22" t="s">
        <v>57</v>
      </c>
      <c r="D641" s="48" t="s">
        <v>5</v>
      </c>
      <c r="E641" t="s">
        <v>157</v>
      </c>
      <c r="F641">
        <v>2016</v>
      </c>
      <c r="G641" t="s">
        <v>247</v>
      </c>
      <c r="H641" s="42">
        <v>94</v>
      </c>
      <c r="J641" t="s">
        <v>248</v>
      </c>
      <c r="L641" s="34">
        <v>2</v>
      </c>
      <c r="M641" s="38">
        <v>0.375</v>
      </c>
      <c r="N641" s="38">
        <f t="shared" si="9"/>
        <v>0.75</v>
      </c>
    </row>
    <row r="642" spans="1:14">
      <c r="A642" s="29">
        <v>42830</v>
      </c>
      <c r="B642" s="22" t="s">
        <v>79</v>
      </c>
      <c r="C642" s="22" t="s">
        <v>57</v>
      </c>
      <c r="D642" s="48" t="s">
        <v>5</v>
      </c>
      <c r="E642" t="s">
        <v>262</v>
      </c>
      <c r="F642">
        <v>2016</v>
      </c>
      <c r="G642" t="s">
        <v>404</v>
      </c>
      <c r="H642" s="42">
        <v>419</v>
      </c>
      <c r="J642" t="s">
        <v>248</v>
      </c>
      <c r="L642" s="34">
        <v>1</v>
      </c>
      <c r="M642" s="38">
        <v>0.75</v>
      </c>
      <c r="N642" s="38">
        <f t="shared" si="9"/>
        <v>0.75</v>
      </c>
    </row>
    <row r="643" spans="1:14">
      <c r="A643" s="29">
        <v>42830</v>
      </c>
      <c r="B643" s="22" t="s">
        <v>28</v>
      </c>
      <c r="C643" s="22" t="s">
        <v>271</v>
      </c>
      <c r="D643" s="48" t="s">
        <v>5</v>
      </c>
      <c r="E643" t="s">
        <v>157</v>
      </c>
      <c r="F643">
        <v>2016</v>
      </c>
      <c r="G643" t="s">
        <v>391</v>
      </c>
      <c r="H643" s="42">
        <v>405</v>
      </c>
      <c r="J643" t="s">
        <v>248</v>
      </c>
      <c r="L643" s="34">
        <v>1</v>
      </c>
      <c r="M643" s="38">
        <v>0.75</v>
      </c>
      <c r="N643" s="38">
        <f t="shared" ref="N643:N706" si="10">M643*L643</f>
        <v>0.75</v>
      </c>
    </row>
    <row r="644" spans="1:14">
      <c r="A644" s="29">
        <v>42830</v>
      </c>
      <c r="B644" s="22" t="s">
        <v>6</v>
      </c>
      <c r="C644" s="22" t="s">
        <v>41</v>
      </c>
      <c r="D644" s="48" t="s">
        <v>5</v>
      </c>
      <c r="E644" t="s">
        <v>158</v>
      </c>
      <c r="F644">
        <v>2016</v>
      </c>
      <c r="G644" t="s">
        <v>437</v>
      </c>
      <c r="H644" s="42" t="s">
        <v>57</v>
      </c>
      <c r="J644" t="s">
        <v>248</v>
      </c>
      <c r="K644" t="s">
        <v>438</v>
      </c>
      <c r="L644" s="34">
        <v>3</v>
      </c>
      <c r="M644" s="38">
        <v>0.75</v>
      </c>
      <c r="N644" s="38">
        <f t="shared" si="10"/>
        <v>2.25</v>
      </c>
    </row>
    <row r="645" spans="1:14">
      <c r="A645" s="29">
        <v>42830</v>
      </c>
      <c r="B645" s="22" t="s">
        <v>63</v>
      </c>
      <c r="C645" s="22" t="s">
        <v>57</v>
      </c>
      <c r="D645" s="48" t="s">
        <v>5</v>
      </c>
      <c r="E645" t="s">
        <v>381</v>
      </c>
      <c r="F645" t="s">
        <v>423</v>
      </c>
      <c r="G645" t="s">
        <v>428</v>
      </c>
      <c r="H645" s="42" t="s">
        <v>57</v>
      </c>
      <c r="J645" t="s">
        <v>248</v>
      </c>
      <c r="L645" s="34">
        <v>3</v>
      </c>
      <c r="M645" s="38">
        <v>0.75</v>
      </c>
      <c r="N645" s="38">
        <f t="shared" si="10"/>
        <v>2.25</v>
      </c>
    </row>
    <row r="646" spans="1:14">
      <c r="A646" s="29">
        <v>42830</v>
      </c>
      <c r="B646" s="22" t="s">
        <v>28</v>
      </c>
      <c r="C646" s="22" t="s">
        <v>271</v>
      </c>
      <c r="D646" s="48" t="s">
        <v>5</v>
      </c>
      <c r="E646" t="s">
        <v>157</v>
      </c>
      <c r="F646">
        <v>2016</v>
      </c>
      <c r="G646" t="s">
        <v>439</v>
      </c>
      <c r="H646" s="42" t="s">
        <v>57</v>
      </c>
      <c r="J646" t="s">
        <v>248</v>
      </c>
      <c r="K646" t="s">
        <v>440</v>
      </c>
      <c r="L646" s="34">
        <v>1</v>
      </c>
      <c r="M646" s="38">
        <v>5</v>
      </c>
      <c r="N646" s="38">
        <f t="shared" si="10"/>
        <v>5</v>
      </c>
    </row>
    <row r="647" spans="1:14">
      <c r="A647" s="29">
        <v>42830</v>
      </c>
      <c r="B647" s="22" t="s">
        <v>28</v>
      </c>
      <c r="C647" s="22" t="s">
        <v>271</v>
      </c>
      <c r="D647" s="48" t="s">
        <v>5</v>
      </c>
      <c r="E647" t="s">
        <v>157</v>
      </c>
      <c r="F647">
        <v>2016</v>
      </c>
      <c r="G647" t="s">
        <v>439</v>
      </c>
      <c r="H647" s="42" t="s">
        <v>57</v>
      </c>
      <c r="J647" t="s">
        <v>248</v>
      </c>
      <c r="K647" t="s">
        <v>441</v>
      </c>
      <c r="L647" s="34">
        <v>1</v>
      </c>
      <c r="M647" s="38">
        <v>5</v>
      </c>
      <c r="N647" s="38">
        <f t="shared" si="10"/>
        <v>5</v>
      </c>
    </row>
    <row r="648" spans="1:14">
      <c r="A648" s="29">
        <v>42830</v>
      </c>
      <c r="B648" s="22" t="s">
        <v>28</v>
      </c>
      <c r="C648" s="22" t="s">
        <v>271</v>
      </c>
      <c r="D648" s="48" t="s">
        <v>5</v>
      </c>
      <c r="E648" t="s">
        <v>157</v>
      </c>
      <c r="F648">
        <v>2016</v>
      </c>
      <c r="G648" t="s">
        <v>439</v>
      </c>
      <c r="H648" s="42" t="s">
        <v>57</v>
      </c>
      <c r="J648" t="s">
        <v>248</v>
      </c>
      <c r="K648" t="s">
        <v>441</v>
      </c>
      <c r="L648" s="34">
        <v>1</v>
      </c>
      <c r="M648" s="38">
        <v>5</v>
      </c>
      <c r="N648" s="38">
        <f t="shared" si="10"/>
        <v>5</v>
      </c>
    </row>
    <row r="649" spans="1:14">
      <c r="A649" s="29">
        <v>42835</v>
      </c>
      <c r="B649" s="22" t="s">
        <v>13</v>
      </c>
      <c r="C649" s="22" t="s">
        <v>57</v>
      </c>
      <c r="D649" s="48" t="s">
        <v>5</v>
      </c>
      <c r="E649" t="s">
        <v>431</v>
      </c>
      <c r="F649">
        <v>2016</v>
      </c>
      <c r="G649" t="s">
        <v>57</v>
      </c>
      <c r="H649" s="42" t="s">
        <v>57</v>
      </c>
      <c r="J649" t="s">
        <v>248</v>
      </c>
      <c r="K649" t="s">
        <v>433</v>
      </c>
      <c r="L649" s="34">
        <v>4</v>
      </c>
      <c r="M649" s="38">
        <v>0.75</v>
      </c>
      <c r="N649" s="38">
        <f t="shared" si="10"/>
        <v>3</v>
      </c>
    </row>
    <row r="650" spans="1:14">
      <c r="A650" s="29">
        <v>42836</v>
      </c>
      <c r="B650" s="22" t="s">
        <v>63</v>
      </c>
      <c r="C650" s="22" t="s">
        <v>57</v>
      </c>
      <c r="D650" s="48" t="s">
        <v>5</v>
      </c>
      <c r="E650" t="s">
        <v>255</v>
      </c>
      <c r="F650">
        <v>2016</v>
      </c>
      <c r="G650" t="s">
        <v>57</v>
      </c>
      <c r="H650" s="42" t="s">
        <v>442</v>
      </c>
      <c r="J650" t="s">
        <v>248</v>
      </c>
      <c r="L650" s="34">
        <v>2</v>
      </c>
      <c r="M650" s="38">
        <v>0.75</v>
      </c>
      <c r="N650" s="38">
        <f t="shared" si="10"/>
        <v>1.5</v>
      </c>
    </row>
    <row r="651" spans="1:14">
      <c r="A651" s="29">
        <v>42836</v>
      </c>
      <c r="B651" s="22" t="s">
        <v>63</v>
      </c>
      <c r="C651" s="22" t="s">
        <v>57</v>
      </c>
      <c r="D651" s="48" t="s">
        <v>5</v>
      </c>
      <c r="E651" t="s">
        <v>255</v>
      </c>
      <c r="F651">
        <v>2016</v>
      </c>
      <c r="G651" t="s">
        <v>57</v>
      </c>
      <c r="H651" s="42">
        <v>85</v>
      </c>
      <c r="J651" t="s">
        <v>248</v>
      </c>
      <c r="L651" s="34">
        <v>2</v>
      </c>
      <c r="M651" s="38">
        <v>0.75</v>
      </c>
      <c r="N651" s="38">
        <f t="shared" si="10"/>
        <v>1.5</v>
      </c>
    </row>
    <row r="652" spans="1:14">
      <c r="A652" s="29">
        <v>42837</v>
      </c>
      <c r="B652" s="22" t="s">
        <v>57</v>
      </c>
      <c r="C652" s="22" t="s">
        <v>38</v>
      </c>
      <c r="D652" s="48" t="s">
        <v>8</v>
      </c>
      <c r="E652" t="s">
        <v>275</v>
      </c>
      <c r="F652">
        <v>2016</v>
      </c>
      <c r="G652" t="s">
        <v>275</v>
      </c>
      <c r="H652" s="42">
        <v>16</v>
      </c>
      <c r="J652" t="s">
        <v>248</v>
      </c>
      <c r="L652" s="34">
        <v>2</v>
      </c>
      <c r="M652" s="38">
        <v>0.75</v>
      </c>
      <c r="N652" s="38">
        <f t="shared" si="10"/>
        <v>1.5</v>
      </c>
    </row>
    <row r="653" spans="1:14">
      <c r="A653" s="29">
        <v>42837</v>
      </c>
      <c r="B653" s="22" t="s">
        <v>57</v>
      </c>
      <c r="C653" s="22" t="s">
        <v>249</v>
      </c>
      <c r="D653" s="48" t="s">
        <v>8</v>
      </c>
      <c r="E653" t="s">
        <v>178</v>
      </c>
      <c r="F653">
        <v>2016</v>
      </c>
      <c r="G653" t="s">
        <v>337</v>
      </c>
      <c r="H653" s="42" t="s">
        <v>408</v>
      </c>
      <c r="J653" t="s">
        <v>248</v>
      </c>
      <c r="L653" s="34">
        <v>3</v>
      </c>
      <c r="M653" s="38">
        <v>0.75</v>
      </c>
      <c r="N653" s="38">
        <f t="shared" si="10"/>
        <v>2.25</v>
      </c>
    </row>
    <row r="654" spans="1:14">
      <c r="A654" s="29">
        <v>42838</v>
      </c>
      <c r="B654" s="22" t="s">
        <v>57</v>
      </c>
      <c r="C654" s="22" t="s">
        <v>249</v>
      </c>
      <c r="D654" s="48" t="s">
        <v>8</v>
      </c>
      <c r="E654" t="s">
        <v>275</v>
      </c>
      <c r="F654">
        <v>2016</v>
      </c>
      <c r="G654" t="s">
        <v>275</v>
      </c>
      <c r="H654" s="42">
        <v>16</v>
      </c>
      <c r="J654" t="s">
        <v>248</v>
      </c>
      <c r="L654" s="34">
        <v>2</v>
      </c>
      <c r="M654" s="38">
        <v>0.75</v>
      </c>
      <c r="N654" s="38">
        <f t="shared" si="10"/>
        <v>1.5</v>
      </c>
    </row>
    <row r="655" spans="1:14">
      <c r="A655" s="29">
        <v>42838</v>
      </c>
      <c r="B655" s="22" t="s">
        <v>57</v>
      </c>
      <c r="C655" s="22" t="s">
        <v>249</v>
      </c>
      <c r="D655" s="48" t="s">
        <v>8</v>
      </c>
      <c r="E655" t="s">
        <v>275</v>
      </c>
      <c r="F655">
        <v>2016</v>
      </c>
      <c r="G655" t="s">
        <v>443</v>
      </c>
      <c r="H655" s="42">
        <v>422</v>
      </c>
      <c r="J655" t="s">
        <v>248</v>
      </c>
      <c r="L655" s="34">
        <v>2</v>
      </c>
      <c r="M655" s="38">
        <v>0.75</v>
      </c>
      <c r="N655" s="38">
        <f t="shared" si="10"/>
        <v>1.5</v>
      </c>
    </row>
    <row r="656" spans="1:14">
      <c r="A656" s="29">
        <v>42838</v>
      </c>
      <c r="B656" s="22" t="s">
        <v>9</v>
      </c>
      <c r="C656" s="22" t="s">
        <v>41</v>
      </c>
      <c r="D656" s="48" t="s">
        <v>5</v>
      </c>
      <c r="E656" t="s">
        <v>255</v>
      </c>
      <c r="F656">
        <v>2016</v>
      </c>
      <c r="G656" t="s">
        <v>57</v>
      </c>
      <c r="H656" s="42" t="s">
        <v>442</v>
      </c>
      <c r="J656" t="s">
        <v>248</v>
      </c>
      <c r="L656" s="34">
        <v>2</v>
      </c>
      <c r="M656" s="38">
        <v>0.75</v>
      </c>
      <c r="N656" s="38">
        <f t="shared" si="10"/>
        <v>1.5</v>
      </c>
    </row>
    <row r="657" spans="1:14">
      <c r="A657" s="29">
        <v>42838</v>
      </c>
      <c r="B657" s="22" t="s">
        <v>9</v>
      </c>
      <c r="C657" s="22" t="s">
        <v>41</v>
      </c>
      <c r="D657" s="48" t="s">
        <v>5</v>
      </c>
      <c r="E657" t="s">
        <v>255</v>
      </c>
      <c r="F657">
        <v>2016</v>
      </c>
      <c r="G657" t="s">
        <v>57</v>
      </c>
      <c r="H657" s="42">
        <v>85</v>
      </c>
      <c r="J657" t="s">
        <v>248</v>
      </c>
      <c r="L657" s="34">
        <v>2</v>
      </c>
      <c r="M657" s="38">
        <v>0.75</v>
      </c>
      <c r="N657" s="38">
        <f t="shared" si="10"/>
        <v>1.5</v>
      </c>
    </row>
    <row r="658" spans="1:14">
      <c r="A658" s="29">
        <v>42838</v>
      </c>
      <c r="B658" s="22" t="s">
        <v>9</v>
      </c>
      <c r="C658" s="22" t="s">
        <v>41</v>
      </c>
      <c r="D658" s="48" t="s">
        <v>5</v>
      </c>
      <c r="E658" t="s">
        <v>255</v>
      </c>
      <c r="F658">
        <v>2016</v>
      </c>
      <c r="G658" t="s">
        <v>444</v>
      </c>
      <c r="H658" s="42" t="s">
        <v>57</v>
      </c>
      <c r="J658" t="s">
        <v>248</v>
      </c>
      <c r="K658" t="s">
        <v>445</v>
      </c>
      <c r="L658" s="34">
        <v>2</v>
      </c>
      <c r="M658" s="38">
        <v>0.75</v>
      </c>
      <c r="N658" s="38">
        <f t="shared" si="10"/>
        <v>1.5</v>
      </c>
    </row>
    <row r="659" spans="1:14">
      <c r="A659" s="29">
        <v>42849</v>
      </c>
      <c r="B659" s="22" t="s">
        <v>79</v>
      </c>
      <c r="C659" s="22" t="s">
        <v>57</v>
      </c>
      <c r="D659" s="48" t="s">
        <v>5</v>
      </c>
      <c r="E659" t="s">
        <v>262</v>
      </c>
      <c r="F659">
        <v>2016</v>
      </c>
      <c r="G659" t="s">
        <v>404</v>
      </c>
      <c r="H659" s="42">
        <v>419</v>
      </c>
      <c r="J659" t="s">
        <v>248</v>
      </c>
      <c r="L659" s="34">
        <v>1</v>
      </c>
      <c r="M659" s="38">
        <v>0.75</v>
      </c>
      <c r="N659" s="38">
        <f t="shared" si="10"/>
        <v>0.75</v>
      </c>
    </row>
    <row r="660" spans="1:14">
      <c r="A660" s="29">
        <v>42849</v>
      </c>
      <c r="B660" s="22" t="s">
        <v>79</v>
      </c>
      <c r="C660" s="22" t="s">
        <v>57</v>
      </c>
      <c r="D660" s="48" t="s">
        <v>11</v>
      </c>
      <c r="E660" t="s">
        <v>259</v>
      </c>
      <c r="F660">
        <v>2016</v>
      </c>
      <c r="G660" t="s">
        <v>316</v>
      </c>
      <c r="H660" s="42">
        <v>129</v>
      </c>
      <c r="J660" t="s">
        <v>248</v>
      </c>
      <c r="L660" s="34">
        <v>1</v>
      </c>
      <c r="M660" s="38">
        <v>0.75</v>
      </c>
      <c r="N660" s="38">
        <f t="shared" si="10"/>
        <v>0.75</v>
      </c>
    </row>
    <row r="661" spans="1:14">
      <c r="A661" s="29">
        <v>42849</v>
      </c>
      <c r="B661" s="22" t="s">
        <v>79</v>
      </c>
      <c r="C661" s="22" t="s">
        <v>57</v>
      </c>
      <c r="D661" s="48" t="s">
        <v>5</v>
      </c>
      <c r="E661" t="s">
        <v>157</v>
      </c>
      <c r="F661">
        <v>2016</v>
      </c>
      <c r="G661" t="s">
        <v>446</v>
      </c>
      <c r="H661" s="42">
        <v>411</v>
      </c>
      <c r="J661" t="s">
        <v>248</v>
      </c>
      <c r="L661" s="34">
        <v>1</v>
      </c>
      <c r="M661" s="38">
        <v>0.75</v>
      </c>
      <c r="N661" s="38">
        <f t="shared" si="10"/>
        <v>0.75</v>
      </c>
    </row>
    <row r="662" spans="1:14">
      <c r="A662" s="29">
        <v>42849</v>
      </c>
      <c r="B662" s="22" t="s">
        <v>79</v>
      </c>
      <c r="C662" s="22" t="s">
        <v>57</v>
      </c>
      <c r="D662" s="48" t="s">
        <v>5</v>
      </c>
      <c r="E662" t="s">
        <v>158</v>
      </c>
      <c r="F662">
        <v>2016</v>
      </c>
      <c r="G662" t="s">
        <v>57</v>
      </c>
      <c r="H662" s="42">
        <v>328</v>
      </c>
      <c r="J662" t="s">
        <v>248</v>
      </c>
      <c r="L662" s="34">
        <v>1</v>
      </c>
      <c r="M662" s="38">
        <v>0.75</v>
      </c>
      <c r="N662" s="38">
        <f t="shared" si="10"/>
        <v>0.75</v>
      </c>
    </row>
    <row r="663" spans="1:14">
      <c r="A663" s="29">
        <v>42849</v>
      </c>
      <c r="B663" s="22" t="s">
        <v>79</v>
      </c>
      <c r="C663" s="22" t="s">
        <v>57</v>
      </c>
      <c r="D663" s="48" t="s">
        <v>5</v>
      </c>
      <c r="E663" t="s">
        <v>255</v>
      </c>
      <c r="F663">
        <v>2016</v>
      </c>
      <c r="G663" t="s">
        <v>57</v>
      </c>
      <c r="H663" s="42" t="s">
        <v>442</v>
      </c>
      <c r="J663" t="s">
        <v>248</v>
      </c>
      <c r="L663" s="34">
        <v>1</v>
      </c>
      <c r="M663" s="38">
        <v>0.75</v>
      </c>
      <c r="N663" s="38">
        <f t="shared" si="10"/>
        <v>0.75</v>
      </c>
    </row>
    <row r="664" spans="1:14">
      <c r="A664" s="29">
        <v>42849</v>
      </c>
      <c r="B664" s="22" t="s">
        <v>79</v>
      </c>
      <c r="C664" s="22" t="s">
        <v>57</v>
      </c>
      <c r="D664" s="48" t="s">
        <v>5</v>
      </c>
      <c r="E664" t="s">
        <v>255</v>
      </c>
      <c r="F664">
        <v>2016</v>
      </c>
      <c r="G664" t="s">
        <v>57</v>
      </c>
      <c r="H664" s="42">
        <v>85</v>
      </c>
      <c r="J664" t="s">
        <v>248</v>
      </c>
      <c r="L664" s="34">
        <v>1</v>
      </c>
      <c r="M664" s="38">
        <v>0.75</v>
      </c>
      <c r="N664" s="38">
        <f t="shared" si="10"/>
        <v>0.75</v>
      </c>
    </row>
    <row r="665" spans="1:14">
      <c r="A665" s="29">
        <v>42849</v>
      </c>
      <c r="B665" s="22" t="s">
        <v>79</v>
      </c>
      <c r="C665" s="22" t="s">
        <v>57</v>
      </c>
      <c r="D665" s="48" t="s">
        <v>5</v>
      </c>
      <c r="E665" t="s">
        <v>158</v>
      </c>
      <c r="F665">
        <v>2016</v>
      </c>
      <c r="G665" t="s">
        <v>57</v>
      </c>
      <c r="H665" s="42">
        <v>30</v>
      </c>
      <c r="J665" t="s">
        <v>248</v>
      </c>
      <c r="L665" s="34">
        <v>1</v>
      </c>
      <c r="M665" s="38">
        <v>0.75</v>
      </c>
      <c r="N665" s="38">
        <f t="shared" si="10"/>
        <v>0.75</v>
      </c>
    </row>
    <row r="666" spans="1:14">
      <c r="A666" s="29">
        <v>42849</v>
      </c>
      <c r="B666" s="22" t="s">
        <v>79</v>
      </c>
      <c r="C666" s="22" t="s">
        <v>57</v>
      </c>
      <c r="D666" s="48" t="s">
        <v>8</v>
      </c>
      <c r="E666" t="s">
        <v>178</v>
      </c>
      <c r="F666">
        <v>2016</v>
      </c>
      <c r="G666" t="s">
        <v>57</v>
      </c>
      <c r="H666" s="42" t="s">
        <v>430</v>
      </c>
      <c r="J666" t="s">
        <v>248</v>
      </c>
      <c r="L666" s="34">
        <v>1</v>
      </c>
      <c r="M666" s="38">
        <v>0.75</v>
      </c>
      <c r="N666" s="38">
        <f t="shared" si="10"/>
        <v>0.75</v>
      </c>
    </row>
    <row r="667" spans="1:14">
      <c r="A667" s="29">
        <v>42853</v>
      </c>
      <c r="B667" s="22" t="s">
        <v>66</v>
      </c>
      <c r="C667" s="22" t="s">
        <v>57</v>
      </c>
      <c r="D667" s="48" t="s">
        <v>5</v>
      </c>
      <c r="E667" t="s">
        <v>157</v>
      </c>
      <c r="F667">
        <v>2016</v>
      </c>
      <c r="G667" t="s">
        <v>446</v>
      </c>
      <c r="H667" s="42">
        <v>411</v>
      </c>
      <c r="J667" t="s">
        <v>248</v>
      </c>
      <c r="L667" s="34">
        <v>2</v>
      </c>
      <c r="M667" s="38">
        <v>0.75</v>
      </c>
      <c r="N667" s="38">
        <f t="shared" si="10"/>
        <v>1.5</v>
      </c>
    </row>
    <row r="668" spans="1:14">
      <c r="A668" s="29">
        <v>42853</v>
      </c>
      <c r="B668" s="22" t="s">
        <v>66</v>
      </c>
      <c r="C668" s="22" t="s">
        <v>57</v>
      </c>
      <c r="D668" s="48" t="s">
        <v>5</v>
      </c>
      <c r="E668" t="s">
        <v>158</v>
      </c>
      <c r="F668">
        <v>2016</v>
      </c>
      <c r="G668" t="s">
        <v>357</v>
      </c>
      <c r="H668" s="42">
        <v>30</v>
      </c>
      <c r="J668" t="s">
        <v>248</v>
      </c>
      <c r="L668" s="34">
        <v>2</v>
      </c>
      <c r="M668" s="38">
        <v>0.75</v>
      </c>
      <c r="N668" s="38">
        <f t="shared" si="10"/>
        <v>1.5</v>
      </c>
    </row>
    <row r="669" spans="1:14">
      <c r="A669" s="29">
        <v>42853</v>
      </c>
      <c r="B669" s="22" t="s">
        <v>66</v>
      </c>
      <c r="C669" s="22" t="s">
        <v>57</v>
      </c>
      <c r="D669" s="48" t="s">
        <v>5</v>
      </c>
      <c r="E669" t="s">
        <v>158</v>
      </c>
      <c r="F669">
        <v>2016</v>
      </c>
      <c r="G669" t="s">
        <v>359</v>
      </c>
      <c r="H669" s="42">
        <v>328</v>
      </c>
      <c r="J669" t="s">
        <v>248</v>
      </c>
      <c r="L669" s="34">
        <v>2</v>
      </c>
      <c r="M669" s="38">
        <v>0.75</v>
      </c>
      <c r="N669" s="38">
        <f t="shared" si="10"/>
        <v>1.5</v>
      </c>
    </row>
    <row r="670" spans="1:14">
      <c r="A670" s="29">
        <v>42853</v>
      </c>
      <c r="B670" s="22" t="s">
        <v>66</v>
      </c>
      <c r="C670" s="22" t="s">
        <v>57</v>
      </c>
      <c r="D670" s="48" t="s">
        <v>5</v>
      </c>
      <c r="E670" t="s">
        <v>255</v>
      </c>
      <c r="F670">
        <v>2016</v>
      </c>
      <c r="G670" t="s">
        <v>57</v>
      </c>
      <c r="H670" s="42" t="s">
        <v>442</v>
      </c>
      <c r="J670" t="s">
        <v>248</v>
      </c>
      <c r="L670" s="34">
        <v>3</v>
      </c>
      <c r="M670" s="38">
        <v>0.75</v>
      </c>
      <c r="N670" s="38">
        <f t="shared" si="10"/>
        <v>2.25</v>
      </c>
    </row>
    <row r="671" spans="1:14">
      <c r="A671" s="29">
        <v>42853</v>
      </c>
      <c r="B671" s="22" t="s">
        <v>66</v>
      </c>
      <c r="C671" s="22" t="s">
        <v>57</v>
      </c>
      <c r="D671" s="48" t="s">
        <v>5</v>
      </c>
      <c r="E671" t="s">
        <v>159</v>
      </c>
      <c r="F671">
        <v>2016</v>
      </c>
      <c r="G671" t="s">
        <v>57</v>
      </c>
      <c r="H671" s="42">
        <v>25</v>
      </c>
      <c r="J671" t="s">
        <v>248</v>
      </c>
      <c r="L671" s="34">
        <v>3</v>
      </c>
      <c r="M671" s="38">
        <v>0.75</v>
      </c>
      <c r="N671" s="38">
        <f t="shared" si="10"/>
        <v>2.25</v>
      </c>
    </row>
    <row r="672" spans="1:14">
      <c r="A672" s="29">
        <v>42857</v>
      </c>
      <c r="B672" s="22" t="s">
        <v>57</v>
      </c>
      <c r="C672" s="22" t="s">
        <v>53</v>
      </c>
      <c r="D672" s="48" t="s">
        <v>8</v>
      </c>
      <c r="E672" t="s">
        <v>275</v>
      </c>
      <c r="F672">
        <v>2016</v>
      </c>
      <c r="G672" t="s">
        <v>396</v>
      </c>
      <c r="H672" s="42">
        <v>415</v>
      </c>
      <c r="J672" t="s">
        <v>248</v>
      </c>
      <c r="L672" s="34">
        <v>2</v>
      </c>
      <c r="M672" s="38">
        <v>0.75</v>
      </c>
      <c r="N672" s="38">
        <f t="shared" si="10"/>
        <v>1.5</v>
      </c>
    </row>
    <row r="673" spans="1:14">
      <c r="A673" s="29">
        <v>42857</v>
      </c>
      <c r="B673" s="22" t="s">
        <v>63</v>
      </c>
      <c r="C673" s="22" t="s">
        <v>57</v>
      </c>
      <c r="D673" s="48" t="s">
        <v>8</v>
      </c>
      <c r="E673" t="s">
        <v>178</v>
      </c>
      <c r="F673">
        <v>2016</v>
      </c>
      <c r="G673" t="s">
        <v>337</v>
      </c>
      <c r="H673" s="42" t="s">
        <v>430</v>
      </c>
      <c r="J673" t="s">
        <v>248</v>
      </c>
      <c r="L673" s="34">
        <v>2</v>
      </c>
      <c r="M673" s="38">
        <v>0.75</v>
      </c>
      <c r="N673" s="38">
        <f t="shared" si="10"/>
        <v>1.5</v>
      </c>
    </row>
    <row r="674" spans="1:14">
      <c r="A674" s="29">
        <v>42859</v>
      </c>
      <c r="B674" s="22" t="s">
        <v>57</v>
      </c>
      <c r="C674" s="22" t="s">
        <v>49</v>
      </c>
      <c r="D674" s="48" t="s">
        <v>5</v>
      </c>
      <c r="E674" t="s">
        <v>157</v>
      </c>
      <c r="F674">
        <v>2016</v>
      </c>
      <c r="G674" t="s">
        <v>391</v>
      </c>
      <c r="H674" s="42">
        <v>413</v>
      </c>
      <c r="J674" t="s">
        <v>248</v>
      </c>
      <c r="L674" s="34">
        <v>3</v>
      </c>
      <c r="M674" s="38">
        <v>0.75</v>
      </c>
      <c r="N674" s="38">
        <f t="shared" si="10"/>
        <v>2.25</v>
      </c>
    </row>
    <row r="675" spans="1:14">
      <c r="A675" s="29">
        <v>42870</v>
      </c>
      <c r="B675" s="22" t="s">
        <v>63</v>
      </c>
      <c r="C675" s="22" t="s">
        <v>57</v>
      </c>
      <c r="D675" s="48" t="s">
        <v>5</v>
      </c>
      <c r="E675" t="s">
        <v>157</v>
      </c>
      <c r="F675">
        <v>2016</v>
      </c>
      <c r="G675" t="s">
        <v>391</v>
      </c>
      <c r="H675" s="42">
        <v>413</v>
      </c>
      <c r="J675" t="s">
        <v>248</v>
      </c>
      <c r="L675" s="34">
        <v>2</v>
      </c>
      <c r="M675" s="38">
        <v>0.75</v>
      </c>
      <c r="N675" s="38">
        <f t="shared" si="10"/>
        <v>1.5</v>
      </c>
    </row>
    <row r="676" spans="1:14">
      <c r="A676" s="29">
        <v>42870</v>
      </c>
      <c r="B676" s="22" t="s">
        <v>63</v>
      </c>
      <c r="C676" s="22" t="s">
        <v>57</v>
      </c>
      <c r="D676" s="48" t="s">
        <v>11</v>
      </c>
      <c r="E676" t="s">
        <v>179</v>
      </c>
      <c r="F676">
        <v>2016</v>
      </c>
      <c r="G676" t="s">
        <v>57</v>
      </c>
      <c r="H676" s="42">
        <v>130</v>
      </c>
      <c r="J676" t="s">
        <v>248</v>
      </c>
      <c r="L676" s="34">
        <v>2</v>
      </c>
      <c r="M676" s="38">
        <v>0.75</v>
      </c>
      <c r="N676" s="38">
        <f t="shared" si="10"/>
        <v>1.5</v>
      </c>
    </row>
    <row r="677" spans="1:14">
      <c r="A677" s="29">
        <v>42870</v>
      </c>
      <c r="B677" s="22" t="s">
        <v>28</v>
      </c>
      <c r="C677" s="22" t="s">
        <v>271</v>
      </c>
      <c r="D677" s="48" t="s">
        <v>5</v>
      </c>
      <c r="E677" t="s">
        <v>157</v>
      </c>
      <c r="F677">
        <v>2016</v>
      </c>
      <c r="G677" t="s">
        <v>446</v>
      </c>
      <c r="H677" s="42">
        <v>414</v>
      </c>
      <c r="J677" t="s">
        <v>248</v>
      </c>
      <c r="L677" s="34">
        <v>3</v>
      </c>
      <c r="M677" s="38">
        <v>0.75</v>
      </c>
      <c r="N677" s="38">
        <f t="shared" si="10"/>
        <v>2.25</v>
      </c>
    </row>
    <row r="678" spans="1:14">
      <c r="A678" s="29">
        <v>42870</v>
      </c>
      <c r="B678" s="22" t="s">
        <v>28</v>
      </c>
      <c r="C678" s="22" t="s">
        <v>271</v>
      </c>
      <c r="D678" s="48" t="s">
        <v>5</v>
      </c>
      <c r="E678" t="s">
        <v>157</v>
      </c>
      <c r="F678">
        <v>2016</v>
      </c>
      <c r="G678" t="s">
        <v>257</v>
      </c>
      <c r="H678" s="42">
        <v>24</v>
      </c>
      <c r="J678" t="s">
        <v>248</v>
      </c>
      <c r="L678" s="34">
        <v>3</v>
      </c>
      <c r="M678" s="38">
        <v>0.75</v>
      </c>
      <c r="N678" s="38">
        <f t="shared" si="10"/>
        <v>2.25</v>
      </c>
    </row>
    <row r="679" spans="1:14">
      <c r="A679" s="29">
        <v>42870</v>
      </c>
      <c r="B679" s="22" t="s">
        <v>57</v>
      </c>
      <c r="C679" s="22" t="s">
        <v>45</v>
      </c>
      <c r="D679" s="48" t="s">
        <v>5</v>
      </c>
      <c r="E679" t="s">
        <v>157</v>
      </c>
      <c r="F679">
        <v>2016</v>
      </c>
      <c r="G679" t="s">
        <v>391</v>
      </c>
      <c r="H679" s="42">
        <v>413</v>
      </c>
      <c r="J679" t="s">
        <v>248</v>
      </c>
      <c r="K679" t="s">
        <v>447</v>
      </c>
      <c r="L679" s="34">
        <v>4</v>
      </c>
      <c r="M679" s="38">
        <v>0.75</v>
      </c>
      <c r="N679" s="38">
        <f t="shared" si="10"/>
        <v>3</v>
      </c>
    </row>
    <row r="680" spans="1:14">
      <c r="A680" s="29">
        <v>42872</v>
      </c>
      <c r="B680" s="22" t="s">
        <v>63</v>
      </c>
      <c r="C680" s="22" t="s">
        <v>57</v>
      </c>
      <c r="D680" s="48" t="s">
        <v>5</v>
      </c>
      <c r="E680" t="s">
        <v>159</v>
      </c>
      <c r="F680">
        <v>2016</v>
      </c>
      <c r="G680" t="s">
        <v>448</v>
      </c>
      <c r="H680" s="42">
        <v>81</v>
      </c>
      <c r="J680" t="s">
        <v>248</v>
      </c>
      <c r="L680" s="34">
        <v>2</v>
      </c>
      <c r="M680" s="38">
        <v>0.75</v>
      </c>
      <c r="N680" s="38">
        <f t="shared" si="10"/>
        <v>1.5</v>
      </c>
    </row>
    <row r="681" spans="1:14">
      <c r="A681" s="29">
        <v>42872</v>
      </c>
      <c r="B681" s="22" t="s">
        <v>63</v>
      </c>
      <c r="C681" s="22" t="s">
        <v>57</v>
      </c>
      <c r="D681" s="48" t="s">
        <v>5</v>
      </c>
      <c r="E681" t="s">
        <v>255</v>
      </c>
      <c r="F681">
        <v>2016</v>
      </c>
      <c r="H681" s="44" t="s">
        <v>442</v>
      </c>
      <c r="I681"/>
      <c r="J681" t="s">
        <v>248</v>
      </c>
      <c r="L681" s="34">
        <v>2</v>
      </c>
      <c r="M681" s="38">
        <v>0.75</v>
      </c>
      <c r="N681" s="38">
        <f t="shared" si="10"/>
        <v>1.5</v>
      </c>
    </row>
    <row r="682" spans="1:14">
      <c r="A682" s="29">
        <v>42872</v>
      </c>
      <c r="B682" s="22" t="s">
        <v>63</v>
      </c>
      <c r="C682" s="22" t="s">
        <v>57</v>
      </c>
      <c r="D682" s="48" t="s">
        <v>5</v>
      </c>
      <c r="E682" t="s">
        <v>157</v>
      </c>
      <c r="F682">
        <v>2016</v>
      </c>
      <c r="G682" t="s">
        <v>250</v>
      </c>
      <c r="H682" s="42">
        <v>48</v>
      </c>
      <c r="J682" t="s">
        <v>248</v>
      </c>
      <c r="L682" s="34">
        <v>2</v>
      </c>
      <c r="M682" s="38">
        <v>0.75</v>
      </c>
      <c r="N682" s="38">
        <f t="shared" si="10"/>
        <v>1.5</v>
      </c>
    </row>
    <row r="683" spans="1:14">
      <c r="A683" s="29">
        <v>42872</v>
      </c>
      <c r="B683" s="22" t="s">
        <v>13</v>
      </c>
      <c r="C683" s="22" t="s">
        <v>57</v>
      </c>
      <c r="D683" s="48" t="s">
        <v>11</v>
      </c>
      <c r="E683" t="s">
        <v>259</v>
      </c>
      <c r="F683">
        <v>2015</v>
      </c>
      <c r="G683" t="s">
        <v>57</v>
      </c>
      <c r="H683" s="42">
        <v>39</v>
      </c>
      <c r="J683" t="s">
        <v>248</v>
      </c>
      <c r="L683" s="34">
        <v>1</v>
      </c>
      <c r="M683" s="38">
        <v>0.75</v>
      </c>
      <c r="N683" s="38">
        <f t="shared" si="10"/>
        <v>0.75</v>
      </c>
    </row>
    <row r="684" spans="1:14">
      <c r="A684" s="29">
        <v>42872</v>
      </c>
      <c r="B684" s="22" t="s">
        <v>13</v>
      </c>
      <c r="C684" s="22" t="s">
        <v>57</v>
      </c>
      <c r="D684" s="48" t="s">
        <v>11</v>
      </c>
      <c r="E684" t="s">
        <v>259</v>
      </c>
      <c r="F684">
        <v>2016</v>
      </c>
      <c r="G684" t="s">
        <v>57</v>
      </c>
      <c r="H684" s="42">
        <v>129</v>
      </c>
      <c r="J684" t="s">
        <v>248</v>
      </c>
      <c r="L684" s="34">
        <v>1</v>
      </c>
      <c r="M684" s="38">
        <v>0.75</v>
      </c>
      <c r="N684" s="38">
        <f t="shared" si="10"/>
        <v>0.75</v>
      </c>
    </row>
    <row r="685" spans="1:14">
      <c r="A685" s="29">
        <v>42872</v>
      </c>
      <c r="B685" s="22" t="s">
        <v>13</v>
      </c>
      <c r="C685" s="22" t="s">
        <v>57</v>
      </c>
      <c r="D685" s="48" t="s">
        <v>11</v>
      </c>
      <c r="E685" t="s">
        <v>420</v>
      </c>
      <c r="F685">
        <v>2015</v>
      </c>
      <c r="G685" t="s">
        <v>421</v>
      </c>
      <c r="H685" s="42">
        <v>98</v>
      </c>
      <c r="J685" t="s">
        <v>248</v>
      </c>
      <c r="L685" s="34">
        <v>1</v>
      </c>
      <c r="M685" s="38">
        <v>0.75</v>
      </c>
      <c r="N685" s="38">
        <f t="shared" si="10"/>
        <v>0.75</v>
      </c>
    </row>
    <row r="686" spans="1:14">
      <c r="A686" s="29">
        <v>42872</v>
      </c>
      <c r="B686" s="22" t="s">
        <v>57</v>
      </c>
      <c r="C686" s="22" t="s">
        <v>53</v>
      </c>
      <c r="D686" s="48" t="s">
        <v>8</v>
      </c>
      <c r="E686" t="s">
        <v>178</v>
      </c>
      <c r="F686">
        <v>2016</v>
      </c>
      <c r="G686" t="s">
        <v>57</v>
      </c>
      <c r="H686" s="42" t="s">
        <v>449</v>
      </c>
      <c r="J686" t="s">
        <v>248</v>
      </c>
      <c r="L686" s="34">
        <v>2</v>
      </c>
      <c r="M686" s="38">
        <v>0.75</v>
      </c>
      <c r="N686" s="38">
        <f t="shared" si="10"/>
        <v>1.5</v>
      </c>
    </row>
    <row r="687" spans="1:14">
      <c r="A687" s="29">
        <v>42877</v>
      </c>
      <c r="B687" s="22" t="s">
        <v>46</v>
      </c>
      <c r="C687" s="22" t="s">
        <v>53</v>
      </c>
      <c r="D687" s="48" t="s">
        <v>8</v>
      </c>
      <c r="E687" t="s">
        <v>178</v>
      </c>
      <c r="F687">
        <v>2016</v>
      </c>
      <c r="G687" t="s">
        <v>57</v>
      </c>
      <c r="H687" s="42" t="s">
        <v>449</v>
      </c>
      <c r="J687" t="s">
        <v>248</v>
      </c>
      <c r="L687" s="34">
        <v>2</v>
      </c>
      <c r="M687" s="38">
        <v>0.75</v>
      </c>
      <c r="N687" s="38">
        <f t="shared" si="10"/>
        <v>1.5</v>
      </c>
    </row>
    <row r="688" spans="1:14">
      <c r="A688" s="29">
        <v>42878</v>
      </c>
      <c r="B688" s="22" t="s">
        <v>46</v>
      </c>
      <c r="C688" s="22" t="s">
        <v>53</v>
      </c>
      <c r="D688" s="48" t="s">
        <v>5</v>
      </c>
      <c r="E688" t="s">
        <v>255</v>
      </c>
      <c r="F688">
        <v>2016</v>
      </c>
      <c r="G688" t="s">
        <v>357</v>
      </c>
      <c r="H688" s="42" t="s">
        <v>57</v>
      </c>
      <c r="J688" t="s">
        <v>248</v>
      </c>
      <c r="K688" t="s">
        <v>450</v>
      </c>
      <c r="L688" s="34">
        <v>2</v>
      </c>
      <c r="M688" s="38">
        <v>0.75</v>
      </c>
      <c r="N688" s="38">
        <f t="shared" si="10"/>
        <v>1.5</v>
      </c>
    </row>
    <row r="689" spans="1:14">
      <c r="A689" s="29">
        <v>42878</v>
      </c>
      <c r="B689" s="22" t="s">
        <v>46</v>
      </c>
      <c r="C689" s="22" t="s">
        <v>53</v>
      </c>
      <c r="D689" s="48" t="s">
        <v>5</v>
      </c>
      <c r="E689" t="s">
        <v>255</v>
      </c>
      <c r="F689">
        <v>2016</v>
      </c>
      <c r="G689" t="s">
        <v>359</v>
      </c>
      <c r="H689" s="42" t="s">
        <v>57</v>
      </c>
      <c r="J689" t="s">
        <v>248</v>
      </c>
      <c r="K689" t="s">
        <v>451</v>
      </c>
      <c r="L689" s="34">
        <v>2</v>
      </c>
      <c r="M689" s="38">
        <v>0.75</v>
      </c>
      <c r="N689" s="38">
        <f t="shared" si="10"/>
        <v>1.5</v>
      </c>
    </row>
    <row r="690" spans="1:14">
      <c r="A690" s="29">
        <v>42899</v>
      </c>
      <c r="B690" s="22" t="s">
        <v>63</v>
      </c>
      <c r="C690" s="22" t="s">
        <v>57</v>
      </c>
      <c r="D690" s="48" t="s">
        <v>5</v>
      </c>
      <c r="E690" t="s">
        <v>159</v>
      </c>
      <c r="F690">
        <v>2016</v>
      </c>
      <c r="G690" t="s">
        <v>452</v>
      </c>
      <c r="H690" s="42" t="s">
        <v>57</v>
      </c>
      <c r="J690" t="s">
        <v>248</v>
      </c>
      <c r="K690" t="s">
        <v>453</v>
      </c>
      <c r="L690" s="34">
        <v>1</v>
      </c>
      <c r="M690" s="38">
        <v>0.75</v>
      </c>
      <c r="N690" s="38">
        <f t="shared" si="10"/>
        <v>0.75</v>
      </c>
    </row>
    <row r="691" spans="1:14">
      <c r="A691" s="29">
        <v>42899</v>
      </c>
      <c r="B691" s="22" t="s">
        <v>63</v>
      </c>
      <c r="C691" s="22" t="s">
        <v>57</v>
      </c>
      <c r="D691" s="48" t="s">
        <v>5</v>
      </c>
      <c r="E691" t="s">
        <v>159</v>
      </c>
      <c r="F691">
        <v>2016</v>
      </c>
      <c r="G691" t="s">
        <v>452</v>
      </c>
      <c r="H691" s="42" t="s">
        <v>57</v>
      </c>
      <c r="J691" t="s">
        <v>248</v>
      </c>
      <c r="K691" t="s">
        <v>454</v>
      </c>
      <c r="L691" s="34">
        <v>1</v>
      </c>
      <c r="M691" s="38">
        <v>0.75</v>
      </c>
      <c r="N691" s="38">
        <f t="shared" si="10"/>
        <v>0.75</v>
      </c>
    </row>
    <row r="692" spans="1:14">
      <c r="A692" s="29">
        <v>42901</v>
      </c>
      <c r="B692" s="22" t="s">
        <v>57</v>
      </c>
      <c r="C692" s="22" t="s">
        <v>34</v>
      </c>
      <c r="D692" s="48" t="s">
        <v>5</v>
      </c>
      <c r="E692" t="s">
        <v>158</v>
      </c>
      <c r="F692">
        <v>2016</v>
      </c>
      <c r="G692" t="s">
        <v>257</v>
      </c>
      <c r="H692" s="42">
        <v>9</v>
      </c>
      <c r="J692" t="s">
        <v>248</v>
      </c>
      <c r="L692" s="34">
        <v>2</v>
      </c>
      <c r="M692" s="38">
        <v>0.75</v>
      </c>
      <c r="N692" s="38">
        <f t="shared" si="10"/>
        <v>1.5</v>
      </c>
    </row>
    <row r="693" spans="1:14">
      <c r="A693" s="29">
        <v>42901</v>
      </c>
      <c r="B693" s="22" t="s">
        <v>57</v>
      </c>
      <c r="C693" s="22" t="s">
        <v>34</v>
      </c>
      <c r="D693" s="48" t="s">
        <v>5</v>
      </c>
      <c r="E693" t="s">
        <v>159</v>
      </c>
      <c r="F693">
        <v>2016</v>
      </c>
      <c r="G693" t="s">
        <v>448</v>
      </c>
      <c r="H693" s="42">
        <v>81</v>
      </c>
      <c r="J693" t="s">
        <v>248</v>
      </c>
      <c r="L693" s="34">
        <v>2</v>
      </c>
      <c r="M693" s="38">
        <v>0.75</v>
      </c>
      <c r="N693" s="38">
        <f t="shared" si="10"/>
        <v>1.5</v>
      </c>
    </row>
    <row r="694" spans="1:14">
      <c r="A694" s="29">
        <v>42901</v>
      </c>
      <c r="B694" s="22" t="s">
        <v>57</v>
      </c>
      <c r="C694" s="22" t="s">
        <v>34</v>
      </c>
      <c r="D694" s="48" t="s">
        <v>5</v>
      </c>
      <c r="E694" t="s">
        <v>158</v>
      </c>
      <c r="F694">
        <v>2016</v>
      </c>
      <c r="G694" t="s">
        <v>455</v>
      </c>
      <c r="H694" s="42">
        <v>328</v>
      </c>
      <c r="J694" t="s">
        <v>248</v>
      </c>
      <c r="L694" s="34">
        <v>2</v>
      </c>
      <c r="M694" s="38">
        <v>0.75</v>
      </c>
      <c r="N694" s="38">
        <f t="shared" si="10"/>
        <v>1.5</v>
      </c>
    </row>
    <row r="695" spans="1:14">
      <c r="A695" s="29">
        <v>42901</v>
      </c>
      <c r="B695" s="22" t="s">
        <v>57</v>
      </c>
      <c r="C695" s="22" t="s">
        <v>34</v>
      </c>
      <c r="D695" s="48" t="s">
        <v>5</v>
      </c>
      <c r="E695" t="s">
        <v>255</v>
      </c>
      <c r="F695">
        <v>2016</v>
      </c>
      <c r="G695" t="s">
        <v>57</v>
      </c>
      <c r="H695" s="42">
        <v>318</v>
      </c>
      <c r="J695" t="s">
        <v>248</v>
      </c>
      <c r="L695" s="34">
        <v>2</v>
      </c>
      <c r="M695" s="38">
        <v>0.75</v>
      </c>
      <c r="N695" s="38">
        <f t="shared" si="10"/>
        <v>1.5</v>
      </c>
    </row>
    <row r="696" spans="1:14">
      <c r="A696" s="29">
        <v>42901</v>
      </c>
      <c r="B696" s="22" t="s">
        <v>28</v>
      </c>
      <c r="C696" s="22" t="s">
        <v>271</v>
      </c>
      <c r="D696" s="48" t="s">
        <v>5</v>
      </c>
      <c r="E696" t="s">
        <v>157</v>
      </c>
      <c r="F696">
        <v>2016</v>
      </c>
      <c r="G696" t="s">
        <v>250</v>
      </c>
      <c r="H696" s="42">
        <v>21</v>
      </c>
      <c r="J696" t="s">
        <v>248</v>
      </c>
      <c r="L696" s="34">
        <v>2</v>
      </c>
      <c r="M696" s="38">
        <v>0.75</v>
      </c>
      <c r="N696" s="38">
        <f t="shared" si="10"/>
        <v>1.5</v>
      </c>
    </row>
    <row r="697" spans="1:14">
      <c r="A697" s="29">
        <v>42901</v>
      </c>
      <c r="B697" s="22" t="s">
        <v>28</v>
      </c>
      <c r="C697" s="22" t="s">
        <v>271</v>
      </c>
      <c r="D697" s="48" t="s">
        <v>5</v>
      </c>
      <c r="E697" t="s">
        <v>157</v>
      </c>
      <c r="F697">
        <v>2016</v>
      </c>
      <c r="G697" t="s">
        <v>254</v>
      </c>
      <c r="H697" s="42">
        <v>414</v>
      </c>
      <c r="J697" t="s">
        <v>248</v>
      </c>
      <c r="L697" s="34">
        <v>2</v>
      </c>
      <c r="M697" s="38">
        <v>0.75</v>
      </c>
      <c r="N697" s="38">
        <f t="shared" si="10"/>
        <v>1.5</v>
      </c>
    </row>
    <row r="698" spans="1:14">
      <c r="A698" s="29">
        <v>42901</v>
      </c>
      <c r="B698" s="22" t="s">
        <v>28</v>
      </c>
      <c r="C698" s="22" t="s">
        <v>271</v>
      </c>
      <c r="D698" s="48" t="s">
        <v>5</v>
      </c>
      <c r="E698" t="s">
        <v>157</v>
      </c>
      <c r="F698">
        <v>2016</v>
      </c>
      <c r="G698" t="s">
        <v>247</v>
      </c>
      <c r="H698" s="42">
        <v>94</v>
      </c>
      <c r="J698" t="s">
        <v>248</v>
      </c>
      <c r="L698" s="34">
        <v>2</v>
      </c>
      <c r="M698" s="38">
        <v>0.75</v>
      </c>
      <c r="N698" s="38">
        <f t="shared" si="10"/>
        <v>1.5</v>
      </c>
    </row>
    <row r="699" spans="1:14">
      <c r="A699" s="29">
        <v>42901</v>
      </c>
      <c r="B699" s="22" t="s">
        <v>113</v>
      </c>
      <c r="C699" s="22" t="s">
        <v>271</v>
      </c>
      <c r="D699" s="48" t="s">
        <v>5</v>
      </c>
      <c r="E699" t="s">
        <v>157</v>
      </c>
      <c r="F699">
        <v>2016</v>
      </c>
      <c r="G699" t="s">
        <v>257</v>
      </c>
      <c r="H699" s="42">
        <v>24</v>
      </c>
      <c r="J699" t="s">
        <v>248</v>
      </c>
      <c r="L699" s="34">
        <v>2</v>
      </c>
      <c r="M699" s="38">
        <v>0.75</v>
      </c>
      <c r="N699" s="38">
        <f t="shared" si="10"/>
        <v>1.5</v>
      </c>
    </row>
    <row r="700" spans="1:14">
      <c r="A700" s="29">
        <v>42901</v>
      </c>
      <c r="B700" s="22" t="s">
        <v>111</v>
      </c>
      <c r="C700" s="22" t="s">
        <v>57</v>
      </c>
      <c r="D700" s="48" t="s">
        <v>5</v>
      </c>
      <c r="E700" t="s">
        <v>255</v>
      </c>
      <c r="F700">
        <v>2016</v>
      </c>
      <c r="G700" t="s">
        <v>57</v>
      </c>
      <c r="H700" s="42">
        <v>5</v>
      </c>
      <c r="J700" t="s">
        <v>248</v>
      </c>
      <c r="L700" s="34">
        <v>3</v>
      </c>
      <c r="M700" s="38">
        <v>0.75</v>
      </c>
      <c r="N700" s="38">
        <f t="shared" si="10"/>
        <v>2.25</v>
      </c>
    </row>
    <row r="701" spans="1:14">
      <c r="A701" s="29">
        <v>42901</v>
      </c>
      <c r="B701" s="22" t="s">
        <v>111</v>
      </c>
      <c r="C701" s="22" t="s">
        <v>57</v>
      </c>
      <c r="D701" s="48" t="s">
        <v>5</v>
      </c>
      <c r="E701" t="s">
        <v>255</v>
      </c>
      <c r="F701">
        <v>2016</v>
      </c>
      <c r="G701" t="s">
        <v>357</v>
      </c>
      <c r="H701" s="42" t="s">
        <v>57</v>
      </c>
      <c r="J701" t="s">
        <v>248</v>
      </c>
      <c r="K701" t="s">
        <v>456</v>
      </c>
      <c r="L701" s="34">
        <v>3</v>
      </c>
      <c r="M701" s="38">
        <v>0.75</v>
      </c>
      <c r="N701" s="38">
        <f t="shared" si="10"/>
        <v>2.25</v>
      </c>
    </row>
    <row r="702" spans="1:14">
      <c r="A702" s="29">
        <v>42901</v>
      </c>
      <c r="B702" s="22" t="s">
        <v>111</v>
      </c>
      <c r="C702" s="22" t="s">
        <v>57</v>
      </c>
      <c r="D702" s="48" t="s">
        <v>5</v>
      </c>
      <c r="E702" t="s">
        <v>255</v>
      </c>
      <c r="F702">
        <v>2016</v>
      </c>
      <c r="G702" t="s">
        <v>359</v>
      </c>
      <c r="H702" s="42" t="s">
        <v>57</v>
      </c>
      <c r="J702" t="s">
        <v>248</v>
      </c>
      <c r="K702" t="s">
        <v>456</v>
      </c>
      <c r="L702" s="34">
        <v>3</v>
      </c>
      <c r="M702" s="38">
        <v>0.75</v>
      </c>
      <c r="N702" s="38">
        <f t="shared" si="10"/>
        <v>2.25</v>
      </c>
    </row>
    <row r="703" spans="1:14">
      <c r="A703" s="29">
        <v>42901</v>
      </c>
      <c r="B703" s="22" t="s">
        <v>9</v>
      </c>
      <c r="C703" s="22" t="s">
        <v>57</v>
      </c>
      <c r="D703" s="48" t="s">
        <v>5</v>
      </c>
      <c r="E703" t="s">
        <v>157</v>
      </c>
      <c r="F703">
        <v>2015</v>
      </c>
      <c r="G703" t="s">
        <v>57</v>
      </c>
      <c r="H703" s="42" t="s">
        <v>57</v>
      </c>
      <c r="J703" t="s">
        <v>248</v>
      </c>
      <c r="K703" t="s">
        <v>425</v>
      </c>
      <c r="L703" s="34">
        <v>1</v>
      </c>
      <c r="M703" s="38">
        <v>0.75</v>
      </c>
      <c r="N703" s="38">
        <f t="shared" si="10"/>
        <v>0.75</v>
      </c>
    </row>
    <row r="704" spans="1:14">
      <c r="A704" s="29">
        <v>42901</v>
      </c>
      <c r="B704" s="22" t="s">
        <v>63</v>
      </c>
      <c r="C704" s="22" t="s">
        <v>57</v>
      </c>
      <c r="D704" s="48" t="s">
        <v>5</v>
      </c>
      <c r="E704" t="s">
        <v>159</v>
      </c>
      <c r="F704">
        <v>2016</v>
      </c>
      <c r="G704" t="s">
        <v>452</v>
      </c>
      <c r="H704" s="42" t="s">
        <v>57</v>
      </c>
      <c r="J704" t="s">
        <v>248</v>
      </c>
      <c r="K704" t="s">
        <v>454</v>
      </c>
      <c r="L704" s="34">
        <v>2</v>
      </c>
      <c r="M704" s="38">
        <v>0.75</v>
      </c>
      <c r="N704" s="38">
        <f t="shared" si="10"/>
        <v>1.5</v>
      </c>
    </row>
    <row r="705" spans="1:14">
      <c r="A705" s="29">
        <v>42906</v>
      </c>
      <c r="B705" s="22" t="s">
        <v>81</v>
      </c>
      <c r="C705" s="22" t="s">
        <v>57</v>
      </c>
      <c r="D705" s="48" t="s">
        <v>5</v>
      </c>
      <c r="E705" t="s">
        <v>159</v>
      </c>
      <c r="F705">
        <v>2016</v>
      </c>
      <c r="G705" t="s">
        <v>326</v>
      </c>
      <c r="H705" s="42">
        <v>10</v>
      </c>
      <c r="J705" t="s">
        <v>248</v>
      </c>
      <c r="L705" s="34">
        <v>1</v>
      </c>
      <c r="M705" s="38">
        <v>5</v>
      </c>
      <c r="N705" s="38">
        <f t="shared" si="10"/>
        <v>5</v>
      </c>
    </row>
    <row r="706" spans="1:14">
      <c r="A706" s="29">
        <v>42906</v>
      </c>
      <c r="B706" s="22" t="s">
        <v>113</v>
      </c>
      <c r="C706" s="22" t="s">
        <v>271</v>
      </c>
      <c r="D706" s="48" t="s">
        <v>5</v>
      </c>
      <c r="E706" t="s">
        <v>157</v>
      </c>
      <c r="F706">
        <v>2016</v>
      </c>
      <c r="G706" t="s">
        <v>257</v>
      </c>
      <c r="H706" s="42">
        <v>24</v>
      </c>
      <c r="J706" t="s">
        <v>248</v>
      </c>
      <c r="L706" s="34">
        <v>1</v>
      </c>
      <c r="M706" s="38">
        <v>0.75</v>
      </c>
      <c r="N706" s="38">
        <f t="shared" si="10"/>
        <v>0.75</v>
      </c>
    </row>
    <row r="707" spans="1:14">
      <c r="A707" s="29">
        <v>42906</v>
      </c>
      <c r="B707" s="22" t="s">
        <v>113</v>
      </c>
      <c r="C707" s="22" t="s">
        <v>271</v>
      </c>
      <c r="D707" s="48" t="s">
        <v>5</v>
      </c>
      <c r="E707" t="s">
        <v>157</v>
      </c>
      <c r="F707">
        <v>2016</v>
      </c>
      <c r="G707" t="s">
        <v>254</v>
      </c>
      <c r="H707" s="42">
        <v>414</v>
      </c>
      <c r="J707" t="s">
        <v>248</v>
      </c>
      <c r="L707" s="34">
        <v>1</v>
      </c>
      <c r="M707" s="38">
        <v>0.75</v>
      </c>
      <c r="N707" s="38">
        <f t="shared" ref="N707:N770" si="11">M707*L707</f>
        <v>0.75</v>
      </c>
    </row>
    <row r="708" spans="1:14">
      <c r="A708" s="29">
        <v>42906</v>
      </c>
      <c r="B708" s="22" t="s">
        <v>113</v>
      </c>
      <c r="C708" s="22" t="s">
        <v>271</v>
      </c>
      <c r="D708" s="48" t="s">
        <v>5</v>
      </c>
      <c r="E708" t="s">
        <v>262</v>
      </c>
      <c r="F708">
        <v>2016</v>
      </c>
      <c r="G708" t="s">
        <v>404</v>
      </c>
      <c r="H708" s="42">
        <v>419</v>
      </c>
      <c r="J708" t="s">
        <v>248</v>
      </c>
      <c r="L708" s="34">
        <v>1</v>
      </c>
      <c r="M708" s="38">
        <v>0.75</v>
      </c>
      <c r="N708" s="38">
        <f t="shared" si="11"/>
        <v>0.75</v>
      </c>
    </row>
    <row r="709" spans="1:14">
      <c r="A709" s="29">
        <v>42906</v>
      </c>
      <c r="B709" s="22" t="s">
        <v>113</v>
      </c>
      <c r="C709" s="22" t="s">
        <v>271</v>
      </c>
      <c r="D709" s="48" t="s">
        <v>5</v>
      </c>
      <c r="E709" t="s">
        <v>160</v>
      </c>
      <c r="F709">
        <v>2016</v>
      </c>
      <c r="G709" t="s">
        <v>57</v>
      </c>
      <c r="H709" s="42">
        <v>189</v>
      </c>
      <c r="J709" t="s">
        <v>248</v>
      </c>
      <c r="L709" s="34">
        <v>1</v>
      </c>
      <c r="M709" s="38">
        <v>0.75</v>
      </c>
      <c r="N709" s="38">
        <f t="shared" si="11"/>
        <v>0.75</v>
      </c>
    </row>
    <row r="710" spans="1:14">
      <c r="A710" s="29">
        <v>42906</v>
      </c>
      <c r="B710" s="22" t="s">
        <v>113</v>
      </c>
      <c r="C710" s="22" t="s">
        <v>271</v>
      </c>
      <c r="D710" s="48" t="s">
        <v>5</v>
      </c>
      <c r="E710" t="s">
        <v>157</v>
      </c>
      <c r="F710">
        <v>2016</v>
      </c>
      <c r="G710" t="s">
        <v>247</v>
      </c>
      <c r="H710" s="42">
        <v>329</v>
      </c>
      <c r="J710" t="s">
        <v>248</v>
      </c>
      <c r="L710" s="34">
        <v>1</v>
      </c>
      <c r="M710" s="38">
        <v>0.75</v>
      </c>
      <c r="N710" s="38">
        <f t="shared" si="11"/>
        <v>0.75</v>
      </c>
    </row>
    <row r="711" spans="1:14">
      <c r="A711" s="29">
        <v>42927</v>
      </c>
      <c r="B711" s="22" t="s">
        <v>25</v>
      </c>
      <c r="C711" s="22" t="s">
        <v>57</v>
      </c>
      <c r="D711" s="48" t="s">
        <v>5</v>
      </c>
      <c r="E711" t="s">
        <v>306</v>
      </c>
      <c r="F711">
        <v>2016</v>
      </c>
      <c r="G711" t="s">
        <v>457</v>
      </c>
      <c r="H711" s="42" t="s">
        <v>57</v>
      </c>
      <c r="J711" t="s">
        <v>248</v>
      </c>
      <c r="K711" t="s">
        <v>458</v>
      </c>
      <c r="L711" s="34">
        <v>2</v>
      </c>
      <c r="M711" s="38">
        <v>0.75</v>
      </c>
      <c r="N711" s="38">
        <f t="shared" si="11"/>
        <v>1.5</v>
      </c>
    </row>
    <row r="712" spans="1:14">
      <c r="A712" s="29">
        <v>42933</v>
      </c>
      <c r="B712" s="22" t="s">
        <v>108</v>
      </c>
      <c r="C712" s="22" t="s">
        <v>327</v>
      </c>
      <c r="D712" s="48" t="s">
        <v>5</v>
      </c>
      <c r="E712" t="s">
        <v>157</v>
      </c>
      <c r="F712">
        <v>2016</v>
      </c>
      <c r="G712" t="s">
        <v>391</v>
      </c>
      <c r="H712" s="42">
        <v>405</v>
      </c>
      <c r="J712" t="s">
        <v>248</v>
      </c>
      <c r="L712" s="34">
        <v>2</v>
      </c>
      <c r="M712" s="38">
        <v>0.75</v>
      </c>
      <c r="N712" s="38">
        <f t="shared" si="11"/>
        <v>1.5</v>
      </c>
    </row>
    <row r="713" spans="1:14">
      <c r="A713" s="29">
        <v>42934</v>
      </c>
      <c r="B713" s="22" t="s">
        <v>116</v>
      </c>
      <c r="C713" s="22" t="s">
        <v>327</v>
      </c>
      <c r="D713" s="48" t="s">
        <v>5</v>
      </c>
      <c r="E713" t="s">
        <v>157</v>
      </c>
      <c r="F713">
        <v>2016</v>
      </c>
      <c r="G713" t="s">
        <v>391</v>
      </c>
      <c r="H713" s="42">
        <v>405</v>
      </c>
      <c r="J713" t="s">
        <v>248</v>
      </c>
      <c r="L713" s="34">
        <v>6</v>
      </c>
      <c r="M713" s="38">
        <v>0.75</v>
      </c>
      <c r="N713" s="38">
        <f t="shared" si="11"/>
        <v>4.5</v>
      </c>
    </row>
    <row r="714" spans="1:14">
      <c r="A714" s="29">
        <v>42934</v>
      </c>
      <c r="B714" s="22" t="s">
        <v>63</v>
      </c>
      <c r="C714" s="22" t="s">
        <v>57</v>
      </c>
      <c r="D714" s="48" t="s">
        <v>5</v>
      </c>
      <c r="E714" t="s">
        <v>393</v>
      </c>
      <c r="F714">
        <v>2016</v>
      </c>
      <c r="G714" t="s">
        <v>452</v>
      </c>
      <c r="H714" s="42">
        <v>209</v>
      </c>
      <c r="J714" t="s">
        <v>248</v>
      </c>
      <c r="L714" s="34">
        <v>2</v>
      </c>
      <c r="M714" s="38">
        <v>0.75</v>
      </c>
      <c r="N714" s="38">
        <f t="shared" si="11"/>
        <v>1.5</v>
      </c>
    </row>
    <row r="715" spans="1:14">
      <c r="A715" s="29">
        <v>42944</v>
      </c>
      <c r="B715" s="22" t="s">
        <v>116</v>
      </c>
      <c r="C715" s="22" t="s">
        <v>327</v>
      </c>
      <c r="D715" s="48" t="s">
        <v>5</v>
      </c>
      <c r="E715" t="s">
        <v>459</v>
      </c>
      <c r="F715">
        <v>2016</v>
      </c>
      <c r="G715" t="s">
        <v>459</v>
      </c>
      <c r="H715" s="42">
        <v>18</v>
      </c>
      <c r="J715" t="s">
        <v>248</v>
      </c>
      <c r="L715" s="34">
        <v>4</v>
      </c>
      <c r="M715" s="38">
        <v>0.75</v>
      </c>
      <c r="N715" s="38">
        <f t="shared" si="11"/>
        <v>3</v>
      </c>
    </row>
    <row r="716" spans="1:14">
      <c r="A716" s="29">
        <v>42954</v>
      </c>
      <c r="B716" s="22" t="s">
        <v>57</v>
      </c>
      <c r="C716" s="22" t="s">
        <v>47</v>
      </c>
      <c r="D716" s="48" t="s">
        <v>5</v>
      </c>
      <c r="E716" t="s">
        <v>158</v>
      </c>
      <c r="F716">
        <v>2016</v>
      </c>
      <c r="G716" t="s">
        <v>359</v>
      </c>
      <c r="H716" s="42" t="s">
        <v>57</v>
      </c>
      <c r="J716" t="s">
        <v>248</v>
      </c>
      <c r="K716" t="s">
        <v>460</v>
      </c>
      <c r="L716" s="34">
        <v>1</v>
      </c>
      <c r="M716" s="38">
        <v>0.75</v>
      </c>
      <c r="N716" s="38">
        <f t="shared" si="11"/>
        <v>0.75</v>
      </c>
    </row>
    <row r="717" spans="1:14">
      <c r="A717" s="29">
        <v>42954</v>
      </c>
      <c r="B717" s="22" t="s">
        <v>57</v>
      </c>
      <c r="C717" s="22" t="s">
        <v>47</v>
      </c>
      <c r="D717" s="48" t="s">
        <v>5</v>
      </c>
      <c r="E717" t="s">
        <v>158</v>
      </c>
      <c r="F717">
        <v>2016</v>
      </c>
      <c r="G717" t="s">
        <v>57</v>
      </c>
      <c r="H717" s="42">
        <v>85</v>
      </c>
      <c r="J717" t="s">
        <v>248</v>
      </c>
      <c r="L717" s="34">
        <v>2</v>
      </c>
      <c r="M717" s="38">
        <v>0.75</v>
      </c>
      <c r="N717" s="38">
        <f t="shared" si="11"/>
        <v>1.5</v>
      </c>
    </row>
    <row r="718" spans="1:14">
      <c r="A718" s="29">
        <v>42954</v>
      </c>
      <c r="B718" s="22" t="s">
        <v>57</v>
      </c>
      <c r="C718" s="22" t="s">
        <v>47</v>
      </c>
      <c r="D718" s="48" t="s">
        <v>5</v>
      </c>
      <c r="E718" t="s">
        <v>158</v>
      </c>
      <c r="F718">
        <v>2016</v>
      </c>
      <c r="G718" t="s">
        <v>263</v>
      </c>
      <c r="H718" s="42" t="s">
        <v>57</v>
      </c>
      <c r="J718" t="s">
        <v>248</v>
      </c>
      <c r="K718" t="s">
        <v>461</v>
      </c>
      <c r="L718" s="34">
        <v>2</v>
      </c>
      <c r="M718" s="38">
        <v>0.75</v>
      </c>
      <c r="N718" s="38">
        <f t="shared" si="11"/>
        <v>1.5</v>
      </c>
    </row>
    <row r="719" spans="1:14">
      <c r="A719" s="29">
        <v>43005</v>
      </c>
      <c r="B719" s="22" t="s">
        <v>63</v>
      </c>
      <c r="C719" s="22" t="s">
        <v>57</v>
      </c>
      <c r="D719" s="48" t="s">
        <v>5</v>
      </c>
      <c r="E719" t="s">
        <v>158</v>
      </c>
      <c r="F719">
        <v>2017</v>
      </c>
      <c r="G719" t="s">
        <v>57</v>
      </c>
      <c r="H719" s="42">
        <v>313</v>
      </c>
      <c r="J719" t="s">
        <v>248</v>
      </c>
      <c r="L719" s="34">
        <v>2</v>
      </c>
      <c r="M719" s="38">
        <v>0.75</v>
      </c>
      <c r="N719" s="38">
        <f t="shared" si="11"/>
        <v>1.5</v>
      </c>
    </row>
    <row r="720" spans="1:14">
      <c r="A720" s="29">
        <v>43005</v>
      </c>
      <c r="B720" s="22" t="s">
        <v>63</v>
      </c>
      <c r="C720" s="22" t="s">
        <v>57</v>
      </c>
      <c r="D720" s="48" t="s">
        <v>5</v>
      </c>
      <c r="E720" t="s">
        <v>158</v>
      </c>
      <c r="F720">
        <v>2017</v>
      </c>
      <c r="G720" t="s">
        <v>57</v>
      </c>
      <c r="H720" s="42">
        <v>49</v>
      </c>
      <c r="J720" t="s">
        <v>248</v>
      </c>
      <c r="L720" s="34">
        <v>2</v>
      </c>
      <c r="M720" s="38">
        <v>0.75</v>
      </c>
      <c r="N720" s="38">
        <f t="shared" si="11"/>
        <v>1.5</v>
      </c>
    </row>
    <row r="721" spans="1:14">
      <c r="A721" s="29">
        <v>43005</v>
      </c>
      <c r="B721" s="22" t="s">
        <v>6</v>
      </c>
      <c r="C721" s="22" t="s">
        <v>41</v>
      </c>
      <c r="D721" s="48" t="s">
        <v>5</v>
      </c>
      <c r="E721" t="s">
        <v>159</v>
      </c>
      <c r="F721">
        <v>2017</v>
      </c>
      <c r="G721" t="s">
        <v>57</v>
      </c>
      <c r="H721" s="42">
        <v>124</v>
      </c>
      <c r="J721" t="s">
        <v>248</v>
      </c>
      <c r="L721" s="34">
        <v>10</v>
      </c>
      <c r="M721" s="38">
        <v>0.75</v>
      </c>
      <c r="N721" s="38">
        <f t="shared" si="11"/>
        <v>7.5</v>
      </c>
    </row>
    <row r="722" spans="1:14">
      <c r="A722" s="29">
        <v>43005</v>
      </c>
      <c r="B722" s="22" t="s">
        <v>63</v>
      </c>
      <c r="C722" s="22" t="s">
        <v>57</v>
      </c>
      <c r="D722" s="48" t="s">
        <v>5</v>
      </c>
      <c r="E722" t="s">
        <v>159</v>
      </c>
      <c r="F722">
        <v>2017</v>
      </c>
      <c r="G722" t="s">
        <v>57</v>
      </c>
      <c r="H722" s="42">
        <v>402</v>
      </c>
      <c r="J722" t="s">
        <v>248</v>
      </c>
      <c r="L722" s="34">
        <v>2</v>
      </c>
      <c r="M722" s="38">
        <v>0.75</v>
      </c>
      <c r="N722" s="38">
        <f t="shared" si="11"/>
        <v>1.5</v>
      </c>
    </row>
    <row r="723" spans="1:14">
      <c r="A723" s="29">
        <v>43005</v>
      </c>
      <c r="B723" s="22" t="s">
        <v>63</v>
      </c>
      <c r="C723" s="22" t="s">
        <v>57</v>
      </c>
      <c r="D723" s="48" t="s">
        <v>5</v>
      </c>
      <c r="E723" t="s">
        <v>159</v>
      </c>
      <c r="F723">
        <v>2017</v>
      </c>
      <c r="G723" t="s">
        <v>57</v>
      </c>
      <c r="H723" s="42">
        <v>418</v>
      </c>
      <c r="J723" t="s">
        <v>248</v>
      </c>
      <c r="L723" s="34">
        <v>2</v>
      </c>
      <c r="M723" s="38">
        <v>0.75</v>
      </c>
      <c r="N723" s="38">
        <f t="shared" si="11"/>
        <v>1.5</v>
      </c>
    </row>
    <row r="724" spans="1:14">
      <c r="A724" s="29">
        <v>43005</v>
      </c>
      <c r="B724" s="22" t="s">
        <v>63</v>
      </c>
      <c r="C724" s="22" t="s">
        <v>57</v>
      </c>
      <c r="D724" s="48" t="s">
        <v>5</v>
      </c>
      <c r="E724" t="s">
        <v>159</v>
      </c>
      <c r="F724">
        <v>2017</v>
      </c>
      <c r="G724" t="s">
        <v>57</v>
      </c>
      <c r="H724" s="42">
        <v>420</v>
      </c>
      <c r="J724" t="s">
        <v>248</v>
      </c>
      <c r="L724" s="34">
        <v>2</v>
      </c>
      <c r="M724" s="38">
        <v>0.75</v>
      </c>
      <c r="N724" s="38">
        <f t="shared" si="11"/>
        <v>1.5</v>
      </c>
    </row>
    <row r="725" spans="1:14">
      <c r="A725" s="29">
        <v>43005</v>
      </c>
      <c r="B725" s="22" t="s">
        <v>63</v>
      </c>
      <c r="C725" s="22" t="s">
        <v>57</v>
      </c>
      <c r="D725" s="48" t="s">
        <v>5</v>
      </c>
      <c r="E725" t="s">
        <v>159</v>
      </c>
      <c r="F725">
        <v>2017</v>
      </c>
      <c r="G725" t="s">
        <v>57</v>
      </c>
      <c r="H725" s="42">
        <v>421</v>
      </c>
      <c r="J725" t="s">
        <v>248</v>
      </c>
      <c r="L725" s="34">
        <v>2</v>
      </c>
      <c r="M725" s="38">
        <v>0.75</v>
      </c>
      <c r="N725" s="38">
        <f t="shared" si="11"/>
        <v>1.5</v>
      </c>
    </row>
    <row r="726" spans="1:14">
      <c r="A726" s="29">
        <v>43005</v>
      </c>
      <c r="B726" s="22" t="s">
        <v>63</v>
      </c>
      <c r="C726" s="22" t="s">
        <v>57</v>
      </c>
      <c r="D726" s="48" t="s">
        <v>5</v>
      </c>
      <c r="E726" t="s">
        <v>159</v>
      </c>
      <c r="F726">
        <v>2017</v>
      </c>
      <c r="G726" t="s">
        <v>57</v>
      </c>
      <c r="H726" s="42">
        <v>15</v>
      </c>
      <c r="J726" t="s">
        <v>248</v>
      </c>
      <c r="L726" s="34">
        <v>2</v>
      </c>
      <c r="M726" s="38">
        <v>0.75</v>
      </c>
      <c r="N726" s="38">
        <f t="shared" si="11"/>
        <v>1.5</v>
      </c>
    </row>
    <row r="727" spans="1:14">
      <c r="A727" s="29">
        <v>43005</v>
      </c>
      <c r="B727" s="22" t="s">
        <v>63</v>
      </c>
      <c r="C727" s="22" t="s">
        <v>57</v>
      </c>
      <c r="D727" s="48" t="s">
        <v>5</v>
      </c>
      <c r="E727" t="s">
        <v>158</v>
      </c>
      <c r="F727">
        <v>2017</v>
      </c>
      <c r="G727" t="s">
        <v>57</v>
      </c>
      <c r="H727" s="42">
        <v>313</v>
      </c>
      <c r="J727" t="s">
        <v>248</v>
      </c>
      <c r="L727" s="34">
        <v>1</v>
      </c>
      <c r="M727" s="38">
        <v>0.75</v>
      </c>
      <c r="N727" s="38">
        <f t="shared" si="11"/>
        <v>0.75</v>
      </c>
    </row>
    <row r="728" spans="1:14">
      <c r="A728" s="29">
        <v>43005</v>
      </c>
      <c r="B728" s="22" t="s">
        <v>63</v>
      </c>
      <c r="C728" s="22" t="s">
        <v>57</v>
      </c>
      <c r="D728" s="48" t="s">
        <v>5</v>
      </c>
      <c r="E728" t="s">
        <v>158</v>
      </c>
      <c r="F728">
        <v>2017</v>
      </c>
      <c r="G728" t="s">
        <v>57</v>
      </c>
      <c r="H728" s="42">
        <v>49</v>
      </c>
      <c r="J728" t="s">
        <v>248</v>
      </c>
      <c r="L728" s="34">
        <v>1</v>
      </c>
      <c r="M728" s="38">
        <v>0.75</v>
      </c>
      <c r="N728" s="38">
        <f t="shared" si="11"/>
        <v>0.75</v>
      </c>
    </row>
    <row r="729" spans="1:14">
      <c r="A729" s="29">
        <v>43005</v>
      </c>
      <c r="B729" s="22" t="s">
        <v>63</v>
      </c>
      <c r="C729" s="22" t="s">
        <v>57</v>
      </c>
      <c r="D729" s="48" t="s">
        <v>5</v>
      </c>
      <c r="E729" t="s">
        <v>158</v>
      </c>
      <c r="F729">
        <v>2017</v>
      </c>
      <c r="G729" t="s">
        <v>57</v>
      </c>
      <c r="H729" s="42">
        <v>78</v>
      </c>
      <c r="J729" t="s">
        <v>248</v>
      </c>
      <c r="L729" s="34">
        <v>1</v>
      </c>
      <c r="M729" s="38">
        <v>0.75</v>
      </c>
      <c r="N729" s="38">
        <f t="shared" si="11"/>
        <v>0.75</v>
      </c>
    </row>
    <row r="730" spans="1:14">
      <c r="A730" s="29">
        <v>43005</v>
      </c>
      <c r="B730" s="22" t="s">
        <v>63</v>
      </c>
      <c r="C730" s="22" t="s">
        <v>57</v>
      </c>
      <c r="D730" s="48" t="s">
        <v>5</v>
      </c>
      <c r="E730" t="s">
        <v>157</v>
      </c>
      <c r="F730">
        <v>2017</v>
      </c>
      <c r="G730" t="s">
        <v>57</v>
      </c>
      <c r="H730" s="42">
        <v>413</v>
      </c>
      <c r="J730" t="s">
        <v>248</v>
      </c>
      <c r="L730" s="34">
        <v>2</v>
      </c>
      <c r="M730" s="38">
        <v>0.75</v>
      </c>
      <c r="N730" s="38">
        <f t="shared" si="11"/>
        <v>1.5</v>
      </c>
    </row>
    <row r="731" spans="1:14">
      <c r="A731" s="29">
        <v>43005</v>
      </c>
      <c r="B731" s="22" t="s">
        <v>63</v>
      </c>
      <c r="C731" s="22" t="s">
        <v>57</v>
      </c>
      <c r="D731" s="48" t="s">
        <v>5</v>
      </c>
      <c r="E731" t="s">
        <v>157</v>
      </c>
      <c r="F731">
        <v>2017</v>
      </c>
      <c r="G731" t="s">
        <v>57</v>
      </c>
      <c r="H731" s="42">
        <v>209</v>
      </c>
      <c r="J731" t="s">
        <v>248</v>
      </c>
      <c r="L731" s="34">
        <v>2</v>
      </c>
      <c r="M731" s="38">
        <v>0.75</v>
      </c>
      <c r="N731" s="38">
        <f t="shared" si="11"/>
        <v>1.5</v>
      </c>
    </row>
    <row r="732" spans="1:14">
      <c r="A732" s="29">
        <v>43005</v>
      </c>
      <c r="B732" s="22" t="s">
        <v>9</v>
      </c>
      <c r="C732" s="22" t="s">
        <v>41</v>
      </c>
      <c r="D732" s="48" t="s">
        <v>5</v>
      </c>
      <c r="E732" t="s">
        <v>255</v>
      </c>
      <c r="F732">
        <v>2016</v>
      </c>
      <c r="G732" t="s">
        <v>462</v>
      </c>
      <c r="H732" s="42" t="s">
        <v>57</v>
      </c>
      <c r="J732" t="s">
        <v>248</v>
      </c>
      <c r="K732" t="s">
        <v>463</v>
      </c>
      <c r="L732" s="34">
        <v>1</v>
      </c>
      <c r="M732" s="38">
        <v>0.75</v>
      </c>
      <c r="N732" s="38">
        <f t="shared" si="11"/>
        <v>0.75</v>
      </c>
    </row>
    <row r="733" spans="1:14">
      <c r="A733" s="29">
        <v>43010</v>
      </c>
      <c r="B733" s="22" t="s">
        <v>63</v>
      </c>
      <c r="C733" s="22" t="s">
        <v>57</v>
      </c>
      <c r="D733" s="48" t="s">
        <v>5</v>
      </c>
      <c r="E733" t="s">
        <v>159</v>
      </c>
      <c r="F733">
        <v>2017</v>
      </c>
      <c r="G733" t="s">
        <v>464</v>
      </c>
      <c r="H733" s="42" t="s">
        <v>57</v>
      </c>
      <c r="J733" t="s">
        <v>248</v>
      </c>
      <c r="L733" s="34">
        <v>3</v>
      </c>
      <c r="M733" s="38">
        <v>0.75</v>
      </c>
      <c r="N733" s="38">
        <f t="shared" si="11"/>
        <v>2.25</v>
      </c>
    </row>
    <row r="734" spans="1:14">
      <c r="A734" s="29">
        <v>43010</v>
      </c>
      <c r="B734" s="22" t="s">
        <v>63</v>
      </c>
      <c r="C734" s="22" t="s">
        <v>57</v>
      </c>
      <c r="D734" s="48" t="s">
        <v>5</v>
      </c>
      <c r="E734" t="s">
        <v>159</v>
      </c>
      <c r="F734">
        <v>2017</v>
      </c>
      <c r="G734" t="s">
        <v>465</v>
      </c>
      <c r="H734" s="42" t="s">
        <v>57</v>
      </c>
      <c r="J734" t="s">
        <v>248</v>
      </c>
      <c r="L734" s="34">
        <v>3</v>
      </c>
      <c r="M734" s="38">
        <v>0.75</v>
      </c>
      <c r="N734" s="38">
        <f t="shared" si="11"/>
        <v>2.25</v>
      </c>
    </row>
    <row r="735" spans="1:14">
      <c r="A735" s="29">
        <v>43010</v>
      </c>
      <c r="B735" s="22" t="s">
        <v>63</v>
      </c>
      <c r="C735" s="22" t="s">
        <v>57</v>
      </c>
      <c r="D735" s="48" t="s">
        <v>5</v>
      </c>
      <c r="E735" t="s">
        <v>159</v>
      </c>
      <c r="F735">
        <v>2017</v>
      </c>
      <c r="G735" t="s">
        <v>466</v>
      </c>
      <c r="H735" s="42" t="s">
        <v>57</v>
      </c>
      <c r="J735" t="s">
        <v>248</v>
      </c>
      <c r="L735" s="34">
        <v>3</v>
      </c>
      <c r="M735" s="38">
        <v>0.75</v>
      </c>
      <c r="N735" s="38">
        <f t="shared" si="11"/>
        <v>2.25</v>
      </c>
    </row>
    <row r="736" spans="1:14">
      <c r="A736" s="29">
        <v>43010</v>
      </c>
      <c r="B736" s="22" t="s">
        <v>63</v>
      </c>
      <c r="C736" s="22" t="s">
        <v>57</v>
      </c>
      <c r="D736" s="48" t="s">
        <v>5</v>
      </c>
      <c r="E736" t="s">
        <v>157</v>
      </c>
      <c r="F736">
        <v>2017</v>
      </c>
      <c r="G736" t="s">
        <v>465</v>
      </c>
      <c r="H736" s="42" t="s">
        <v>57</v>
      </c>
      <c r="J736" t="s">
        <v>248</v>
      </c>
      <c r="L736" s="34">
        <v>2</v>
      </c>
      <c r="M736" s="38">
        <v>0.75</v>
      </c>
      <c r="N736" s="38">
        <f t="shared" si="11"/>
        <v>1.5</v>
      </c>
    </row>
    <row r="737" spans="1:14">
      <c r="A737" s="29">
        <v>43010</v>
      </c>
      <c r="B737" s="22" t="s">
        <v>63</v>
      </c>
      <c r="C737" s="22" t="s">
        <v>57</v>
      </c>
      <c r="D737" s="48" t="s">
        <v>5</v>
      </c>
      <c r="E737" t="s">
        <v>157</v>
      </c>
      <c r="F737">
        <v>2017</v>
      </c>
      <c r="G737" t="s">
        <v>464</v>
      </c>
      <c r="H737" s="42" t="s">
        <v>57</v>
      </c>
      <c r="J737" t="s">
        <v>248</v>
      </c>
      <c r="L737" s="34">
        <v>2</v>
      </c>
      <c r="M737" s="38">
        <v>0.75</v>
      </c>
      <c r="N737" s="38">
        <f t="shared" si="11"/>
        <v>1.5</v>
      </c>
    </row>
    <row r="738" spans="1:14">
      <c r="A738" s="29">
        <v>43010</v>
      </c>
      <c r="B738" s="22" t="s">
        <v>63</v>
      </c>
      <c r="C738" s="22" t="s">
        <v>57</v>
      </c>
      <c r="D738" s="48" t="s">
        <v>5</v>
      </c>
      <c r="E738" t="s">
        <v>157</v>
      </c>
      <c r="F738">
        <v>2017</v>
      </c>
      <c r="G738" t="s">
        <v>466</v>
      </c>
      <c r="H738" s="42" t="s">
        <v>57</v>
      </c>
      <c r="J738" t="s">
        <v>248</v>
      </c>
      <c r="L738" s="34">
        <v>2</v>
      </c>
      <c r="M738" s="38">
        <v>0.75</v>
      </c>
      <c r="N738" s="38">
        <f t="shared" si="11"/>
        <v>1.5</v>
      </c>
    </row>
    <row r="739" spans="1:14">
      <c r="A739" s="29">
        <v>43011</v>
      </c>
      <c r="B739" s="22" t="s">
        <v>57</v>
      </c>
      <c r="C739" s="22" t="s">
        <v>57</v>
      </c>
      <c r="D739" s="48" t="s">
        <v>5</v>
      </c>
      <c r="E739" t="s">
        <v>159</v>
      </c>
      <c r="F739">
        <v>2017</v>
      </c>
      <c r="G739" t="s">
        <v>466</v>
      </c>
      <c r="H739" s="42" t="s">
        <v>57</v>
      </c>
      <c r="J739" t="s">
        <v>248</v>
      </c>
      <c r="L739" s="34">
        <v>3</v>
      </c>
      <c r="M739" s="38">
        <v>0.75</v>
      </c>
      <c r="N739" s="38">
        <f t="shared" si="11"/>
        <v>2.25</v>
      </c>
    </row>
    <row r="740" spans="1:14">
      <c r="A740" s="29">
        <v>43013</v>
      </c>
      <c r="B740" s="22" t="s">
        <v>63</v>
      </c>
      <c r="C740" s="22" t="s">
        <v>57</v>
      </c>
      <c r="D740" s="48" t="s">
        <v>11</v>
      </c>
      <c r="E740" t="s">
        <v>467</v>
      </c>
      <c r="F740" t="s">
        <v>423</v>
      </c>
      <c r="G740" t="s">
        <v>413</v>
      </c>
      <c r="H740" s="42" t="s">
        <v>57</v>
      </c>
      <c r="J740" t="s">
        <v>248</v>
      </c>
      <c r="K740" t="s">
        <v>468</v>
      </c>
      <c r="L740" s="34">
        <v>1</v>
      </c>
      <c r="M740" s="38">
        <v>0.75</v>
      </c>
      <c r="N740" s="38">
        <f t="shared" si="11"/>
        <v>0.75</v>
      </c>
    </row>
    <row r="741" spans="1:14">
      <c r="A741" s="29">
        <v>43013</v>
      </c>
      <c r="B741" s="22" t="s">
        <v>63</v>
      </c>
      <c r="C741" s="22" t="s">
        <v>57</v>
      </c>
      <c r="D741" s="48" t="s">
        <v>11</v>
      </c>
      <c r="E741" t="s">
        <v>467</v>
      </c>
      <c r="F741" t="s">
        <v>423</v>
      </c>
      <c r="G741" t="s">
        <v>415</v>
      </c>
      <c r="H741" s="42" t="s">
        <v>57</v>
      </c>
      <c r="J741" t="s">
        <v>248</v>
      </c>
      <c r="K741" t="s">
        <v>469</v>
      </c>
      <c r="L741" s="34">
        <v>1</v>
      </c>
      <c r="M741" s="38">
        <v>0.75</v>
      </c>
      <c r="N741" s="38">
        <f t="shared" si="11"/>
        <v>0.75</v>
      </c>
    </row>
    <row r="742" spans="1:14">
      <c r="A742" s="29">
        <v>43014</v>
      </c>
      <c r="B742" s="22" t="s">
        <v>63</v>
      </c>
      <c r="C742" s="22" t="s">
        <v>57</v>
      </c>
      <c r="D742" s="48" t="s">
        <v>5</v>
      </c>
      <c r="E742" t="s">
        <v>159</v>
      </c>
      <c r="F742" t="s">
        <v>423</v>
      </c>
      <c r="G742" t="s">
        <v>464</v>
      </c>
      <c r="H742" s="42" t="s">
        <v>57</v>
      </c>
      <c r="J742" t="s">
        <v>248</v>
      </c>
      <c r="L742" s="34">
        <v>1</v>
      </c>
      <c r="M742" s="38">
        <v>0.75</v>
      </c>
      <c r="N742" s="38">
        <f t="shared" si="11"/>
        <v>0.75</v>
      </c>
    </row>
    <row r="743" spans="1:14">
      <c r="A743" s="29">
        <v>43017</v>
      </c>
      <c r="B743" s="22" t="s">
        <v>63</v>
      </c>
      <c r="C743" s="22" t="s">
        <v>57</v>
      </c>
      <c r="D743" s="48" t="s">
        <v>5</v>
      </c>
      <c r="E743" t="s">
        <v>159</v>
      </c>
      <c r="F743">
        <v>2017</v>
      </c>
      <c r="G743" t="s">
        <v>464</v>
      </c>
      <c r="H743" s="42" t="s">
        <v>57</v>
      </c>
      <c r="J743" t="s">
        <v>248</v>
      </c>
      <c r="L743" s="34">
        <v>3</v>
      </c>
      <c r="M743" s="38">
        <v>0.75</v>
      </c>
      <c r="N743" s="38">
        <f t="shared" si="11"/>
        <v>2.25</v>
      </c>
    </row>
    <row r="744" spans="1:14">
      <c r="A744" s="29">
        <v>43017</v>
      </c>
      <c r="B744" s="22" t="s">
        <v>63</v>
      </c>
      <c r="C744" s="22" t="s">
        <v>57</v>
      </c>
      <c r="D744" s="48" t="s">
        <v>5</v>
      </c>
      <c r="E744" t="s">
        <v>159</v>
      </c>
      <c r="F744">
        <v>2017</v>
      </c>
      <c r="G744" t="s">
        <v>465</v>
      </c>
      <c r="H744" s="42" t="s">
        <v>57</v>
      </c>
      <c r="J744" t="s">
        <v>248</v>
      </c>
      <c r="L744" s="34">
        <v>3</v>
      </c>
      <c r="M744" s="38">
        <v>0.75</v>
      </c>
      <c r="N744" s="38">
        <f t="shared" si="11"/>
        <v>2.25</v>
      </c>
    </row>
    <row r="745" spans="1:14">
      <c r="A745" s="29">
        <v>43017</v>
      </c>
      <c r="B745" s="22" t="s">
        <v>63</v>
      </c>
      <c r="C745" s="22" t="s">
        <v>57</v>
      </c>
      <c r="D745" s="48" t="s">
        <v>5</v>
      </c>
      <c r="E745" t="s">
        <v>159</v>
      </c>
      <c r="F745">
        <v>2017</v>
      </c>
      <c r="G745" t="s">
        <v>466</v>
      </c>
      <c r="H745" s="42" t="s">
        <v>57</v>
      </c>
      <c r="J745" t="s">
        <v>248</v>
      </c>
      <c r="L745" s="34">
        <v>3</v>
      </c>
      <c r="M745" s="38">
        <v>0.75</v>
      </c>
      <c r="N745" s="38">
        <f t="shared" si="11"/>
        <v>2.25</v>
      </c>
    </row>
    <row r="746" spans="1:14">
      <c r="A746" s="29">
        <v>43017</v>
      </c>
      <c r="B746" s="22" t="s">
        <v>63</v>
      </c>
      <c r="C746" s="22" t="s">
        <v>57</v>
      </c>
      <c r="D746" s="48" t="s">
        <v>5</v>
      </c>
      <c r="E746" t="s">
        <v>157</v>
      </c>
      <c r="F746">
        <v>2017</v>
      </c>
      <c r="G746" t="s">
        <v>465</v>
      </c>
      <c r="H746" s="42" t="s">
        <v>57</v>
      </c>
      <c r="J746" t="s">
        <v>248</v>
      </c>
      <c r="L746" s="34">
        <v>3</v>
      </c>
      <c r="M746" s="38">
        <v>0.75</v>
      </c>
      <c r="N746" s="38">
        <f t="shared" si="11"/>
        <v>2.25</v>
      </c>
    </row>
    <row r="747" spans="1:14">
      <c r="A747" s="29">
        <v>43017</v>
      </c>
      <c r="B747" s="22" t="s">
        <v>63</v>
      </c>
      <c r="C747" s="22" t="s">
        <v>57</v>
      </c>
      <c r="D747" s="48" t="s">
        <v>5</v>
      </c>
      <c r="E747" t="s">
        <v>157</v>
      </c>
      <c r="F747">
        <v>2017</v>
      </c>
      <c r="G747" t="s">
        <v>464</v>
      </c>
      <c r="H747" s="42" t="s">
        <v>57</v>
      </c>
      <c r="J747" t="s">
        <v>248</v>
      </c>
      <c r="L747" s="34">
        <v>3</v>
      </c>
      <c r="M747" s="38">
        <v>0.75</v>
      </c>
      <c r="N747" s="38">
        <f t="shared" si="11"/>
        <v>2.25</v>
      </c>
    </row>
    <row r="748" spans="1:14">
      <c r="A748" s="29">
        <v>43017</v>
      </c>
      <c r="B748" s="22" t="s">
        <v>63</v>
      </c>
      <c r="C748" s="22" t="s">
        <v>57</v>
      </c>
      <c r="D748" s="48" t="s">
        <v>5</v>
      </c>
      <c r="E748" t="s">
        <v>157</v>
      </c>
      <c r="F748">
        <v>2017</v>
      </c>
      <c r="G748" t="s">
        <v>466</v>
      </c>
      <c r="H748" s="42" t="s">
        <v>57</v>
      </c>
      <c r="J748" t="s">
        <v>248</v>
      </c>
      <c r="L748" s="34">
        <v>3</v>
      </c>
      <c r="M748" s="38">
        <v>0.75</v>
      </c>
      <c r="N748" s="38">
        <f t="shared" si="11"/>
        <v>2.25</v>
      </c>
    </row>
    <row r="749" spans="1:14">
      <c r="A749" s="29">
        <v>43017</v>
      </c>
      <c r="B749" s="22" t="s">
        <v>63</v>
      </c>
      <c r="C749" s="22" t="s">
        <v>57</v>
      </c>
      <c r="D749" s="48" t="s">
        <v>8</v>
      </c>
      <c r="E749" t="s">
        <v>272</v>
      </c>
      <c r="F749">
        <v>2017</v>
      </c>
      <c r="G749" t="s">
        <v>57</v>
      </c>
      <c r="H749" s="42">
        <v>202</v>
      </c>
      <c r="J749" t="s">
        <v>248</v>
      </c>
      <c r="L749" s="34">
        <v>1</v>
      </c>
      <c r="M749" s="38">
        <v>0.75</v>
      </c>
      <c r="N749" s="38">
        <f t="shared" si="11"/>
        <v>0.75</v>
      </c>
    </row>
    <row r="750" spans="1:14">
      <c r="A750" s="29">
        <v>43017</v>
      </c>
      <c r="B750" s="22" t="s">
        <v>63</v>
      </c>
      <c r="C750" s="22" t="s">
        <v>57</v>
      </c>
      <c r="D750" s="48" t="s">
        <v>5</v>
      </c>
      <c r="E750" t="s">
        <v>381</v>
      </c>
      <c r="F750">
        <v>2017</v>
      </c>
      <c r="G750" t="s">
        <v>57</v>
      </c>
      <c r="H750" s="42">
        <v>197</v>
      </c>
      <c r="J750" t="s">
        <v>248</v>
      </c>
      <c r="L750" s="34">
        <v>1</v>
      </c>
      <c r="M750" s="38">
        <v>0.75</v>
      </c>
      <c r="N750" s="38">
        <f t="shared" si="11"/>
        <v>0.75</v>
      </c>
    </row>
    <row r="751" spans="1:14">
      <c r="A751" s="29">
        <v>43018</v>
      </c>
      <c r="B751" s="22" t="s">
        <v>57</v>
      </c>
      <c r="C751" s="22" t="s">
        <v>53</v>
      </c>
      <c r="D751" s="48" t="s">
        <v>5</v>
      </c>
      <c r="E751" t="s">
        <v>157</v>
      </c>
      <c r="F751">
        <v>2016</v>
      </c>
      <c r="G751" t="s">
        <v>446</v>
      </c>
      <c r="H751" s="42">
        <v>20</v>
      </c>
      <c r="J751" t="s">
        <v>248</v>
      </c>
      <c r="L751" s="34">
        <v>2</v>
      </c>
      <c r="M751" s="38">
        <v>0.75</v>
      </c>
      <c r="N751" s="38">
        <f t="shared" si="11"/>
        <v>1.5</v>
      </c>
    </row>
    <row r="752" spans="1:14">
      <c r="A752" s="29">
        <v>43018</v>
      </c>
      <c r="B752" s="22" t="s">
        <v>57</v>
      </c>
      <c r="C752" s="22" t="s">
        <v>53</v>
      </c>
      <c r="D752" s="48" t="s">
        <v>11</v>
      </c>
      <c r="E752" t="s">
        <v>396</v>
      </c>
      <c r="F752">
        <v>2016</v>
      </c>
      <c r="G752" t="s">
        <v>470</v>
      </c>
      <c r="H752" s="42" t="s">
        <v>57</v>
      </c>
      <c r="J752" t="s">
        <v>248</v>
      </c>
      <c r="K752" t="s">
        <v>471</v>
      </c>
      <c r="L752" s="34">
        <v>1</v>
      </c>
      <c r="M752" s="38">
        <v>0.75</v>
      </c>
      <c r="N752" s="38">
        <f t="shared" si="11"/>
        <v>0.75</v>
      </c>
    </row>
    <row r="753" spans="1:14">
      <c r="A753" s="29">
        <v>43018</v>
      </c>
      <c r="B753" s="22" t="s">
        <v>57</v>
      </c>
      <c r="C753" s="22" t="s">
        <v>47</v>
      </c>
      <c r="D753" s="48" t="s">
        <v>11</v>
      </c>
      <c r="E753" t="s">
        <v>396</v>
      </c>
      <c r="F753">
        <v>2016</v>
      </c>
      <c r="G753" t="s">
        <v>470</v>
      </c>
      <c r="H753" s="42" t="s">
        <v>57</v>
      </c>
      <c r="J753" t="s">
        <v>248</v>
      </c>
      <c r="K753" t="s">
        <v>471</v>
      </c>
      <c r="L753" s="34">
        <v>1</v>
      </c>
      <c r="M753" s="38">
        <v>0.75</v>
      </c>
      <c r="N753" s="38">
        <f t="shared" si="11"/>
        <v>0.75</v>
      </c>
    </row>
    <row r="754" spans="1:14">
      <c r="A754" s="29">
        <v>43019</v>
      </c>
      <c r="B754" s="22" t="s">
        <v>57</v>
      </c>
      <c r="C754" s="22" t="s">
        <v>38</v>
      </c>
      <c r="D754" s="48" t="s">
        <v>5</v>
      </c>
      <c r="E754" t="s">
        <v>157</v>
      </c>
      <c r="F754">
        <v>2017</v>
      </c>
      <c r="G754" t="s">
        <v>465</v>
      </c>
      <c r="H754" s="42" t="s">
        <v>57</v>
      </c>
      <c r="J754" t="s">
        <v>248</v>
      </c>
      <c r="L754" s="34">
        <v>3</v>
      </c>
      <c r="M754" s="38">
        <v>0.75</v>
      </c>
      <c r="N754" s="38">
        <f t="shared" si="11"/>
        <v>2.25</v>
      </c>
    </row>
    <row r="755" spans="1:14">
      <c r="A755" s="29">
        <v>43019</v>
      </c>
      <c r="B755" s="22" t="s">
        <v>57</v>
      </c>
      <c r="C755" s="22" t="s">
        <v>38</v>
      </c>
      <c r="D755" s="48" t="s">
        <v>5</v>
      </c>
      <c r="E755" t="s">
        <v>157</v>
      </c>
      <c r="F755">
        <v>2017</v>
      </c>
      <c r="G755" t="s">
        <v>464</v>
      </c>
      <c r="H755" s="42" t="s">
        <v>57</v>
      </c>
      <c r="J755" t="s">
        <v>248</v>
      </c>
      <c r="L755" s="34">
        <v>3</v>
      </c>
      <c r="M755" s="38">
        <v>0.75</v>
      </c>
      <c r="N755" s="38">
        <f t="shared" si="11"/>
        <v>2.25</v>
      </c>
    </row>
    <row r="756" spans="1:14">
      <c r="A756" s="29">
        <v>43019</v>
      </c>
      <c r="B756" s="22" t="s">
        <v>57</v>
      </c>
      <c r="C756" s="22" t="s">
        <v>38</v>
      </c>
      <c r="D756" s="48" t="s">
        <v>5</v>
      </c>
      <c r="E756" t="s">
        <v>159</v>
      </c>
      <c r="F756">
        <v>2017</v>
      </c>
      <c r="G756" t="s">
        <v>465</v>
      </c>
      <c r="H756" s="42" t="s">
        <v>57</v>
      </c>
      <c r="J756" t="s">
        <v>248</v>
      </c>
      <c r="L756" s="34">
        <v>3</v>
      </c>
      <c r="M756" s="38">
        <v>0.75</v>
      </c>
      <c r="N756" s="38">
        <f t="shared" si="11"/>
        <v>2.25</v>
      </c>
    </row>
    <row r="757" spans="1:14">
      <c r="A757" s="29">
        <v>43020</v>
      </c>
      <c r="B757" s="22" t="s">
        <v>57</v>
      </c>
      <c r="C757" s="22" t="s">
        <v>53</v>
      </c>
      <c r="D757" s="48" t="s">
        <v>5</v>
      </c>
      <c r="E757" t="s">
        <v>158</v>
      </c>
      <c r="F757">
        <v>2017</v>
      </c>
      <c r="G757" t="s">
        <v>405</v>
      </c>
      <c r="H757" s="42" t="s">
        <v>57</v>
      </c>
      <c r="J757" t="s">
        <v>248</v>
      </c>
      <c r="K757" t="s">
        <v>472</v>
      </c>
      <c r="L757" s="34">
        <v>2</v>
      </c>
      <c r="M757" s="38">
        <v>0.75</v>
      </c>
      <c r="N757" s="38">
        <f t="shared" si="11"/>
        <v>1.5</v>
      </c>
    </row>
    <row r="758" spans="1:14">
      <c r="A758" s="29">
        <v>43020</v>
      </c>
      <c r="B758" s="22" t="s">
        <v>109</v>
      </c>
      <c r="C758" s="22"/>
      <c r="D758" s="48" t="s">
        <v>8</v>
      </c>
      <c r="E758" t="s">
        <v>179</v>
      </c>
      <c r="F758">
        <v>2017</v>
      </c>
      <c r="G758" t="s">
        <v>57</v>
      </c>
      <c r="H758" s="42">
        <v>206</v>
      </c>
      <c r="J758" t="s">
        <v>248</v>
      </c>
      <c r="L758" s="34">
        <v>6</v>
      </c>
      <c r="M758" s="38">
        <v>0.75</v>
      </c>
      <c r="N758" s="38">
        <f t="shared" si="11"/>
        <v>4.5</v>
      </c>
    </row>
    <row r="759" spans="1:14">
      <c r="A759" s="29">
        <v>43020</v>
      </c>
      <c r="B759" s="22" t="s">
        <v>63</v>
      </c>
      <c r="C759" s="22"/>
      <c r="D759" s="48" t="s">
        <v>5</v>
      </c>
      <c r="E759" t="s">
        <v>158</v>
      </c>
      <c r="F759">
        <v>2017</v>
      </c>
      <c r="G759" t="s">
        <v>57</v>
      </c>
      <c r="H759" s="42">
        <v>48</v>
      </c>
      <c r="J759" t="s">
        <v>248</v>
      </c>
      <c r="L759" s="34">
        <v>1</v>
      </c>
      <c r="M759" s="38">
        <v>0.75</v>
      </c>
      <c r="N759" s="38">
        <f t="shared" si="11"/>
        <v>0.75</v>
      </c>
    </row>
    <row r="760" spans="1:14">
      <c r="A760" s="29">
        <v>43020</v>
      </c>
      <c r="B760" s="22" t="s">
        <v>63</v>
      </c>
      <c r="C760" s="22"/>
      <c r="D760" s="48" t="s">
        <v>5</v>
      </c>
      <c r="E760" t="s">
        <v>158</v>
      </c>
      <c r="F760">
        <v>2017</v>
      </c>
      <c r="G760" t="s">
        <v>57</v>
      </c>
      <c r="H760" s="42">
        <v>49</v>
      </c>
      <c r="J760" t="s">
        <v>248</v>
      </c>
      <c r="L760" s="34">
        <v>1</v>
      </c>
      <c r="M760" s="38">
        <v>0.75</v>
      </c>
      <c r="N760" s="38">
        <f t="shared" si="11"/>
        <v>0.75</v>
      </c>
    </row>
    <row r="761" spans="1:14">
      <c r="A761" s="29">
        <v>43020</v>
      </c>
      <c r="B761" s="22" t="s">
        <v>63</v>
      </c>
      <c r="C761" s="22"/>
      <c r="D761" s="48" t="s">
        <v>5</v>
      </c>
      <c r="E761" t="s">
        <v>158</v>
      </c>
      <c r="F761">
        <v>2017</v>
      </c>
      <c r="G761" t="s">
        <v>57</v>
      </c>
      <c r="H761" s="42">
        <v>313</v>
      </c>
      <c r="J761" t="s">
        <v>248</v>
      </c>
      <c r="L761" s="34">
        <v>1</v>
      </c>
      <c r="M761" s="38">
        <v>0.75</v>
      </c>
      <c r="N761" s="38">
        <f t="shared" si="11"/>
        <v>0.75</v>
      </c>
    </row>
    <row r="762" spans="1:14">
      <c r="A762" s="29">
        <v>43020</v>
      </c>
      <c r="B762" s="22" t="s">
        <v>57</v>
      </c>
      <c r="C762" s="22" t="s">
        <v>45</v>
      </c>
      <c r="D762" s="48" t="s">
        <v>5</v>
      </c>
      <c r="E762" t="s">
        <v>157</v>
      </c>
      <c r="F762">
        <v>2017</v>
      </c>
      <c r="G762" t="s">
        <v>319</v>
      </c>
      <c r="H762" s="42" t="s">
        <v>57</v>
      </c>
      <c r="J762" t="s">
        <v>248</v>
      </c>
      <c r="L762" s="34">
        <v>2</v>
      </c>
      <c r="M762" s="38">
        <v>0.75</v>
      </c>
      <c r="N762" s="38">
        <f t="shared" si="11"/>
        <v>1.5</v>
      </c>
    </row>
    <row r="763" spans="1:14">
      <c r="A763" s="29">
        <v>43020</v>
      </c>
      <c r="B763" s="22" t="s">
        <v>57</v>
      </c>
      <c r="C763" s="22" t="s">
        <v>45</v>
      </c>
      <c r="D763" s="48" t="s">
        <v>5</v>
      </c>
      <c r="E763" t="s">
        <v>157</v>
      </c>
      <c r="F763">
        <v>2017</v>
      </c>
      <c r="G763" t="s">
        <v>326</v>
      </c>
      <c r="H763" s="42" t="s">
        <v>57</v>
      </c>
      <c r="J763" t="s">
        <v>248</v>
      </c>
      <c r="L763" s="34">
        <v>1</v>
      </c>
      <c r="M763" s="38">
        <v>0.75</v>
      </c>
      <c r="N763" s="38">
        <f t="shared" si="11"/>
        <v>0.75</v>
      </c>
    </row>
    <row r="764" spans="1:14">
      <c r="A764" s="29">
        <v>43020</v>
      </c>
      <c r="B764" s="22" t="s">
        <v>57</v>
      </c>
      <c r="C764" s="22" t="s">
        <v>45</v>
      </c>
      <c r="D764" s="48" t="s">
        <v>5</v>
      </c>
      <c r="E764" t="s">
        <v>157</v>
      </c>
      <c r="F764">
        <v>2017</v>
      </c>
      <c r="G764" t="s">
        <v>247</v>
      </c>
      <c r="H764" s="42" t="s">
        <v>57</v>
      </c>
      <c r="J764" t="s">
        <v>248</v>
      </c>
      <c r="L764" s="34">
        <v>2</v>
      </c>
      <c r="M764" s="38">
        <v>0.75</v>
      </c>
      <c r="N764" s="38">
        <f t="shared" si="11"/>
        <v>1.5</v>
      </c>
    </row>
    <row r="765" spans="1:14">
      <c r="A765" s="29">
        <v>43020</v>
      </c>
      <c r="B765" s="22" t="s">
        <v>57</v>
      </c>
      <c r="C765" s="22" t="s">
        <v>45</v>
      </c>
      <c r="D765" s="48" t="s">
        <v>5</v>
      </c>
      <c r="E765" t="s">
        <v>159</v>
      </c>
      <c r="F765">
        <v>2017</v>
      </c>
      <c r="G765" t="s">
        <v>319</v>
      </c>
      <c r="H765" s="42" t="s">
        <v>57</v>
      </c>
      <c r="J765" t="s">
        <v>248</v>
      </c>
      <c r="L765" s="34">
        <v>2</v>
      </c>
      <c r="M765" s="38">
        <v>0.75</v>
      </c>
      <c r="N765" s="38">
        <f t="shared" si="11"/>
        <v>1.5</v>
      </c>
    </row>
    <row r="766" spans="1:14">
      <c r="A766" s="29">
        <v>43020</v>
      </c>
      <c r="B766" s="22" t="s">
        <v>57</v>
      </c>
      <c r="C766" s="22" t="s">
        <v>45</v>
      </c>
      <c r="D766" s="48" t="s">
        <v>5</v>
      </c>
      <c r="E766" t="s">
        <v>159</v>
      </c>
      <c r="F766">
        <v>2017</v>
      </c>
      <c r="G766" t="s">
        <v>326</v>
      </c>
      <c r="H766" s="42" t="s">
        <v>57</v>
      </c>
      <c r="J766" t="s">
        <v>248</v>
      </c>
      <c r="L766" s="34">
        <v>2</v>
      </c>
      <c r="M766" s="38">
        <v>0.75</v>
      </c>
      <c r="N766" s="38">
        <f t="shared" si="11"/>
        <v>1.5</v>
      </c>
    </row>
    <row r="767" spans="1:14">
      <c r="A767" s="29">
        <v>43020</v>
      </c>
      <c r="B767" s="22" t="s">
        <v>57</v>
      </c>
      <c r="C767" s="22" t="s">
        <v>45</v>
      </c>
      <c r="D767" s="48" t="s">
        <v>5</v>
      </c>
      <c r="E767" t="s">
        <v>255</v>
      </c>
      <c r="F767">
        <v>2017</v>
      </c>
      <c r="G767" t="s">
        <v>57</v>
      </c>
      <c r="H767" s="42">
        <v>6</v>
      </c>
      <c r="J767" t="s">
        <v>248</v>
      </c>
      <c r="L767" s="34">
        <v>2</v>
      </c>
      <c r="M767" s="38">
        <v>0.75</v>
      </c>
      <c r="N767" s="38">
        <f t="shared" si="11"/>
        <v>1.5</v>
      </c>
    </row>
    <row r="768" spans="1:14">
      <c r="A768" s="29">
        <v>43024</v>
      </c>
      <c r="B768" s="22" t="s">
        <v>57</v>
      </c>
      <c r="C768" s="22" t="s">
        <v>41</v>
      </c>
      <c r="D768" s="48" t="s">
        <v>5</v>
      </c>
      <c r="E768" t="s">
        <v>157</v>
      </c>
      <c r="F768">
        <v>2017</v>
      </c>
      <c r="G768" t="s">
        <v>257</v>
      </c>
      <c r="H768" s="42" t="s">
        <v>473</v>
      </c>
      <c r="J768" t="s">
        <v>248</v>
      </c>
      <c r="L768" s="34">
        <v>3</v>
      </c>
      <c r="M768" s="38">
        <v>0.75</v>
      </c>
      <c r="N768" s="38">
        <f t="shared" si="11"/>
        <v>2.25</v>
      </c>
    </row>
    <row r="769" spans="1:14">
      <c r="A769" s="29">
        <v>43024</v>
      </c>
      <c r="B769" s="22" t="s">
        <v>57</v>
      </c>
      <c r="C769" s="22" t="s">
        <v>49</v>
      </c>
      <c r="D769" s="48" t="s">
        <v>5</v>
      </c>
      <c r="E769" t="s">
        <v>158</v>
      </c>
      <c r="F769">
        <v>2017</v>
      </c>
      <c r="G769" t="s">
        <v>57</v>
      </c>
      <c r="H769" s="42">
        <v>49</v>
      </c>
      <c r="J769" t="s">
        <v>248</v>
      </c>
      <c r="L769" s="34">
        <v>3</v>
      </c>
      <c r="M769" s="38">
        <v>0.75</v>
      </c>
      <c r="N769" s="38">
        <f t="shared" si="11"/>
        <v>2.25</v>
      </c>
    </row>
    <row r="770" spans="1:14">
      <c r="A770" s="29">
        <v>43024</v>
      </c>
      <c r="B770" s="22" t="s">
        <v>57</v>
      </c>
      <c r="C770" s="22" t="s">
        <v>49</v>
      </c>
      <c r="D770" s="48" t="s">
        <v>5</v>
      </c>
      <c r="E770" t="s">
        <v>158</v>
      </c>
      <c r="F770">
        <v>2017</v>
      </c>
      <c r="G770" t="s">
        <v>57</v>
      </c>
      <c r="H770" s="42">
        <v>313</v>
      </c>
      <c r="J770" t="s">
        <v>248</v>
      </c>
      <c r="L770" s="34">
        <v>3</v>
      </c>
      <c r="M770" s="38">
        <v>0.75</v>
      </c>
      <c r="N770" s="38">
        <f t="shared" si="11"/>
        <v>2.25</v>
      </c>
    </row>
    <row r="771" spans="1:14">
      <c r="A771" s="29">
        <v>43024</v>
      </c>
      <c r="B771" s="22" t="s">
        <v>63</v>
      </c>
      <c r="C771" s="22"/>
      <c r="D771" s="48" t="s">
        <v>5</v>
      </c>
      <c r="E771" t="s">
        <v>262</v>
      </c>
      <c r="F771">
        <v>2017</v>
      </c>
      <c r="G771" t="s">
        <v>57</v>
      </c>
      <c r="H771" s="42">
        <v>197</v>
      </c>
      <c r="J771" t="s">
        <v>248</v>
      </c>
      <c r="L771" s="34">
        <v>2</v>
      </c>
      <c r="M771" s="38">
        <v>0.75</v>
      </c>
      <c r="N771" s="38">
        <f t="shared" ref="N771:N834" si="12">M771*L771</f>
        <v>1.5</v>
      </c>
    </row>
    <row r="772" spans="1:14">
      <c r="A772" s="29">
        <v>43024</v>
      </c>
      <c r="B772" s="22" t="s">
        <v>63</v>
      </c>
      <c r="C772" s="22"/>
      <c r="D772" s="48" t="s">
        <v>5</v>
      </c>
      <c r="E772" t="s">
        <v>262</v>
      </c>
      <c r="F772">
        <v>2017</v>
      </c>
      <c r="G772" t="s">
        <v>57</v>
      </c>
      <c r="H772" s="42">
        <v>201</v>
      </c>
      <c r="J772" t="s">
        <v>248</v>
      </c>
      <c r="L772" s="34">
        <v>2</v>
      </c>
      <c r="M772" s="38">
        <v>0.75</v>
      </c>
      <c r="N772" s="38">
        <f t="shared" si="12"/>
        <v>1.5</v>
      </c>
    </row>
    <row r="773" spans="1:14">
      <c r="A773" s="29">
        <v>43024</v>
      </c>
      <c r="B773" s="22" t="s">
        <v>63</v>
      </c>
      <c r="C773" s="22"/>
      <c r="D773" s="48" t="s">
        <v>8</v>
      </c>
      <c r="E773" t="s">
        <v>272</v>
      </c>
      <c r="F773">
        <v>2017</v>
      </c>
      <c r="G773" t="s">
        <v>57</v>
      </c>
      <c r="H773" s="42">
        <v>202</v>
      </c>
      <c r="J773" t="s">
        <v>248</v>
      </c>
      <c r="L773" s="34">
        <v>2</v>
      </c>
      <c r="M773" s="38">
        <v>0.75</v>
      </c>
      <c r="N773" s="38">
        <f t="shared" si="12"/>
        <v>1.5</v>
      </c>
    </row>
    <row r="774" spans="1:14">
      <c r="A774" s="29">
        <v>43024</v>
      </c>
      <c r="B774" s="22" t="s">
        <v>63</v>
      </c>
      <c r="C774" s="22"/>
      <c r="D774" s="48" t="s">
        <v>5</v>
      </c>
      <c r="E774" t="s">
        <v>158</v>
      </c>
      <c r="F774">
        <v>2017</v>
      </c>
      <c r="G774" t="s">
        <v>57</v>
      </c>
      <c r="H774" s="42">
        <v>49</v>
      </c>
      <c r="J774" t="s">
        <v>248</v>
      </c>
      <c r="L774" s="34">
        <v>2</v>
      </c>
      <c r="M774" s="38">
        <v>0.75</v>
      </c>
      <c r="N774" s="38">
        <f t="shared" si="12"/>
        <v>1.5</v>
      </c>
    </row>
    <row r="775" spans="1:14">
      <c r="A775" s="29">
        <v>43024</v>
      </c>
      <c r="B775" s="22" t="s">
        <v>63</v>
      </c>
      <c r="C775" s="22"/>
      <c r="D775" s="48" t="s">
        <v>5</v>
      </c>
      <c r="E775" t="s">
        <v>158</v>
      </c>
      <c r="F775">
        <v>2017</v>
      </c>
      <c r="G775" t="s">
        <v>57</v>
      </c>
      <c r="H775" s="42">
        <v>313</v>
      </c>
      <c r="J775" t="s">
        <v>248</v>
      </c>
      <c r="L775" s="34">
        <v>2</v>
      </c>
      <c r="M775" s="38">
        <v>0.75</v>
      </c>
      <c r="N775" s="38">
        <f t="shared" si="12"/>
        <v>1.5</v>
      </c>
    </row>
    <row r="776" spans="1:14">
      <c r="A776" s="29">
        <v>43024</v>
      </c>
      <c r="B776" s="22" t="s">
        <v>63</v>
      </c>
      <c r="C776" s="22"/>
      <c r="D776" s="48" t="s">
        <v>5</v>
      </c>
      <c r="E776" t="s">
        <v>255</v>
      </c>
      <c r="F776">
        <v>2017</v>
      </c>
      <c r="G776" t="s">
        <v>57</v>
      </c>
      <c r="H776" s="42">
        <v>6</v>
      </c>
      <c r="J776" t="s">
        <v>248</v>
      </c>
      <c r="L776" s="34">
        <v>2</v>
      </c>
      <c r="M776" s="38">
        <v>0.75</v>
      </c>
      <c r="N776" s="38">
        <f t="shared" si="12"/>
        <v>1.5</v>
      </c>
    </row>
    <row r="777" spans="1:14">
      <c r="A777" s="29">
        <v>43024</v>
      </c>
      <c r="B777" s="22" t="s">
        <v>63</v>
      </c>
      <c r="C777" s="22"/>
      <c r="D777" s="48" t="s">
        <v>5</v>
      </c>
      <c r="E777" t="s">
        <v>255</v>
      </c>
      <c r="F777">
        <v>2017</v>
      </c>
      <c r="G777" t="s">
        <v>57</v>
      </c>
      <c r="H777" s="42">
        <v>78</v>
      </c>
      <c r="J777" t="s">
        <v>248</v>
      </c>
      <c r="L777" s="34">
        <v>2</v>
      </c>
      <c r="M777" s="38">
        <v>0.75</v>
      </c>
      <c r="N777" s="38">
        <f t="shared" si="12"/>
        <v>1.5</v>
      </c>
    </row>
    <row r="778" spans="1:14">
      <c r="A778" s="29">
        <v>43024</v>
      </c>
      <c r="B778" s="22" t="s">
        <v>63</v>
      </c>
      <c r="C778" s="22"/>
      <c r="D778" s="48" t="s">
        <v>5</v>
      </c>
      <c r="E778" t="s">
        <v>157</v>
      </c>
      <c r="F778">
        <v>2017</v>
      </c>
      <c r="G778" t="s">
        <v>319</v>
      </c>
      <c r="H778" s="42" t="s">
        <v>57</v>
      </c>
      <c r="J778" t="s">
        <v>248</v>
      </c>
      <c r="L778" s="34">
        <v>3</v>
      </c>
      <c r="M778" s="38">
        <v>0.75</v>
      </c>
      <c r="N778" s="38">
        <f t="shared" si="12"/>
        <v>2.25</v>
      </c>
    </row>
    <row r="779" spans="1:14">
      <c r="A779" s="29">
        <v>43024</v>
      </c>
      <c r="B779" s="22" t="s">
        <v>63</v>
      </c>
      <c r="C779" s="22"/>
      <c r="D779" s="48" t="s">
        <v>5</v>
      </c>
      <c r="E779" t="s">
        <v>157</v>
      </c>
      <c r="F779">
        <v>2017</v>
      </c>
      <c r="G779" t="s">
        <v>326</v>
      </c>
      <c r="H779" s="42" t="s">
        <v>57</v>
      </c>
      <c r="J779" t="s">
        <v>248</v>
      </c>
      <c r="L779" s="34">
        <v>3</v>
      </c>
      <c r="M779" s="38">
        <v>0.75</v>
      </c>
      <c r="N779" s="38">
        <f t="shared" si="12"/>
        <v>2.25</v>
      </c>
    </row>
    <row r="780" spans="1:14">
      <c r="A780" s="29">
        <v>43024</v>
      </c>
      <c r="B780" s="22" t="s">
        <v>63</v>
      </c>
      <c r="C780" s="22"/>
      <c r="D780" s="48" t="s">
        <v>5</v>
      </c>
      <c r="E780" t="s">
        <v>157</v>
      </c>
      <c r="F780">
        <v>2017</v>
      </c>
      <c r="G780" t="s">
        <v>247</v>
      </c>
      <c r="H780" s="42" t="s">
        <v>57</v>
      </c>
      <c r="J780" t="s">
        <v>248</v>
      </c>
      <c r="L780" s="34">
        <v>3</v>
      </c>
      <c r="M780" s="38">
        <v>0.75</v>
      </c>
      <c r="N780" s="38">
        <f t="shared" si="12"/>
        <v>2.25</v>
      </c>
    </row>
    <row r="781" spans="1:14">
      <c r="A781" s="29">
        <v>43024</v>
      </c>
      <c r="B781" s="22" t="s">
        <v>63</v>
      </c>
      <c r="C781" s="22"/>
      <c r="D781" s="48" t="s">
        <v>5</v>
      </c>
      <c r="E781" t="s">
        <v>159</v>
      </c>
      <c r="F781">
        <v>2017</v>
      </c>
      <c r="G781" t="s">
        <v>319</v>
      </c>
      <c r="H781" s="42" t="s">
        <v>57</v>
      </c>
      <c r="J781" t="s">
        <v>248</v>
      </c>
      <c r="L781" s="34">
        <v>3</v>
      </c>
      <c r="M781" s="38">
        <v>0.75</v>
      </c>
      <c r="N781" s="38">
        <f t="shared" si="12"/>
        <v>2.25</v>
      </c>
    </row>
    <row r="782" spans="1:14">
      <c r="A782" s="29">
        <v>43024</v>
      </c>
      <c r="B782" s="22" t="s">
        <v>63</v>
      </c>
      <c r="C782" s="22"/>
      <c r="D782" s="48" t="s">
        <v>5</v>
      </c>
      <c r="E782" t="s">
        <v>159</v>
      </c>
      <c r="F782">
        <v>2017</v>
      </c>
      <c r="G782" t="s">
        <v>326</v>
      </c>
      <c r="H782" s="42" t="s">
        <v>57</v>
      </c>
      <c r="J782" t="s">
        <v>248</v>
      </c>
      <c r="L782" s="34">
        <v>2</v>
      </c>
      <c r="M782" s="38">
        <v>0.75</v>
      </c>
      <c r="N782" s="38">
        <f t="shared" si="12"/>
        <v>1.5</v>
      </c>
    </row>
    <row r="783" spans="1:14">
      <c r="A783" s="29">
        <v>43025</v>
      </c>
      <c r="B783" s="22" t="s">
        <v>44</v>
      </c>
      <c r="C783" s="22" t="s">
        <v>47</v>
      </c>
      <c r="D783" s="48" t="s">
        <v>5</v>
      </c>
      <c r="E783" t="s">
        <v>255</v>
      </c>
      <c r="F783">
        <v>2017</v>
      </c>
      <c r="G783" t="s">
        <v>57</v>
      </c>
      <c r="H783" s="42">
        <v>6</v>
      </c>
      <c r="J783" t="s">
        <v>248</v>
      </c>
      <c r="L783" s="34">
        <v>2</v>
      </c>
      <c r="M783" s="38">
        <v>0.75</v>
      </c>
      <c r="N783" s="38">
        <f t="shared" si="12"/>
        <v>1.5</v>
      </c>
    </row>
    <row r="784" spans="1:14">
      <c r="A784" s="29">
        <v>43025</v>
      </c>
      <c r="B784" s="22" t="s">
        <v>44</v>
      </c>
      <c r="C784" s="22" t="s">
        <v>47</v>
      </c>
      <c r="D784" s="48" t="s">
        <v>5</v>
      </c>
      <c r="E784" t="s">
        <v>255</v>
      </c>
      <c r="F784">
        <v>2017</v>
      </c>
      <c r="G784" t="s">
        <v>57</v>
      </c>
      <c r="H784" s="42">
        <v>78</v>
      </c>
      <c r="J784" t="s">
        <v>248</v>
      </c>
      <c r="L784" s="34">
        <v>2</v>
      </c>
      <c r="M784" s="38">
        <v>0.75</v>
      </c>
      <c r="N784" s="38">
        <f t="shared" si="12"/>
        <v>1.5</v>
      </c>
    </row>
    <row r="785" spans="1:14">
      <c r="A785" s="29">
        <v>43025</v>
      </c>
      <c r="B785" s="22" t="s">
        <v>44</v>
      </c>
      <c r="C785" s="22" t="s">
        <v>47</v>
      </c>
      <c r="D785" s="48" t="s">
        <v>5</v>
      </c>
      <c r="E785" t="s">
        <v>255</v>
      </c>
      <c r="F785">
        <v>2017</v>
      </c>
      <c r="G785" t="s">
        <v>57</v>
      </c>
      <c r="H785" s="42">
        <v>54</v>
      </c>
      <c r="J785" t="s">
        <v>248</v>
      </c>
      <c r="L785" s="34">
        <v>2</v>
      </c>
      <c r="M785" s="38">
        <v>0.75</v>
      </c>
      <c r="N785" s="38">
        <f t="shared" si="12"/>
        <v>1.5</v>
      </c>
    </row>
    <row r="786" spans="1:14">
      <c r="A786" s="29">
        <v>43025</v>
      </c>
      <c r="B786" s="22" t="s">
        <v>44</v>
      </c>
      <c r="C786" s="22" t="s">
        <v>47</v>
      </c>
      <c r="D786" s="48" t="s">
        <v>5</v>
      </c>
      <c r="E786" t="s">
        <v>255</v>
      </c>
      <c r="F786">
        <v>2017</v>
      </c>
      <c r="G786" t="s">
        <v>57</v>
      </c>
      <c r="H786" s="42">
        <v>84</v>
      </c>
      <c r="J786" t="s">
        <v>248</v>
      </c>
      <c r="L786" s="34">
        <v>2</v>
      </c>
      <c r="M786" s="38">
        <v>0.75</v>
      </c>
      <c r="N786" s="38">
        <f t="shared" si="12"/>
        <v>1.5</v>
      </c>
    </row>
    <row r="787" spans="1:14">
      <c r="A787" s="29">
        <v>43025</v>
      </c>
      <c r="B787" s="22" t="s">
        <v>44</v>
      </c>
      <c r="C787" s="22" t="s">
        <v>47</v>
      </c>
      <c r="D787" s="48" t="s">
        <v>5</v>
      </c>
      <c r="E787" t="s">
        <v>161</v>
      </c>
      <c r="F787">
        <v>2017</v>
      </c>
      <c r="G787" t="s">
        <v>57</v>
      </c>
      <c r="H787" s="42">
        <v>80</v>
      </c>
      <c r="J787" t="s">
        <v>248</v>
      </c>
      <c r="L787" s="34">
        <v>2</v>
      </c>
      <c r="M787" s="38">
        <v>0.75</v>
      </c>
      <c r="N787" s="38">
        <f t="shared" si="12"/>
        <v>1.5</v>
      </c>
    </row>
    <row r="788" spans="1:14">
      <c r="A788" s="29">
        <v>43025</v>
      </c>
      <c r="B788" s="22" t="s">
        <v>44</v>
      </c>
      <c r="C788" s="22" t="s">
        <v>47</v>
      </c>
      <c r="D788" s="48" t="s">
        <v>5</v>
      </c>
      <c r="E788" t="s">
        <v>161</v>
      </c>
      <c r="F788">
        <v>2017</v>
      </c>
      <c r="G788" t="s">
        <v>57</v>
      </c>
      <c r="H788" s="42">
        <v>26</v>
      </c>
      <c r="J788" t="s">
        <v>248</v>
      </c>
      <c r="L788" s="34">
        <v>2</v>
      </c>
      <c r="M788" s="38">
        <v>0.75</v>
      </c>
      <c r="N788" s="38">
        <f t="shared" si="12"/>
        <v>1.5</v>
      </c>
    </row>
    <row r="789" spans="1:14">
      <c r="A789" s="29">
        <v>43025</v>
      </c>
      <c r="B789" s="22" t="s">
        <v>27</v>
      </c>
      <c r="C789" s="22" t="s">
        <v>47</v>
      </c>
      <c r="D789" s="48" t="s">
        <v>5</v>
      </c>
      <c r="E789" t="s">
        <v>157</v>
      </c>
      <c r="F789">
        <v>2017</v>
      </c>
      <c r="G789" t="s">
        <v>319</v>
      </c>
      <c r="H789" s="42" t="s">
        <v>57</v>
      </c>
      <c r="J789" t="s">
        <v>248</v>
      </c>
      <c r="L789" s="34">
        <v>2</v>
      </c>
      <c r="M789" s="38">
        <v>0.75</v>
      </c>
      <c r="N789" s="38">
        <f t="shared" si="12"/>
        <v>1.5</v>
      </c>
    </row>
    <row r="790" spans="1:14">
      <c r="A790" s="29">
        <v>43025</v>
      </c>
      <c r="B790" s="22" t="s">
        <v>27</v>
      </c>
      <c r="C790" s="22" t="s">
        <v>47</v>
      </c>
      <c r="D790" s="48" t="s">
        <v>5</v>
      </c>
      <c r="E790" t="s">
        <v>157</v>
      </c>
      <c r="F790">
        <v>2017</v>
      </c>
      <c r="G790" t="s">
        <v>326</v>
      </c>
      <c r="H790" s="42" t="s">
        <v>57</v>
      </c>
      <c r="J790" t="s">
        <v>248</v>
      </c>
      <c r="L790" s="34">
        <v>2</v>
      </c>
      <c r="M790" s="38">
        <v>0.75</v>
      </c>
      <c r="N790" s="38">
        <f t="shared" si="12"/>
        <v>1.5</v>
      </c>
    </row>
    <row r="791" spans="1:14">
      <c r="A791" s="29">
        <v>43025</v>
      </c>
      <c r="B791" s="22" t="s">
        <v>27</v>
      </c>
      <c r="C791" s="22" t="s">
        <v>47</v>
      </c>
      <c r="D791" s="48" t="s">
        <v>5</v>
      </c>
      <c r="E791" t="s">
        <v>157</v>
      </c>
      <c r="F791">
        <v>2017</v>
      </c>
      <c r="G791" t="s">
        <v>247</v>
      </c>
      <c r="H791" s="42" t="s">
        <v>57</v>
      </c>
      <c r="J791" t="s">
        <v>248</v>
      </c>
      <c r="L791" s="34">
        <v>2</v>
      </c>
      <c r="M791" s="38">
        <v>0.75</v>
      </c>
      <c r="N791" s="38">
        <f t="shared" si="12"/>
        <v>1.5</v>
      </c>
    </row>
    <row r="792" spans="1:14">
      <c r="A792" s="29">
        <v>43025</v>
      </c>
      <c r="B792" s="22" t="s">
        <v>33</v>
      </c>
      <c r="C792" s="22" t="s">
        <v>34</v>
      </c>
      <c r="D792" s="48" t="s">
        <v>5</v>
      </c>
      <c r="E792" t="s">
        <v>157</v>
      </c>
      <c r="F792">
        <v>2017</v>
      </c>
      <c r="G792" t="s">
        <v>257</v>
      </c>
      <c r="H792" s="42" t="s">
        <v>57</v>
      </c>
      <c r="J792" t="s">
        <v>248</v>
      </c>
      <c r="K792" t="s">
        <v>474</v>
      </c>
      <c r="L792" s="34">
        <v>1</v>
      </c>
      <c r="M792" s="38">
        <v>0.75</v>
      </c>
      <c r="N792" s="38">
        <f t="shared" si="12"/>
        <v>0.75</v>
      </c>
    </row>
    <row r="793" spans="1:14">
      <c r="A793" s="29">
        <v>43025</v>
      </c>
      <c r="B793" s="22" t="s">
        <v>33</v>
      </c>
      <c r="C793" s="22" t="s">
        <v>34</v>
      </c>
      <c r="D793" s="48" t="s">
        <v>5</v>
      </c>
      <c r="E793" t="s">
        <v>157</v>
      </c>
      <c r="F793">
        <v>2017</v>
      </c>
      <c r="G793" t="s">
        <v>475</v>
      </c>
      <c r="H793" s="42" t="s">
        <v>57</v>
      </c>
      <c r="J793" t="s">
        <v>248</v>
      </c>
      <c r="K793" t="s">
        <v>476</v>
      </c>
      <c r="L793" s="34">
        <v>1</v>
      </c>
      <c r="M793" s="38">
        <v>0.75</v>
      </c>
      <c r="N793" s="38">
        <f t="shared" si="12"/>
        <v>0.75</v>
      </c>
    </row>
    <row r="794" spans="1:14">
      <c r="A794" s="29">
        <v>43025</v>
      </c>
      <c r="B794" s="22" t="s">
        <v>33</v>
      </c>
      <c r="C794" s="22" t="s">
        <v>34</v>
      </c>
      <c r="D794" s="48" t="s">
        <v>5</v>
      </c>
      <c r="E794" t="s">
        <v>157</v>
      </c>
      <c r="F794">
        <v>2017</v>
      </c>
      <c r="G794" t="s">
        <v>326</v>
      </c>
      <c r="H794" s="42" t="s">
        <v>57</v>
      </c>
      <c r="J794" t="s">
        <v>248</v>
      </c>
      <c r="L794" s="34">
        <v>1</v>
      </c>
      <c r="M794" s="38">
        <v>0.75</v>
      </c>
      <c r="N794" s="38">
        <f t="shared" si="12"/>
        <v>0.75</v>
      </c>
    </row>
    <row r="795" spans="1:14">
      <c r="A795" s="29">
        <v>43025</v>
      </c>
      <c r="B795" s="22" t="s">
        <v>33</v>
      </c>
      <c r="C795" s="22" t="s">
        <v>34</v>
      </c>
      <c r="D795" s="48" t="s">
        <v>5</v>
      </c>
      <c r="E795" t="s">
        <v>157</v>
      </c>
      <c r="F795">
        <v>2017</v>
      </c>
      <c r="G795" t="s">
        <v>247</v>
      </c>
      <c r="H795" s="42" t="s">
        <v>57</v>
      </c>
      <c r="J795" t="s">
        <v>248</v>
      </c>
      <c r="L795" s="34">
        <v>1</v>
      </c>
      <c r="M795" s="38">
        <v>0.75</v>
      </c>
      <c r="N795" s="38">
        <f t="shared" si="12"/>
        <v>0.75</v>
      </c>
    </row>
    <row r="796" spans="1:14">
      <c r="A796" s="29">
        <v>43025</v>
      </c>
      <c r="B796" s="22" t="s">
        <v>33</v>
      </c>
      <c r="C796" s="22" t="s">
        <v>34</v>
      </c>
      <c r="D796" s="48" t="s">
        <v>8</v>
      </c>
      <c r="E796" t="s">
        <v>273</v>
      </c>
      <c r="F796">
        <v>2017</v>
      </c>
      <c r="G796" t="s">
        <v>357</v>
      </c>
      <c r="H796" s="42" t="s">
        <v>57</v>
      </c>
      <c r="J796" t="s">
        <v>248</v>
      </c>
      <c r="K796" t="s">
        <v>477</v>
      </c>
      <c r="L796" s="34">
        <v>1</v>
      </c>
      <c r="M796" s="38">
        <v>0.75</v>
      </c>
      <c r="N796" s="38">
        <f t="shared" si="12"/>
        <v>0.75</v>
      </c>
    </row>
    <row r="797" spans="1:14">
      <c r="A797" s="29">
        <v>43025</v>
      </c>
      <c r="B797" s="22" t="s">
        <v>33</v>
      </c>
      <c r="C797" s="22" t="s">
        <v>34</v>
      </c>
      <c r="D797" s="48" t="s">
        <v>8</v>
      </c>
      <c r="E797" t="s">
        <v>273</v>
      </c>
      <c r="F797">
        <v>2017</v>
      </c>
      <c r="G797" t="s">
        <v>359</v>
      </c>
      <c r="H797" s="42" t="s">
        <v>57</v>
      </c>
      <c r="J797" t="s">
        <v>248</v>
      </c>
      <c r="K797" t="s">
        <v>478</v>
      </c>
      <c r="L797" s="34">
        <v>1</v>
      </c>
      <c r="M797" s="38">
        <v>0.75</v>
      </c>
      <c r="N797" s="38">
        <f t="shared" si="12"/>
        <v>0.75</v>
      </c>
    </row>
    <row r="798" spans="1:14">
      <c r="A798" s="29">
        <v>43025</v>
      </c>
      <c r="B798" s="22" t="s">
        <v>119</v>
      </c>
      <c r="C798" s="22" t="s">
        <v>34</v>
      </c>
      <c r="D798" s="48" t="s">
        <v>8</v>
      </c>
      <c r="E798" t="s">
        <v>479</v>
      </c>
      <c r="F798">
        <v>2017</v>
      </c>
      <c r="G798" t="s">
        <v>57</v>
      </c>
      <c r="H798" s="42">
        <v>202</v>
      </c>
      <c r="J798" t="s">
        <v>248</v>
      </c>
      <c r="L798" s="34">
        <v>3</v>
      </c>
      <c r="M798" s="38">
        <v>0.75</v>
      </c>
      <c r="N798" s="38">
        <f t="shared" si="12"/>
        <v>2.25</v>
      </c>
    </row>
    <row r="799" spans="1:14">
      <c r="A799" s="29">
        <v>43026</v>
      </c>
      <c r="B799" s="22" t="s">
        <v>57</v>
      </c>
      <c r="C799" s="22" t="s">
        <v>22</v>
      </c>
      <c r="D799" s="48" t="s">
        <v>5</v>
      </c>
      <c r="E799" t="s">
        <v>159</v>
      </c>
      <c r="F799">
        <v>2017</v>
      </c>
      <c r="G799" t="s">
        <v>319</v>
      </c>
      <c r="H799" s="42" t="s">
        <v>57</v>
      </c>
      <c r="J799" t="s">
        <v>248</v>
      </c>
      <c r="L799" s="34">
        <v>2</v>
      </c>
      <c r="M799" s="38">
        <v>0.75</v>
      </c>
      <c r="N799" s="38">
        <f t="shared" si="12"/>
        <v>1.5</v>
      </c>
    </row>
    <row r="800" spans="1:14">
      <c r="A800" s="29">
        <v>43026</v>
      </c>
      <c r="B800" s="22" t="s">
        <v>57</v>
      </c>
      <c r="C800" s="22" t="s">
        <v>22</v>
      </c>
      <c r="D800" s="48" t="s">
        <v>5</v>
      </c>
      <c r="E800" t="s">
        <v>157</v>
      </c>
      <c r="F800">
        <v>2017</v>
      </c>
      <c r="G800" t="s">
        <v>319</v>
      </c>
      <c r="H800" s="42">
        <v>75</v>
      </c>
      <c r="J800" t="s">
        <v>248</v>
      </c>
      <c r="L800" s="34">
        <v>2</v>
      </c>
      <c r="M800" s="38">
        <v>0.75</v>
      </c>
      <c r="N800" s="38">
        <f t="shared" si="12"/>
        <v>1.5</v>
      </c>
    </row>
    <row r="801" spans="1:14">
      <c r="A801" s="29">
        <v>43026</v>
      </c>
      <c r="B801" s="22" t="s">
        <v>57</v>
      </c>
      <c r="C801" s="22" t="s">
        <v>22</v>
      </c>
      <c r="D801" s="48" t="s">
        <v>5</v>
      </c>
      <c r="E801" t="s">
        <v>157</v>
      </c>
      <c r="F801">
        <v>2017</v>
      </c>
      <c r="G801" t="s">
        <v>326</v>
      </c>
      <c r="H801" s="42" t="s">
        <v>57</v>
      </c>
      <c r="J801" t="s">
        <v>248</v>
      </c>
      <c r="L801" s="34">
        <v>2</v>
      </c>
      <c r="M801" s="38">
        <v>0.75</v>
      </c>
      <c r="N801" s="38">
        <f t="shared" si="12"/>
        <v>1.5</v>
      </c>
    </row>
    <row r="802" spans="1:14">
      <c r="A802" s="29">
        <v>43027</v>
      </c>
      <c r="B802" s="22" t="s">
        <v>119</v>
      </c>
      <c r="C802" s="22" t="s">
        <v>34</v>
      </c>
      <c r="D802" s="48" t="s">
        <v>8</v>
      </c>
      <c r="E802" t="s">
        <v>479</v>
      </c>
      <c r="F802">
        <v>2017</v>
      </c>
      <c r="G802" t="s">
        <v>480</v>
      </c>
      <c r="H802" s="42" t="s">
        <v>57</v>
      </c>
      <c r="J802" t="s">
        <v>248</v>
      </c>
      <c r="K802" t="s">
        <v>481</v>
      </c>
      <c r="L802" s="34">
        <v>4</v>
      </c>
      <c r="M802" s="38">
        <v>0.75</v>
      </c>
      <c r="N802" s="38">
        <f t="shared" si="12"/>
        <v>3</v>
      </c>
    </row>
    <row r="803" spans="1:14">
      <c r="A803" s="29">
        <v>43027</v>
      </c>
      <c r="B803" s="22" t="s">
        <v>109</v>
      </c>
      <c r="C803" s="22" t="s">
        <v>57</v>
      </c>
      <c r="D803" s="48" t="s">
        <v>5</v>
      </c>
      <c r="E803" t="s">
        <v>159</v>
      </c>
      <c r="F803">
        <v>2017</v>
      </c>
      <c r="G803" t="s">
        <v>326</v>
      </c>
      <c r="H803" s="42">
        <v>423</v>
      </c>
      <c r="J803" t="s">
        <v>248</v>
      </c>
      <c r="L803" s="34">
        <v>2</v>
      </c>
      <c r="M803" s="38">
        <v>0.75</v>
      </c>
      <c r="N803" s="38">
        <f t="shared" si="12"/>
        <v>1.5</v>
      </c>
    </row>
    <row r="804" spans="1:14">
      <c r="A804" s="29">
        <v>43027</v>
      </c>
      <c r="B804" s="22" t="s">
        <v>77</v>
      </c>
      <c r="C804" s="22" t="s">
        <v>47</v>
      </c>
      <c r="D804" s="48" t="s">
        <v>8</v>
      </c>
      <c r="E804" t="s">
        <v>482</v>
      </c>
      <c r="F804">
        <v>2017</v>
      </c>
      <c r="G804" t="s">
        <v>480</v>
      </c>
      <c r="H804" s="42" t="s">
        <v>57</v>
      </c>
      <c r="J804" t="s">
        <v>248</v>
      </c>
      <c r="K804" t="s">
        <v>481</v>
      </c>
      <c r="L804" s="34">
        <v>2</v>
      </c>
      <c r="M804" s="38">
        <v>0.75</v>
      </c>
      <c r="N804" s="38">
        <f t="shared" si="12"/>
        <v>1.5</v>
      </c>
    </row>
    <row r="805" spans="1:14">
      <c r="A805" s="29">
        <v>43028</v>
      </c>
      <c r="B805" s="22" t="s">
        <v>28</v>
      </c>
      <c r="C805" s="22" t="s">
        <v>271</v>
      </c>
      <c r="D805" s="48" t="s">
        <v>8</v>
      </c>
      <c r="E805" t="s">
        <v>272</v>
      </c>
      <c r="F805">
        <v>2017</v>
      </c>
      <c r="G805" t="s">
        <v>357</v>
      </c>
      <c r="H805" s="42" t="s">
        <v>57</v>
      </c>
      <c r="J805" t="s">
        <v>248</v>
      </c>
      <c r="K805" t="s">
        <v>480</v>
      </c>
      <c r="L805" s="34">
        <v>6</v>
      </c>
      <c r="M805" s="38">
        <v>0.75</v>
      </c>
      <c r="N805" s="38">
        <f t="shared" si="12"/>
        <v>4.5</v>
      </c>
    </row>
    <row r="806" spans="1:14">
      <c r="A806" s="29">
        <v>43028</v>
      </c>
      <c r="B806" s="22" t="s">
        <v>28</v>
      </c>
      <c r="C806" s="22" t="s">
        <v>271</v>
      </c>
      <c r="D806" s="48" t="s">
        <v>8</v>
      </c>
      <c r="E806" t="s">
        <v>272</v>
      </c>
      <c r="F806">
        <v>2017</v>
      </c>
      <c r="G806" t="s">
        <v>359</v>
      </c>
      <c r="H806" s="42" t="s">
        <v>57</v>
      </c>
      <c r="J806" t="s">
        <v>248</v>
      </c>
      <c r="K806" t="s">
        <v>483</v>
      </c>
      <c r="L806" s="34">
        <v>6</v>
      </c>
      <c r="M806" s="38">
        <v>0.75</v>
      </c>
      <c r="N806" s="38">
        <f t="shared" si="12"/>
        <v>4.5</v>
      </c>
    </row>
    <row r="807" spans="1:14">
      <c r="A807" s="29">
        <v>43031</v>
      </c>
      <c r="B807" s="22" t="s">
        <v>28</v>
      </c>
      <c r="C807" s="22" t="s">
        <v>271</v>
      </c>
      <c r="D807" s="48" t="s">
        <v>5</v>
      </c>
      <c r="E807" t="s">
        <v>158</v>
      </c>
      <c r="F807">
        <v>2017</v>
      </c>
      <c r="G807" t="s">
        <v>57</v>
      </c>
      <c r="H807" s="42">
        <v>313</v>
      </c>
      <c r="J807" t="s">
        <v>248</v>
      </c>
      <c r="L807" s="34">
        <v>6</v>
      </c>
      <c r="M807" s="38">
        <v>0.75</v>
      </c>
      <c r="N807" s="38">
        <f t="shared" si="12"/>
        <v>4.5</v>
      </c>
    </row>
    <row r="808" spans="1:14">
      <c r="A808" s="29">
        <v>43031</v>
      </c>
      <c r="B808" s="22" t="s">
        <v>28</v>
      </c>
      <c r="C808" s="22" t="s">
        <v>271</v>
      </c>
      <c r="D808" s="48" t="s">
        <v>5</v>
      </c>
      <c r="E808" t="s">
        <v>158</v>
      </c>
      <c r="F808">
        <v>2017</v>
      </c>
      <c r="G808" t="s">
        <v>57</v>
      </c>
      <c r="H808" s="42">
        <v>79</v>
      </c>
      <c r="J808" t="s">
        <v>248</v>
      </c>
      <c r="L808" s="34">
        <v>6</v>
      </c>
      <c r="M808" s="38">
        <v>0.75</v>
      </c>
      <c r="N808" s="38">
        <f t="shared" si="12"/>
        <v>4.5</v>
      </c>
    </row>
    <row r="809" spans="1:14">
      <c r="A809" s="29">
        <v>43031</v>
      </c>
      <c r="B809" s="22" t="s">
        <v>110</v>
      </c>
      <c r="C809" s="22" t="s">
        <v>57</v>
      </c>
      <c r="D809" s="48" t="s">
        <v>5</v>
      </c>
      <c r="E809" t="s">
        <v>157</v>
      </c>
      <c r="F809">
        <v>2017</v>
      </c>
      <c r="G809" t="s">
        <v>319</v>
      </c>
      <c r="H809" s="42">
        <v>14</v>
      </c>
      <c r="J809" t="s">
        <v>248</v>
      </c>
      <c r="L809" s="34">
        <v>2</v>
      </c>
      <c r="M809" s="38">
        <v>0.75</v>
      </c>
      <c r="N809" s="38">
        <f t="shared" si="12"/>
        <v>1.5</v>
      </c>
    </row>
    <row r="810" spans="1:14">
      <c r="A810" s="29">
        <v>43031</v>
      </c>
      <c r="B810" s="22" t="s">
        <v>110</v>
      </c>
      <c r="C810" s="22" t="s">
        <v>57</v>
      </c>
      <c r="D810" s="48" t="s">
        <v>5</v>
      </c>
      <c r="E810" t="s">
        <v>157</v>
      </c>
      <c r="F810">
        <v>2017</v>
      </c>
      <c r="G810" t="s">
        <v>326</v>
      </c>
      <c r="H810" s="42" t="s">
        <v>57</v>
      </c>
      <c r="J810" t="s">
        <v>248</v>
      </c>
      <c r="L810" s="34">
        <v>2</v>
      </c>
      <c r="M810" s="38">
        <v>0.75</v>
      </c>
      <c r="N810" s="38">
        <f t="shared" si="12"/>
        <v>1.5</v>
      </c>
    </row>
    <row r="811" spans="1:14">
      <c r="A811" s="29">
        <v>43031</v>
      </c>
      <c r="B811" s="22" t="s">
        <v>110</v>
      </c>
      <c r="C811" s="22" t="s">
        <v>57</v>
      </c>
      <c r="D811" s="48" t="s">
        <v>5</v>
      </c>
      <c r="E811" t="s">
        <v>157</v>
      </c>
      <c r="F811">
        <v>2017</v>
      </c>
      <c r="G811" t="s">
        <v>247</v>
      </c>
      <c r="H811" s="42" t="s">
        <v>57</v>
      </c>
      <c r="J811" t="s">
        <v>248</v>
      </c>
      <c r="L811" s="34">
        <v>2</v>
      </c>
      <c r="M811" s="38">
        <v>0.75</v>
      </c>
      <c r="N811" s="38">
        <f t="shared" si="12"/>
        <v>1.5</v>
      </c>
    </row>
    <row r="812" spans="1:14">
      <c r="A812" s="29">
        <v>43031</v>
      </c>
      <c r="B812" s="22" t="s">
        <v>110</v>
      </c>
      <c r="C812" s="22" t="s">
        <v>57</v>
      </c>
      <c r="D812" s="48" t="s">
        <v>5</v>
      </c>
      <c r="E812" t="s">
        <v>159</v>
      </c>
      <c r="F812">
        <v>2017</v>
      </c>
      <c r="G812" t="s">
        <v>319</v>
      </c>
      <c r="H812" s="42" t="s">
        <v>57</v>
      </c>
      <c r="J812" t="s">
        <v>248</v>
      </c>
      <c r="L812" s="34">
        <v>2</v>
      </c>
      <c r="M812" s="38">
        <v>0.75</v>
      </c>
      <c r="N812" s="38">
        <f t="shared" si="12"/>
        <v>1.5</v>
      </c>
    </row>
    <row r="813" spans="1:14">
      <c r="A813" s="29">
        <v>43031</v>
      </c>
      <c r="B813" s="22" t="s">
        <v>110</v>
      </c>
      <c r="C813" s="22" t="s">
        <v>57</v>
      </c>
      <c r="D813" s="48" t="s">
        <v>8</v>
      </c>
      <c r="E813" t="s">
        <v>272</v>
      </c>
      <c r="F813">
        <v>2017</v>
      </c>
      <c r="G813" t="s">
        <v>357</v>
      </c>
      <c r="H813" s="42" t="s">
        <v>57</v>
      </c>
      <c r="J813" t="s">
        <v>248</v>
      </c>
      <c r="K813" t="s">
        <v>480</v>
      </c>
      <c r="L813" s="34">
        <v>2</v>
      </c>
      <c r="M813" s="38">
        <v>0.75</v>
      </c>
      <c r="N813" s="38">
        <f t="shared" si="12"/>
        <v>1.5</v>
      </c>
    </row>
    <row r="814" spans="1:14">
      <c r="A814" s="29">
        <v>43031</v>
      </c>
      <c r="B814" s="22" t="s">
        <v>110</v>
      </c>
      <c r="C814" s="22" t="s">
        <v>57</v>
      </c>
      <c r="D814" s="48" t="s">
        <v>8</v>
      </c>
      <c r="E814" t="s">
        <v>272</v>
      </c>
      <c r="F814">
        <v>2017</v>
      </c>
      <c r="G814" t="s">
        <v>359</v>
      </c>
      <c r="H814" s="42" t="s">
        <v>57</v>
      </c>
      <c r="J814" t="s">
        <v>248</v>
      </c>
      <c r="K814" t="s">
        <v>483</v>
      </c>
      <c r="L814" s="34">
        <v>2</v>
      </c>
      <c r="M814" s="38">
        <v>0.75</v>
      </c>
      <c r="N814" s="38">
        <f t="shared" si="12"/>
        <v>1.5</v>
      </c>
    </row>
    <row r="815" spans="1:14">
      <c r="A815" s="29">
        <v>43031</v>
      </c>
      <c r="B815" s="22" t="s">
        <v>81</v>
      </c>
      <c r="C815" s="22" t="s">
        <v>57</v>
      </c>
      <c r="D815" s="48" t="s">
        <v>5</v>
      </c>
      <c r="E815" t="s">
        <v>159</v>
      </c>
      <c r="F815">
        <v>2017</v>
      </c>
      <c r="G815" t="s">
        <v>319</v>
      </c>
      <c r="H815" s="42" t="s">
        <v>57</v>
      </c>
      <c r="J815" t="s">
        <v>248</v>
      </c>
      <c r="L815" s="34">
        <v>2</v>
      </c>
      <c r="M815" s="38">
        <v>0.75</v>
      </c>
      <c r="N815" s="38">
        <f t="shared" si="12"/>
        <v>1.5</v>
      </c>
    </row>
    <row r="816" spans="1:14">
      <c r="A816" s="29">
        <v>43031</v>
      </c>
      <c r="B816" s="22" t="s">
        <v>81</v>
      </c>
      <c r="C816" s="22" t="s">
        <v>57</v>
      </c>
      <c r="D816" s="48" t="s">
        <v>5</v>
      </c>
      <c r="E816" t="s">
        <v>157</v>
      </c>
      <c r="F816">
        <v>2017</v>
      </c>
      <c r="G816" t="s">
        <v>319</v>
      </c>
      <c r="H816" s="42" t="s">
        <v>57</v>
      </c>
      <c r="J816" t="s">
        <v>248</v>
      </c>
      <c r="L816" s="34">
        <v>1</v>
      </c>
      <c r="M816" s="38">
        <v>0.75</v>
      </c>
      <c r="N816" s="38">
        <f t="shared" si="12"/>
        <v>0.75</v>
      </c>
    </row>
    <row r="817" spans="1:14">
      <c r="A817" s="29">
        <v>43031</v>
      </c>
      <c r="B817" s="22" t="s">
        <v>81</v>
      </c>
      <c r="C817" s="22" t="s">
        <v>57</v>
      </c>
      <c r="D817" s="48" t="s">
        <v>5</v>
      </c>
      <c r="E817" t="s">
        <v>157</v>
      </c>
      <c r="F817">
        <v>2017</v>
      </c>
      <c r="G817" t="s">
        <v>326</v>
      </c>
      <c r="H817" s="42" t="s">
        <v>57</v>
      </c>
      <c r="J817" t="s">
        <v>248</v>
      </c>
      <c r="L817" s="34">
        <v>2</v>
      </c>
      <c r="M817" s="38">
        <v>0.75</v>
      </c>
      <c r="N817" s="38">
        <f t="shared" si="12"/>
        <v>1.5</v>
      </c>
    </row>
    <row r="818" spans="1:14">
      <c r="A818" s="29">
        <v>43031</v>
      </c>
      <c r="B818" s="22" t="s">
        <v>81</v>
      </c>
      <c r="C818" s="22" t="s">
        <v>57</v>
      </c>
      <c r="D818" s="48" t="s">
        <v>5</v>
      </c>
      <c r="E818" t="s">
        <v>158</v>
      </c>
      <c r="F818">
        <v>2017</v>
      </c>
      <c r="G818" t="s">
        <v>57</v>
      </c>
      <c r="H818" s="42">
        <v>313</v>
      </c>
      <c r="J818" t="s">
        <v>248</v>
      </c>
      <c r="L818" s="34">
        <v>2</v>
      </c>
      <c r="M818" s="38">
        <v>0.75</v>
      </c>
      <c r="N818" s="38">
        <f t="shared" si="12"/>
        <v>1.5</v>
      </c>
    </row>
    <row r="819" spans="1:14">
      <c r="A819" s="29">
        <v>43031</v>
      </c>
      <c r="B819" s="22" t="s">
        <v>81</v>
      </c>
      <c r="C819" s="22" t="s">
        <v>57</v>
      </c>
      <c r="D819" s="48" t="s">
        <v>5</v>
      </c>
      <c r="E819" t="s">
        <v>255</v>
      </c>
      <c r="F819">
        <v>2017</v>
      </c>
      <c r="G819" t="s">
        <v>57</v>
      </c>
      <c r="H819" s="42" t="s">
        <v>57</v>
      </c>
      <c r="J819" t="s">
        <v>248</v>
      </c>
      <c r="K819" t="s">
        <v>484</v>
      </c>
      <c r="L819" s="34">
        <v>2</v>
      </c>
      <c r="M819" s="38">
        <v>0.75</v>
      </c>
      <c r="N819" s="38">
        <f t="shared" si="12"/>
        <v>1.5</v>
      </c>
    </row>
    <row r="820" spans="1:14">
      <c r="A820" s="29">
        <v>43032</v>
      </c>
      <c r="B820" s="22" t="s">
        <v>63</v>
      </c>
      <c r="C820" s="22" t="s">
        <v>57</v>
      </c>
      <c r="D820" s="48" t="s">
        <v>5</v>
      </c>
      <c r="E820" t="s">
        <v>157</v>
      </c>
      <c r="F820">
        <v>2017</v>
      </c>
      <c r="G820" t="s">
        <v>319</v>
      </c>
      <c r="H820" s="42">
        <v>14</v>
      </c>
      <c r="J820" t="s">
        <v>248</v>
      </c>
      <c r="L820" s="34">
        <v>4</v>
      </c>
      <c r="M820" s="38">
        <v>0.75</v>
      </c>
      <c r="N820" s="38">
        <f t="shared" si="12"/>
        <v>3</v>
      </c>
    </row>
    <row r="821" spans="1:14">
      <c r="A821" s="29">
        <v>43032</v>
      </c>
      <c r="B821" s="22" t="s">
        <v>63</v>
      </c>
      <c r="C821" s="22" t="s">
        <v>57</v>
      </c>
      <c r="D821" s="48" t="s">
        <v>5</v>
      </c>
      <c r="E821" t="s">
        <v>157</v>
      </c>
      <c r="F821">
        <v>2017</v>
      </c>
      <c r="G821" t="s">
        <v>326</v>
      </c>
      <c r="H821" s="42" t="s">
        <v>57</v>
      </c>
      <c r="J821" t="s">
        <v>248</v>
      </c>
      <c r="L821" s="34">
        <v>2</v>
      </c>
      <c r="M821" s="38">
        <v>0.75</v>
      </c>
      <c r="N821" s="38">
        <f t="shared" si="12"/>
        <v>1.5</v>
      </c>
    </row>
    <row r="822" spans="1:14">
      <c r="A822" s="29">
        <v>43032</v>
      </c>
      <c r="B822" s="22" t="s">
        <v>63</v>
      </c>
      <c r="C822" s="22" t="s">
        <v>57</v>
      </c>
      <c r="D822" s="48" t="s">
        <v>5</v>
      </c>
      <c r="E822" t="s">
        <v>157</v>
      </c>
      <c r="F822">
        <v>2017</v>
      </c>
      <c r="G822" t="s">
        <v>247</v>
      </c>
      <c r="H822" s="42" t="s">
        <v>57</v>
      </c>
      <c r="J822" t="s">
        <v>248</v>
      </c>
      <c r="L822" s="34">
        <v>4</v>
      </c>
      <c r="M822" s="38">
        <v>0.75</v>
      </c>
      <c r="N822" s="38">
        <f t="shared" si="12"/>
        <v>3</v>
      </c>
    </row>
    <row r="823" spans="1:14">
      <c r="A823" s="29">
        <v>43032</v>
      </c>
      <c r="B823" s="22" t="s">
        <v>63</v>
      </c>
      <c r="C823" s="22" t="s">
        <v>57</v>
      </c>
      <c r="D823" s="48" t="s">
        <v>5</v>
      </c>
      <c r="E823" t="s">
        <v>159</v>
      </c>
      <c r="F823">
        <v>2017</v>
      </c>
      <c r="G823" t="s">
        <v>319</v>
      </c>
      <c r="H823" s="42" t="s">
        <v>57</v>
      </c>
      <c r="J823" t="s">
        <v>248</v>
      </c>
      <c r="L823" s="34">
        <v>2</v>
      </c>
      <c r="M823" s="38">
        <v>0.75</v>
      </c>
      <c r="N823" s="38">
        <f t="shared" si="12"/>
        <v>1.5</v>
      </c>
    </row>
    <row r="824" spans="1:14">
      <c r="A824" s="29">
        <v>43032</v>
      </c>
      <c r="B824" s="22" t="s">
        <v>63</v>
      </c>
      <c r="C824" s="22" t="s">
        <v>57</v>
      </c>
      <c r="D824" s="48" t="s">
        <v>5</v>
      </c>
      <c r="E824" t="s">
        <v>159</v>
      </c>
      <c r="F824">
        <v>2017</v>
      </c>
      <c r="G824" t="s">
        <v>326</v>
      </c>
      <c r="H824" s="42">
        <v>423</v>
      </c>
      <c r="J824" t="s">
        <v>248</v>
      </c>
      <c r="L824" s="34">
        <v>2</v>
      </c>
      <c r="M824" s="38">
        <v>0.75</v>
      </c>
      <c r="N824" s="38">
        <f t="shared" si="12"/>
        <v>1.5</v>
      </c>
    </row>
    <row r="825" spans="1:14">
      <c r="A825" s="29">
        <v>43032</v>
      </c>
      <c r="B825" s="22" t="s">
        <v>63</v>
      </c>
      <c r="C825" s="22" t="s">
        <v>57</v>
      </c>
      <c r="D825" s="48" t="s">
        <v>5</v>
      </c>
      <c r="E825" t="s">
        <v>255</v>
      </c>
      <c r="F825">
        <v>2017</v>
      </c>
      <c r="G825" t="s">
        <v>427</v>
      </c>
      <c r="H825" s="42">
        <v>318</v>
      </c>
      <c r="J825" t="s">
        <v>248</v>
      </c>
      <c r="L825" s="34">
        <v>2</v>
      </c>
      <c r="M825" s="38">
        <v>0.75</v>
      </c>
      <c r="N825" s="38">
        <f t="shared" si="12"/>
        <v>1.5</v>
      </c>
    </row>
    <row r="826" spans="1:14">
      <c r="A826" s="29">
        <v>43032</v>
      </c>
      <c r="B826" s="22" t="s">
        <v>63</v>
      </c>
      <c r="C826" s="22" t="s">
        <v>57</v>
      </c>
      <c r="D826" s="48" t="s">
        <v>5</v>
      </c>
      <c r="E826" t="s">
        <v>255</v>
      </c>
      <c r="F826">
        <v>2017</v>
      </c>
      <c r="G826" t="s">
        <v>57</v>
      </c>
      <c r="H826" s="42">
        <v>78</v>
      </c>
      <c r="J826" t="s">
        <v>248</v>
      </c>
      <c r="L826" s="34">
        <v>1</v>
      </c>
      <c r="M826" s="38">
        <v>0.75</v>
      </c>
      <c r="N826" s="38">
        <f t="shared" si="12"/>
        <v>0.75</v>
      </c>
    </row>
    <row r="827" spans="1:14">
      <c r="A827" s="29">
        <v>43032</v>
      </c>
      <c r="B827" s="22" t="s">
        <v>63</v>
      </c>
      <c r="C827" s="22" t="s">
        <v>57</v>
      </c>
      <c r="D827" s="48" t="s">
        <v>5</v>
      </c>
      <c r="E827" t="s">
        <v>255</v>
      </c>
      <c r="F827">
        <v>2017</v>
      </c>
      <c r="G827" t="s">
        <v>57</v>
      </c>
      <c r="H827" s="42">
        <v>6</v>
      </c>
      <c r="J827" t="s">
        <v>248</v>
      </c>
      <c r="L827" s="34">
        <v>1</v>
      </c>
      <c r="M827" s="38">
        <v>0.75</v>
      </c>
      <c r="N827" s="38">
        <f t="shared" si="12"/>
        <v>0.75</v>
      </c>
    </row>
    <row r="828" spans="1:14">
      <c r="A828" s="29">
        <v>43032</v>
      </c>
      <c r="B828" s="22" t="s">
        <v>63</v>
      </c>
      <c r="C828" s="22" t="s">
        <v>57</v>
      </c>
      <c r="D828" s="48" t="s">
        <v>5</v>
      </c>
      <c r="E828" t="s">
        <v>255</v>
      </c>
      <c r="F828">
        <v>2017</v>
      </c>
      <c r="G828" t="s">
        <v>57</v>
      </c>
      <c r="H828" s="42">
        <v>84</v>
      </c>
      <c r="J828" t="s">
        <v>248</v>
      </c>
      <c r="L828" s="34">
        <v>1</v>
      </c>
      <c r="M828" s="38">
        <v>0.75</v>
      </c>
      <c r="N828" s="38">
        <f t="shared" si="12"/>
        <v>0.75</v>
      </c>
    </row>
    <row r="829" spans="1:14">
      <c r="A829" s="29">
        <v>43032</v>
      </c>
      <c r="B829" s="22" t="s">
        <v>57</v>
      </c>
      <c r="C829" s="22" t="s">
        <v>45</v>
      </c>
      <c r="D829" s="48" t="s">
        <v>5</v>
      </c>
      <c r="E829" t="s">
        <v>306</v>
      </c>
      <c r="F829">
        <v>2017</v>
      </c>
      <c r="G829" t="s">
        <v>307</v>
      </c>
      <c r="H829" s="42" t="s">
        <v>57</v>
      </c>
      <c r="J829" t="s">
        <v>248</v>
      </c>
      <c r="L829" s="34">
        <v>1</v>
      </c>
      <c r="M829" s="38">
        <v>0.75</v>
      </c>
      <c r="N829" s="38">
        <f t="shared" si="12"/>
        <v>0.75</v>
      </c>
    </row>
    <row r="830" spans="1:14">
      <c r="A830" s="29">
        <v>43032</v>
      </c>
      <c r="B830" s="22" t="s">
        <v>57</v>
      </c>
      <c r="C830" s="22" t="s">
        <v>45</v>
      </c>
      <c r="D830" s="48" t="s">
        <v>5</v>
      </c>
      <c r="E830" t="s">
        <v>159</v>
      </c>
      <c r="F830">
        <v>2017</v>
      </c>
      <c r="G830" t="s">
        <v>319</v>
      </c>
      <c r="H830" s="42" t="s">
        <v>57</v>
      </c>
      <c r="J830" t="s">
        <v>248</v>
      </c>
      <c r="L830" s="34">
        <v>2</v>
      </c>
      <c r="M830" s="38">
        <v>0.75</v>
      </c>
      <c r="N830" s="38">
        <f t="shared" si="12"/>
        <v>1.5</v>
      </c>
    </row>
    <row r="831" spans="1:14">
      <c r="A831" s="29">
        <v>43032</v>
      </c>
      <c r="B831" s="22" t="s">
        <v>57</v>
      </c>
      <c r="C831" s="22" t="s">
        <v>45</v>
      </c>
      <c r="D831" s="48" t="s">
        <v>5</v>
      </c>
      <c r="E831" t="s">
        <v>157</v>
      </c>
      <c r="F831">
        <v>2017</v>
      </c>
      <c r="G831" t="s">
        <v>319</v>
      </c>
      <c r="H831" s="42" t="s">
        <v>57</v>
      </c>
      <c r="J831" t="s">
        <v>248</v>
      </c>
      <c r="L831" s="34">
        <v>2</v>
      </c>
      <c r="M831" s="38">
        <v>0.75</v>
      </c>
      <c r="N831" s="38">
        <f t="shared" si="12"/>
        <v>1.5</v>
      </c>
    </row>
    <row r="832" spans="1:14">
      <c r="A832" s="29">
        <v>43032</v>
      </c>
      <c r="B832" s="22" t="s">
        <v>57</v>
      </c>
      <c r="C832" s="22" t="s">
        <v>45</v>
      </c>
      <c r="D832" s="48" t="s">
        <v>5</v>
      </c>
      <c r="E832" t="s">
        <v>157</v>
      </c>
      <c r="F832">
        <v>2017</v>
      </c>
      <c r="G832" t="s">
        <v>326</v>
      </c>
      <c r="H832" s="42" t="s">
        <v>57</v>
      </c>
      <c r="J832" t="s">
        <v>248</v>
      </c>
      <c r="L832" s="34">
        <v>2</v>
      </c>
      <c r="M832" s="38">
        <v>0.75</v>
      </c>
      <c r="N832" s="38">
        <f t="shared" si="12"/>
        <v>1.5</v>
      </c>
    </row>
    <row r="833" spans="1:14">
      <c r="A833" s="29">
        <v>43032</v>
      </c>
      <c r="B833" s="22" t="s">
        <v>57</v>
      </c>
      <c r="C833" s="22" t="s">
        <v>45</v>
      </c>
      <c r="D833" s="48" t="s">
        <v>5</v>
      </c>
      <c r="E833" t="s">
        <v>157</v>
      </c>
      <c r="F833">
        <v>2017</v>
      </c>
      <c r="G833" t="s">
        <v>247</v>
      </c>
      <c r="H833" s="42" t="s">
        <v>57</v>
      </c>
      <c r="J833" t="s">
        <v>248</v>
      </c>
      <c r="L833" s="34">
        <v>2</v>
      </c>
      <c r="M833" s="38">
        <v>0.75</v>
      </c>
      <c r="N833" s="38">
        <f t="shared" si="12"/>
        <v>1.5</v>
      </c>
    </row>
    <row r="834" spans="1:14">
      <c r="A834" s="29">
        <v>43032</v>
      </c>
      <c r="B834" s="22" t="s">
        <v>57</v>
      </c>
      <c r="C834" s="22" t="s">
        <v>45</v>
      </c>
      <c r="D834" s="48" t="s">
        <v>8</v>
      </c>
      <c r="E834" t="s">
        <v>272</v>
      </c>
      <c r="F834">
        <v>2017</v>
      </c>
      <c r="G834" t="s">
        <v>357</v>
      </c>
      <c r="H834" s="42" t="s">
        <v>57</v>
      </c>
      <c r="J834" t="s">
        <v>248</v>
      </c>
      <c r="L834" s="34">
        <v>2</v>
      </c>
      <c r="M834" s="38">
        <v>0.75</v>
      </c>
      <c r="N834" s="38">
        <f t="shared" si="12"/>
        <v>1.5</v>
      </c>
    </row>
    <row r="835" spans="1:14">
      <c r="A835" s="29">
        <v>43033</v>
      </c>
      <c r="B835" s="22" t="s">
        <v>50</v>
      </c>
      <c r="C835" s="22" t="s">
        <v>57</v>
      </c>
      <c r="D835" s="48" t="s">
        <v>5</v>
      </c>
      <c r="E835" t="s">
        <v>159</v>
      </c>
      <c r="F835">
        <v>2017</v>
      </c>
      <c r="G835" t="s">
        <v>319</v>
      </c>
      <c r="H835" s="42" t="s">
        <v>57</v>
      </c>
      <c r="J835" t="s">
        <v>248</v>
      </c>
      <c r="L835" s="34">
        <v>1</v>
      </c>
      <c r="M835" s="38">
        <v>0.75</v>
      </c>
      <c r="N835" s="38">
        <f t="shared" ref="N835:N898" si="13">M835*L835</f>
        <v>0.75</v>
      </c>
    </row>
    <row r="836" spans="1:14">
      <c r="A836" s="29">
        <v>43033</v>
      </c>
      <c r="B836" s="22" t="s">
        <v>50</v>
      </c>
      <c r="C836" s="22" t="s">
        <v>57</v>
      </c>
      <c r="D836" s="48" t="s">
        <v>5</v>
      </c>
      <c r="E836" t="s">
        <v>159</v>
      </c>
      <c r="F836">
        <v>2017</v>
      </c>
      <c r="G836" t="s">
        <v>326</v>
      </c>
      <c r="H836" s="42">
        <v>423</v>
      </c>
      <c r="J836" t="s">
        <v>248</v>
      </c>
      <c r="L836" s="34">
        <v>1</v>
      </c>
      <c r="M836" s="38">
        <v>0.75</v>
      </c>
      <c r="N836" s="38">
        <f t="shared" si="13"/>
        <v>0.75</v>
      </c>
    </row>
    <row r="837" spans="1:14">
      <c r="A837" s="29">
        <v>43033</v>
      </c>
      <c r="B837" s="22" t="s">
        <v>50</v>
      </c>
      <c r="C837" s="22" t="s">
        <v>57</v>
      </c>
      <c r="D837" s="48" t="s">
        <v>5</v>
      </c>
      <c r="E837" t="s">
        <v>159</v>
      </c>
      <c r="F837">
        <v>2017</v>
      </c>
      <c r="G837" t="s">
        <v>247</v>
      </c>
      <c r="H837" s="42" t="s">
        <v>57</v>
      </c>
      <c r="J837" t="s">
        <v>248</v>
      </c>
      <c r="L837" s="34">
        <v>1</v>
      </c>
      <c r="M837" s="38">
        <v>0.75</v>
      </c>
      <c r="N837" s="38">
        <f t="shared" si="13"/>
        <v>0.75</v>
      </c>
    </row>
    <row r="838" spans="1:14">
      <c r="A838" s="29">
        <v>43033</v>
      </c>
      <c r="B838" s="22" t="s">
        <v>50</v>
      </c>
      <c r="C838" s="22" t="s">
        <v>57</v>
      </c>
      <c r="D838" s="48" t="s">
        <v>5</v>
      </c>
      <c r="E838" t="s">
        <v>381</v>
      </c>
      <c r="F838">
        <v>2017</v>
      </c>
      <c r="G838" t="s">
        <v>307</v>
      </c>
      <c r="H838" s="42" t="s">
        <v>57</v>
      </c>
      <c r="J838" t="s">
        <v>248</v>
      </c>
      <c r="L838" s="34">
        <v>1</v>
      </c>
      <c r="M838" s="38">
        <v>0.75</v>
      </c>
      <c r="N838" s="38">
        <f t="shared" si="13"/>
        <v>0.75</v>
      </c>
    </row>
    <row r="839" spans="1:14">
      <c r="A839" s="29">
        <v>43033</v>
      </c>
      <c r="B839" s="22" t="s">
        <v>50</v>
      </c>
      <c r="C839" s="22" t="s">
        <v>57</v>
      </c>
      <c r="D839" s="48" t="s">
        <v>8</v>
      </c>
      <c r="E839" t="s">
        <v>272</v>
      </c>
      <c r="F839">
        <v>2017</v>
      </c>
      <c r="G839" t="s">
        <v>357</v>
      </c>
      <c r="H839" s="42" t="s">
        <v>57</v>
      </c>
      <c r="J839" t="s">
        <v>248</v>
      </c>
      <c r="L839" s="34">
        <v>1</v>
      </c>
      <c r="M839" s="38">
        <v>0.75</v>
      </c>
      <c r="N839" s="38">
        <f t="shared" si="13"/>
        <v>0.75</v>
      </c>
    </row>
    <row r="840" spans="1:14">
      <c r="A840" s="29">
        <v>43034</v>
      </c>
      <c r="B840" s="22" t="s">
        <v>126</v>
      </c>
      <c r="C840" s="22" t="s">
        <v>47</v>
      </c>
      <c r="D840" s="48" t="s">
        <v>8</v>
      </c>
      <c r="E840" t="s">
        <v>272</v>
      </c>
      <c r="F840">
        <v>2017</v>
      </c>
      <c r="G840" t="s">
        <v>357</v>
      </c>
      <c r="H840" s="42" t="s">
        <v>57</v>
      </c>
      <c r="J840" t="s">
        <v>248</v>
      </c>
      <c r="L840" s="34">
        <v>2</v>
      </c>
      <c r="M840" s="38">
        <v>0.75</v>
      </c>
      <c r="N840" s="38">
        <f t="shared" si="13"/>
        <v>1.5</v>
      </c>
    </row>
    <row r="841" spans="1:14">
      <c r="A841" s="29">
        <v>43034</v>
      </c>
      <c r="B841" s="22" t="s">
        <v>126</v>
      </c>
      <c r="C841" s="22" t="s">
        <v>47</v>
      </c>
      <c r="D841" s="48" t="s">
        <v>5</v>
      </c>
      <c r="E841" t="s">
        <v>157</v>
      </c>
      <c r="F841">
        <v>2017</v>
      </c>
      <c r="G841" t="s">
        <v>247</v>
      </c>
      <c r="H841" s="42" t="s">
        <v>57</v>
      </c>
      <c r="J841" t="s">
        <v>248</v>
      </c>
      <c r="L841" s="34">
        <v>2</v>
      </c>
      <c r="M841" s="38">
        <v>0.75</v>
      </c>
      <c r="N841" s="38">
        <f t="shared" si="13"/>
        <v>1.5</v>
      </c>
    </row>
    <row r="842" spans="1:14">
      <c r="A842" s="29">
        <v>43034</v>
      </c>
      <c r="B842" s="22" t="s">
        <v>126</v>
      </c>
      <c r="C842" s="22" t="s">
        <v>47</v>
      </c>
      <c r="D842" s="48" t="s">
        <v>5</v>
      </c>
      <c r="E842" t="s">
        <v>157</v>
      </c>
      <c r="F842">
        <v>2017</v>
      </c>
      <c r="G842" t="s">
        <v>326</v>
      </c>
      <c r="H842" s="42" t="s">
        <v>57</v>
      </c>
      <c r="J842" t="s">
        <v>248</v>
      </c>
      <c r="L842" s="34">
        <v>2</v>
      </c>
      <c r="M842" s="38">
        <v>0.75</v>
      </c>
      <c r="N842" s="38">
        <f t="shared" si="13"/>
        <v>1.5</v>
      </c>
    </row>
    <row r="843" spans="1:14">
      <c r="A843" s="29">
        <v>43037</v>
      </c>
      <c r="B843" s="22" t="s">
        <v>6</v>
      </c>
      <c r="C843" s="22" t="s">
        <v>41</v>
      </c>
      <c r="D843" s="48" t="s">
        <v>5</v>
      </c>
      <c r="E843" t="s">
        <v>159</v>
      </c>
      <c r="F843">
        <v>2017</v>
      </c>
      <c r="G843" t="s">
        <v>326</v>
      </c>
      <c r="H843" s="42">
        <v>423</v>
      </c>
      <c r="J843" t="s">
        <v>248</v>
      </c>
      <c r="L843" s="34">
        <v>1</v>
      </c>
      <c r="M843" s="38">
        <v>0.75</v>
      </c>
      <c r="N843" s="38">
        <f t="shared" si="13"/>
        <v>0.75</v>
      </c>
    </row>
    <row r="844" spans="1:14">
      <c r="A844" s="29">
        <v>43037</v>
      </c>
      <c r="B844" s="22" t="s">
        <v>6</v>
      </c>
      <c r="C844" s="22" t="s">
        <v>41</v>
      </c>
      <c r="D844" s="48" t="s">
        <v>5</v>
      </c>
      <c r="E844" t="s">
        <v>159</v>
      </c>
      <c r="F844">
        <v>2017</v>
      </c>
      <c r="G844" t="s">
        <v>247</v>
      </c>
      <c r="H844" s="42" t="s">
        <v>57</v>
      </c>
      <c r="J844" t="s">
        <v>248</v>
      </c>
      <c r="L844" s="34">
        <v>1</v>
      </c>
      <c r="M844" s="38">
        <v>0.75</v>
      </c>
      <c r="N844" s="38">
        <f t="shared" si="13"/>
        <v>0.75</v>
      </c>
    </row>
    <row r="845" spans="1:14">
      <c r="A845" s="29">
        <v>43037</v>
      </c>
      <c r="B845" s="22" t="s">
        <v>6</v>
      </c>
      <c r="C845" s="22" t="s">
        <v>41</v>
      </c>
      <c r="D845" s="48" t="s">
        <v>5</v>
      </c>
      <c r="E845" t="s">
        <v>159</v>
      </c>
      <c r="F845">
        <v>2017</v>
      </c>
      <c r="G845" t="s">
        <v>319</v>
      </c>
      <c r="H845" s="42" t="s">
        <v>57</v>
      </c>
      <c r="J845" t="s">
        <v>248</v>
      </c>
      <c r="L845" s="34">
        <v>1</v>
      </c>
      <c r="M845" s="38">
        <v>0.75</v>
      </c>
      <c r="N845" s="38">
        <f t="shared" si="13"/>
        <v>0.75</v>
      </c>
    </row>
    <row r="846" spans="1:14">
      <c r="A846" s="29">
        <v>43037</v>
      </c>
      <c r="B846" s="22" t="s">
        <v>6</v>
      </c>
      <c r="C846" s="22" t="s">
        <v>41</v>
      </c>
      <c r="D846" s="48" t="s">
        <v>5</v>
      </c>
      <c r="E846" t="s">
        <v>157</v>
      </c>
      <c r="F846">
        <v>2017</v>
      </c>
      <c r="G846" t="s">
        <v>319</v>
      </c>
      <c r="H846" s="42">
        <v>14</v>
      </c>
      <c r="J846" t="s">
        <v>248</v>
      </c>
      <c r="L846" s="34">
        <v>1</v>
      </c>
      <c r="M846" s="38">
        <v>0.75</v>
      </c>
      <c r="N846" s="38">
        <f t="shared" si="13"/>
        <v>0.75</v>
      </c>
    </row>
    <row r="847" spans="1:14">
      <c r="A847" s="29">
        <v>43037</v>
      </c>
      <c r="B847" s="22" t="s">
        <v>6</v>
      </c>
      <c r="C847" s="22" t="s">
        <v>41</v>
      </c>
      <c r="D847" s="48" t="s">
        <v>5</v>
      </c>
      <c r="E847" t="s">
        <v>157</v>
      </c>
      <c r="F847">
        <v>2017</v>
      </c>
      <c r="G847" t="s">
        <v>326</v>
      </c>
      <c r="H847" s="42" t="s">
        <v>57</v>
      </c>
      <c r="J847" t="s">
        <v>248</v>
      </c>
      <c r="L847" s="34">
        <v>1</v>
      </c>
      <c r="M847" s="38">
        <v>0.75</v>
      </c>
      <c r="N847" s="38">
        <f t="shared" si="13"/>
        <v>0.75</v>
      </c>
    </row>
    <row r="848" spans="1:14">
      <c r="A848" s="29">
        <v>43037</v>
      </c>
      <c r="B848" s="22" t="s">
        <v>6</v>
      </c>
      <c r="C848" s="22" t="s">
        <v>41</v>
      </c>
      <c r="D848" s="48" t="s">
        <v>5</v>
      </c>
      <c r="E848" t="s">
        <v>157</v>
      </c>
      <c r="F848">
        <v>2017</v>
      </c>
      <c r="G848" t="s">
        <v>247</v>
      </c>
      <c r="H848" s="42" t="s">
        <v>57</v>
      </c>
      <c r="J848" t="s">
        <v>248</v>
      </c>
      <c r="L848" s="34">
        <v>1</v>
      </c>
      <c r="M848" s="38">
        <v>0.75</v>
      </c>
      <c r="N848" s="38">
        <f t="shared" si="13"/>
        <v>0.75</v>
      </c>
    </row>
    <row r="849" spans="1:14">
      <c r="A849" s="29">
        <v>43037</v>
      </c>
      <c r="B849" s="22" t="s">
        <v>6</v>
      </c>
      <c r="C849" s="22" t="s">
        <v>41</v>
      </c>
      <c r="D849" s="48" t="s">
        <v>8</v>
      </c>
      <c r="E849" t="s">
        <v>275</v>
      </c>
      <c r="F849">
        <v>2017</v>
      </c>
      <c r="G849" t="s">
        <v>359</v>
      </c>
      <c r="H849" s="42" t="s">
        <v>57</v>
      </c>
      <c r="J849" t="s">
        <v>248</v>
      </c>
      <c r="L849" s="34">
        <v>1</v>
      </c>
      <c r="M849" s="38">
        <v>0.75</v>
      </c>
      <c r="N849" s="38">
        <f t="shared" si="13"/>
        <v>0.75</v>
      </c>
    </row>
    <row r="850" spans="1:14">
      <c r="A850" s="29">
        <v>43037</v>
      </c>
      <c r="B850" s="22" t="s">
        <v>6</v>
      </c>
      <c r="C850" s="22" t="s">
        <v>41</v>
      </c>
      <c r="D850" s="48" t="s">
        <v>8</v>
      </c>
      <c r="E850" t="s">
        <v>179</v>
      </c>
      <c r="F850">
        <v>2017</v>
      </c>
      <c r="G850" t="s">
        <v>485</v>
      </c>
      <c r="H850" s="42" t="s">
        <v>57</v>
      </c>
      <c r="J850" t="s">
        <v>248</v>
      </c>
      <c r="L850" s="34">
        <v>1</v>
      </c>
      <c r="M850" s="38">
        <v>0.75</v>
      </c>
      <c r="N850" s="38">
        <f t="shared" si="13"/>
        <v>0.75</v>
      </c>
    </row>
    <row r="851" spans="1:14">
      <c r="A851" s="29">
        <v>43037</v>
      </c>
      <c r="B851" s="22" t="s">
        <v>6</v>
      </c>
      <c r="C851" s="22" t="s">
        <v>41</v>
      </c>
      <c r="D851" s="48" t="s">
        <v>8</v>
      </c>
      <c r="E851" t="s">
        <v>177</v>
      </c>
      <c r="F851">
        <v>2017</v>
      </c>
      <c r="G851" t="s">
        <v>485</v>
      </c>
      <c r="H851" s="42" t="s">
        <v>57</v>
      </c>
      <c r="J851" t="s">
        <v>248</v>
      </c>
      <c r="L851" s="34">
        <v>1</v>
      </c>
      <c r="M851" s="38">
        <v>0.75</v>
      </c>
      <c r="N851" s="38">
        <f t="shared" si="13"/>
        <v>0.75</v>
      </c>
    </row>
    <row r="852" spans="1:14">
      <c r="A852" s="29">
        <v>43037</v>
      </c>
      <c r="B852" s="22" t="s">
        <v>6</v>
      </c>
      <c r="C852" s="22" t="s">
        <v>41</v>
      </c>
      <c r="D852" s="48" t="s">
        <v>5</v>
      </c>
      <c r="E852" t="s">
        <v>381</v>
      </c>
      <c r="F852">
        <v>2017</v>
      </c>
      <c r="G852" t="s">
        <v>307</v>
      </c>
      <c r="H852" s="42" t="s">
        <v>57</v>
      </c>
      <c r="J852" t="s">
        <v>248</v>
      </c>
      <c r="L852" s="34">
        <v>1</v>
      </c>
      <c r="M852" s="38">
        <v>0.75</v>
      </c>
      <c r="N852" s="38">
        <f t="shared" si="13"/>
        <v>0.75</v>
      </c>
    </row>
    <row r="853" spans="1:14">
      <c r="A853" s="29">
        <v>43038</v>
      </c>
      <c r="B853" s="22" t="s">
        <v>63</v>
      </c>
      <c r="C853" s="22" t="s">
        <v>57</v>
      </c>
      <c r="D853" s="48" t="s">
        <v>5</v>
      </c>
      <c r="E853" t="s">
        <v>157</v>
      </c>
      <c r="F853">
        <v>2017</v>
      </c>
      <c r="G853" t="s">
        <v>319</v>
      </c>
      <c r="H853" s="42">
        <v>14</v>
      </c>
      <c r="J853" t="s">
        <v>248</v>
      </c>
      <c r="L853" s="34">
        <v>3</v>
      </c>
      <c r="M853" s="38">
        <v>0.75</v>
      </c>
      <c r="N853" s="38">
        <f t="shared" si="13"/>
        <v>2.25</v>
      </c>
    </row>
    <row r="854" spans="1:14">
      <c r="A854" s="29">
        <v>43038</v>
      </c>
      <c r="B854" s="22" t="s">
        <v>63</v>
      </c>
      <c r="C854" s="22" t="s">
        <v>57</v>
      </c>
      <c r="D854" s="48" t="s">
        <v>5</v>
      </c>
      <c r="E854" t="s">
        <v>157</v>
      </c>
      <c r="F854">
        <v>2017</v>
      </c>
      <c r="G854" t="s">
        <v>326</v>
      </c>
      <c r="H854" s="42" t="s">
        <v>57</v>
      </c>
      <c r="J854" t="s">
        <v>248</v>
      </c>
      <c r="L854" s="34">
        <v>3</v>
      </c>
      <c r="M854" s="38">
        <v>0.75</v>
      </c>
      <c r="N854" s="38">
        <f t="shared" si="13"/>
        <v>2.25</v>
      </c>
    </row>
    <row r="855" spans="1:14">
      <c r="A855" s="29">
        <v>43038</v>
      </c>
      <c r="B855" s="22" t="s">
        <v>63</v>
      </c>
      <c r="C855" s="22" t="s">
        <v>57</v>
      </c>
      <c r="D855" s="48" t="s">
        <v>5</v>
      </c>
      <c r="E855" t="s">
        <v>157</v>
      </c>
      <c r="F855">
        <v>2017</v>
      </c>
      <c r="G855" t="s">
        <v>247</v>
      </c>
      <c r="H855" s="42" t="s">
        <v>57</v>
      </c>
      <c r="J855" t="s">
        <v>248</v>
      </c>
      <c r="L855" s="34">
        <v>3</v>
      </c>
      <c r="M855" s="38">
        <v>0.75</v>
      </c>
      <c r="N855" s="38">
        <f t="shared" si="13"/>
        <v>2.25</v>
      </c>
    </row>
    <row r="856" spans="1:14">
      <c r="A856" s="29">
        <v>43038</v>
      </c>
      <c r="B856" s="22" t="s">
        <v>63</v>
      </c>
      <c r="C856" s="22" t="s">
        <v>57</v>
      </c>
      <c r="D856" s="48" t="s">
        <v>5</v>
      </c>
      <c r="E856" t="s">
        <v>158</v>
      </c>
      <c r="F856">
        <v>2017</v>
      </c>
      <c r="G856" t="s">
        <v>57</v>
      </c>
      <c r="H856" s="42">
        <v>313</v>
      </c>
      <c r="J856" t="s">
        <v>248</v>
      </c>
      <c r="L856" s="34">
        <v>1</v>
      </c>
      <c r="M856" s="38">
        <v>0.75</v>
      </c>
      <c r="N856" s="38">
        <f t="shared" si="13"/>
        <v>0.75</v>
      </c>
    </row>
    <row r="857" spans="1:14">
      <c r="A857" s="29">
        <v>43039</v>
      </c>
      <c r="B857" s="22" t="s">
        <v>80</v>
      </c>
      <c r="C857" s="22" t="s">
        <v>327</v>
      </c>
      <c r="D857" s="48" t="s">
        <v>5</v>
      </c>
      <c r="E857" t="s">
        <v>459</v>
      </c>
      <c r="F857">
        <v>2017</v>
      </c>
      <c r="G857" t="s">
        <v>357</v>
      </c>
      <c r="H857" s="42" t="s">
        <v>57</v>
      </c>
      <c r="J857" t="s">
        <v>248</v>
      </c>
      <c r="K857" t="s">
        <v>486</v>
      </c>
      <c r="L857" s="34">
        <v>1</v>
      </c>
      <c r="M857" s="38">
        <v>0.75</v>
      </c>
      <c r="N857" s="38">
        <f t="shared" si="13"/>
        <v>0.75</v>
      </c>
    </row>
    <row r="858" spans="1:14">
      <c r="A858" s="29">
        <v>43039</v>
      </c>
      <c r="B858" s="22" t="s">
        <v>80</v>
      </c>
      <c r="C858" s="22" t="s">
        <v>327</v>
      </c>
      <c r="D858" s="48" t="s">
        <v>5</v>
      </c>
      <c r="E858" t="s">
        <v>459</v>
      </c>
      <c r="F858">
        <v>2017</v>
      </c>
      <c r="G858" t="s">
        <v>359</v>
      </c>
      <c r="H858" s="42" t="s">
        <v>57</v>
      </c>
      <c r="J858" t="s">
        <v>248</v>
      </c>
      <c r="K858" t="s">
        <v>486</v>
      </c>
      <c r="L858" s="34">
        <v>1</v>
      </c>
      <c r="M858" s="38">
        <v>0.75</v>
      </c>
      <c r="N858" s="38">
        <f t="shared" si="13"/>
        <v>0.75</v>
      </c>
    </row>
    <row r="859" spans="1:14">
      <c r="A859" s="29">
        <v>43039</v>
      </c>
      <c r="B859" s="22" t="s">
        <v>80</v>
      </c>
      <c r="C859" s="22" t="s">
        <v>327</v>
      </c>
      <c r="D859" s="48" t="s">
        <v>5</v>
      </c>
      <c r="E859" t="s">
        <v>459</v>
      </c>
      <c r="F859">
        <v>2017</v>
      </c>
      <c r="G859" t="s">
        <v>263</v>
      </c>
      <c r="H859" s="42" t="s">
        <v>57</v>
      </c>
      <c r="J859" t="s">
        <v>248</v>
      </c>
      <c r="K859" t="s">
        <v>486</v>
      </c>
      <c r="L859" s="34">
        <v>1</v>
      </c>
      <c r="M859" s="38">
        <v>0.75</v>
      </c>
      <c r="N859" s="38">
        <f t="shared" si="13"/>
        <v>0.75</v>
      </c>
    </row>
    <row r="860" spans="1:14">
      <c r="A860" s="29">
        <v>43039</v>
      </c>
      <c r="B860" s="22" t="s">
        <v>57</v>
      </c>
      <c r="C860" s="22" t="s">
        <v>45</v>
      </c>
      <c r="D860" s="48" t="s">
        <v>5</v>
      </c>
      <c r="E860" t="s">
        <v>157</v>
      </c>
      <c r="F860">
        <v>2017</v>
      </c>
      <c r="G860" t="s">
        <v>326</v>
      </c>
      <c r="H860" s="42" t="s">
        <v>57</v>
      </c>
      <c r="J860" t="s">
        <v>248</v>
      </c>
      <c r="L860" s="34">
        <v>2</v>
      </c>
      <c r="M860" s="38">
        <v>0.75</v>
      </c>
      <c r="N860" s="38">
        <f t="shared" si="13"/>
        <v>1.5</v>
      </c>
    </row>
    <row r="861" spans="1:14">
      <c r="A861" s="29">
        <v>43039</v>
      </c>
      <c r="B861" s="22" t="s">
        <v>57</v>
      </c>
      <c r="C861" s="22" t="s">
        <v>45</v>
      </c>
      <c r="D861" s="48" t="s">
        <v>5</v>
      </c>
      <c r="E861" t="s">
        <v>157</v>
      </c>
      <c r="F861">
        <v>2017</v>
      </c>
      <c r="G861" t="s">
        <v>247</v>
      </c>
      <c r="H861" s="42" t="s">
        <v>57</v>
      </c>
      <c r="J861" t="s">
        <v>248</v>
      </c>
      <c r="L861" s="34">
        <v>2</v>
      </c>
      <c r="M861" s="38">
        <v>0.75</v>
      </c>
      <c r="N861" s="38">
        <f t="shared" si="13"/>
        <v>1.5</v>
      </c>
    </row>
    <row r="862" spans="1:14">
      <c r="A862" s="29">
        <v>43039</v>
      </c>
      <c r="B862" s="22" t="s">
        <v>81</v>
      </c>
      <c r="C862" s="22" t="s">
        <v>57</v>
      </c>
      <c r="D862" s="48" t="s">
        <v>5</v>
      </c>
      <c r="E862" t="s">
        <v>159</v>
      </c>
      <c r="F862">
        <v>2017</v>
      </c>
      <c r="G862" t="s">
        <v>319</v>
      </c>
      <c r="H862" s="42" t="s">
        <v>57</v>
      </c>
      <c r="J862" t="s">
        <v>248</v>
      </c>
      <c r="L862" s="34">
        <v>3</v>
      </c>
      <c r="M862" s="38">
        <v>10</v>
      </c>
      <c r="N862" s="38">
        <f t="shared" si="13"/>
        <v>30</v>
      </c>
    </row>
    <row r="863" spans="1:14">
      <c r="A863" s="29">
        <v>43039</v>
      </c>
      <c r="B863" s="22" t="s">
        <v>81</v>
      </c>
      <c r="C863" s="22" t="s">
        <v>57</v>
      </c>
      <c r="D863" s="48" t="s">
        <v>5</v>
      </c>
      <c r="E863" t="s">
        <v>255</v>
      </c>
      <c r="F863">
        <v>2017</v>
      </c>
      <c r="G863" t="s">
        <v>487</v>
      </c>
      <c r="H863" s="42">
        <v>417</v>
      </c>
      <c r="J863" t="s">
        <v>248</v>
      </c>
      <c r="L863" s="34">
        <v>1</v>
      </c>
      <c r="M863" s="38">
        <v>15</v>
      </c>
      <c r="N863" s="38">
        <f t="shared" si="13"/>
        <v>15</v>
      </c>
    </row>
    <row r="864" spans="1:14">
      <c r="A864" s="29">
        <v>43041</v>
      </c>
      <c r="B864" s="22" t="s">
        <v>78</v>
      </c>
      <c r="C864" s="22" t="s">
        <v>45</v>
      </c>
      <c r="D864" s="48" t="s">
        <v>5</v>
      </c>
      <c r="E864" t="s">
        <v>157</v>
      </c>
      <c r="F864">
        <v>2017</v>
      </c>
      <c r="G864" t="s">
        <v>319</v>
      </c>
      <c r="H864" s="42">
        <v>14</v>
      </c>
      <c r="J864" t="s">
        <v>248</v>
      </c>
      <c r="L864" s="34">
        <v>2</v>
      </c>
      <c r="M864" s="38">
        <v>0.75</v>
      </c>
      <c r="N864" s="38">
        <f t="shared" si="13"/>
        <v>1.5</v>
      </c>
    </row>
    <row r="865" spans="1:14">
      <c r="A865" s="29">
        <v>43041</v>
      </c>
      <c r="B865" s="22" t="s">
        <v>57</v>
      </c>
      <c r="C865" s="22" t="s">
        <v>30</v>
      </c>
      <c r="D865" s="48" t="s">
        <v>5</v>
      </c>
      <c r="E865" t="s">
        <v>157</v>
      </c>
      <c r="F865">
        <v>2017</v>
      </c>
      <c r="G865" t="s">
        <v>326</v>
      </c>
      <c r="H865" s="42" t="s">
        <v>57</v>
      </c>
      <c r="J865" t="s">
        <v>248</v>
      </c>
      <c r="K865" t="s">
        <v>486</v>
      </c>
      <c r="L865" s="34">
        <v>3</v>
      </c>
      <c r="M865" s="38">
        <v>0.75</v>
      </c>
      <c r="N865" s="38">
        <f t="shared" si="13"/>
        <v>2.25</v>
      </c>
    </row>
    <row r="866" spans="1:14">
      <c r="A866" s="29">
        <v>43045</v>
      </c>
      <c r="B866" s="22" t="s">
        <v>57</v>
      </c>
      <c r="C866" s="22" t="s">
        <v>49</v>
      </c>
      <c r="D866" s="48" t="s">
        <v>5</v>
      </c>
      <c r="E866" t="s">
        <v>158</v>
      </c>
      <c r="F866">
        <v>2017</v>
      </c>
      <c r="G866" t="s">
        <v>57</v>
      </c>
      <c r="H866" s="42">
        <v>313</v>
      </c>
      <c r="J866" t="s">
        <v>248</v>
      </c>
      <c r="L866" s="34">
        <v>6</v>
      </c>
      <c r="M866" s="38">
        <v>0.75</v>
      </c>
      <c r="N866" s="38">
        <f t="shared" si="13"/>
        <v>4.5</v>
      </c>
    </row>
    <row r="867" spans="1:14">
      <c r="A867" s="29">
        <v>43046</v>
      </c>
      <c r="B867" s="22" t="s">
        <v>63</v>
      </c>
      <c r="C867" s="22" t="s">
        <v>57</v>
      </c>
      <c r="D867" s="48" t="s">
        <v>5</v>
      </c>
      <c r="E867" t="s">
        <v>157</v>
      </c>
      <c r="F867">
        <v>2017</v>
      </c>
      <c r="G867" t="s">
        <v>319</v>
      </c>
      <c r="H867" s="42">
        <v>14</v>
      </c>
      <c r="J867" t="s">
        <v>248</v>
      </c>
      <c r="L867" s="34">
        <v>4</v>
      </c>
      <c r="M867" s="38">
        <v>0.75</v>
      </c>
      <c r="N867" s="38">
        <f t="shared" si="13"/>
        <v>3</v>
      </c>
    </row>
    <row r="868" spans="1:14">
      <c r="A868" s="29">
        <v>43046</v>
      </c>
      <c r="B868" s="22" t="s">
        <v>63</v>
      </c>
      <c r="C868" s="22" t="s">
        <v>57</v>
      </c>
      <c r="D868" s="48" t="s">
        <v>5</v>
      </c>
      <c r="E868" t="s">
        <v>157</v>
      </c>
      <c r="F868">
        <v>2017</v>
      </c>
      <c r="G868" t="s">
        <v>326</v>
      </c>
      <c r="H868" s="42" t="s">
        <v>57</v>
      </c>
      <c r="J868" t="s">
        <v>248</v>
      </c>
      <c r="L868" s="34">
        <v>2</v>
      </c>
      <c r="M868" s="38">
        <v>0.75</v>
      </c>
      <c r="N868" s="38">
        <f t="shared" si="13"/>
        <v>1.5</v>
      </c>
    </row>
    <row r="869" spans="1:14">
      <c r="A869" s="29">
        <v>43046</v>
      </c>
      <c r="B869" s="22" t="s">
        <v>63</v>
      </c>
      <c r="C869" s="22" t="s">
        <v>57</v>
      </c>
      <c r="D869" s="48" t="s">
        <v>5</v>
      </c>
      <c r="E869" t="s">
        <v>157</v>
      </c>
      <c r="F869">
        <v>2017</v>
      </c>
      <c r="G869" t="s">
        <v>247</v>
      </c>
      <c r="H869" s="42" t="s">
        <v>57</v>
      </c>
      <c r="J869" t="s">
        <v>248</v>
      </c>
      <c r="L869" s="34">
        <v>2</v>
      </c>
      <c r="M869" s="38">
        <v>0.75</v>
      </c>
      <c r="N869" s="38">
        <f t="shared" si="13"/>
        <v>1.5</v>
      </c>
    </row>
    <row r="870" spans="1:14">
      <c r="A870" s="29">
        <v>43046</v>
      </c>
      <c r="B870" s="22" t="s">
        <v>63</v>
      </c>
      <c r="C870" s="22" t="s">
        <v>57</v>
      </c>
      <c r="D870" s="48" t="s">
        <v>5</v>
      </c>
      <c r="E870" t="s">
        <v>255</v>
      </c>
      <c r="F870">
        <v>2017</v>
      </c>
      <c r="G870" t="s">
        <v>57</v>
      </c>
      <c r="H870" s="42">
        <v>417</v>
      </c>
      <c r="J870" t="s">
        <v>248</v>
      </c>
      <c r="L870" s="34">
        <v>2</v>
      </c>
      <c r="M870" s="38">
        <v>0.75</v>
      </c>
      <c r="N870" s="38">
        <f t="shared" si="13"/>
        <v>1.5</v>
      </c>
    </row>
    <row r="871" spans="1:14">
      <c r="A871" s="29">
        <v>43046</v>
      </c>
      <c r="B871" s="22" t="s">
        <v>63</v>
      </c>
      <c r="C871" s="22" t="s">
        <v>57</v>
      </c>
      <c r="D871" s="48" t="s">
        <v>5</v>
      </c>
      <c r="E871" t="s">
        <v>255</v>
      </c>
      <c r="F871">
        <v>2017</v>
      </c>
      <c r="G871" t="s">
        <v>427</v>
      </c>
      <c r="H871" s="42">
        <v>318</v>
      </c>
      <c r="J871" t="s">
        <v>248</v>
      </c>
      <c r="L871" s="34">
        <v>2</v>
      </c>
      <c r="M871" s="38">
        <v>0.75</v>
      </c>
      <c r="N871" s="38">
        <f t="shared" si="13"/>
        <v>1.5</v>
      </c>
    </row>
    <row r="872" spans="1:14">
      <c r="A872" s="29">
        <v>43046</v>
      </c>
      <c r="B872" s="22" t="s">
        <v>63</v>
      </c>
      <c r="C872" s="22" t="s">
        <v>57</v>
      </c>
      <c r="D872" s="48" t="s">
        <v>5</v>
      </c>
      <c r="E872" t="s">
        <v>158</v>
      </c>
      <c r="F872">
        <v>2017</v>
      </c>
      <c r="G872" t="s">
        <v>57</v>
      </c>
      <c r="H872" s="42">
        <v>313</v>
      </c>
      <c r="J872" t="s">
        <v>248</v>
      </c>
      <c r="L872" s="34">
        <v>3</v>
      </c>
      <c r="M872" s="38">
        <v>0.75</v>
      </c>
      <c r="N872" s="38">
        <f t="shared" si="13"/>
        <v>2.25</v>
      </c>
    </row>
    <row r="873" spans="1:14">
      <c r="A873" s="29">
        <v>43046</v>
      </c>
      <c r="B873" s="22" t="s">
        <v>57</v>
      </c>
      <c r="C873" s="22" t="s">
        <v>45</v>
      </c>
      <c r="D873" s="48" t="s">
        <v>8</v>
      </c>
      <c r="E873" t="s">
        <v>272</v>
      </c>
      <c r="F873">
        <v>2017</v>
      </c>
      <c r="G873" t="s">
        <v>359</v>
      </c>
      <c r="H873" s="42" t="s">
        <v>57</v>
      </c>
      <c r="J873" t="s">
        <v>248</v>
      </c>
      <c r="K873" t="s">
        <v>275</v>
      </c>
      <c r="L873" s="34">
        <v>3</v>
      </c>
      <c r="M873" s="38">
        <v>0.75</v>
      </c>
      <c r="N873" s="38">
        <f t="shared" si="13"/>
        <v>2.25</v>
      </c>
    </row>
    <row r="874" spans="1:14">
      <c r="A874" s="29">
        <v>43047</v>
      </c>
      <c r="B874" s="22" t="s">
        <v>57</v>
      </c>
      <c r="C874" s="22" t="s">
        <v>24</v>
      </c>
      <c r="D874" s="48" t="s">
        <v>5</v>
      </c>
      <c r="E874" t="s">
        <v>267</v>
      </c>
      <c r="F874">
        <v>2017</v>
      </c>
      <c r="G874" t="s">
        <v>57</v>
      </c>
      <c r="H874" s="42">
        <v>88</v>
      </c>
      <c r="J874" t="s">
        <v>248</v>
      </c>
      <c r="L874" s="34">
        <v>2</v>
      </c>
      <c r="M874" s="38">
        <v>0.75</v>
      </c>
      <c r="N874" s="38">
        <f t="shared" si="13"/>
        <v>1.5</v>
      </c>
    </row>
    <row r="875" spans="1:14">
      <c r="A875" s="29">
        <v>43047</v>
      </c>
      <c r="B875" s="22" t="s">
        <v>57</v>
      </c>
      <c r="C875" s="22" t="s">
        <v>24</v>
      </c>
      <c r="D875" s="48" t="s">
        <v>5</v>
      </c>
      <c r="E875" t="s">
        <v>287</v>
      </c>
      <c r="F875">
        <v>2017</v>
      </c>
      <c r="G875" t="s">
        <v>57</v>
      </c>
      <c r="H875" s="42">
        <v>98</v>
      </c>
      <c r="J875" t="s">
        <v>248</v>
      </c>
      <c r="L875" s="34">
        <v>2</v>
      </c>
      <c r="M875" s="38">
        <v>0.75</v>
      </c>
      <c r="N875" s="38">
        <f t="shared" si="13"/>
        <v>1.5</v>
      </c>
    </row>
    <row r="876" spans="1:14">
      <c r="A876" s="29">
        <v>43047</v>
      </c>
      <c r="B876" s="22" t="s">
        <v>57</v>
      </c>
      <c r="C876" s="22" t="s">
        <v>24</v>
      </c>
      <c r="D876" s="48" t="s">
        <v>5</v>
      </c>
      <c r="E876" t="s">
        <v>157</v>
      </c>
      <c r="F876">
        <v>2017</v>
      </c>
      <c r="G876" t="s">
        <v>326</v>
      </c>
      <c r="H876" s="42" t="s">
        <v>57</v>
      </c>
      <c r="J876" t="s">
        <v>248</v>
      </c>
      <c r="L876" s="34">
        <v>2</v>
      </c>
      <c r="M876" s="38">
        <v>0.75</v>
      </c>
      <c r="N876" s="38">
        <f t="shared" si="13"/>
        <v>1.5</v>
      </c>
    </row>
    <row r="877" spans="1:14">
      <c r="A877" s="29">
        <v>43047</v>
      </c>
      <c r="B877" s="22" t="s">
        <v>57</v>
      </c>
      <c r="C877" s="22" t="s">
        <v>24</v>
      </c>
      <c r="D877" s="48" t="s">
        <v>5</v>
      </c>
      <c r="E877" t="s">
        <v>157</v>
      </c>
      <c r="F877">
        <v>2017</v>
      </c>
      <c r="G877" t="s">
        <v>247</v>
      </c>
      <c r="H877" s="42" t="s">
        <v>57</v>
      </c>
      <c r="J877" t="s">
        <v>248</v>
      </c>
      <c r="L877" s="34">
        <v>2</v>
      </c>
      <c r="M877" s="38">
        <v>0.75</v>
      </c>
      <c r="N877" s="38">
        <f t="shared" si="13"/>
        <v>1.5</v>
      </c>
    </row>
    <row r="878" spans="1:14">
      <c r="A878" s="29">
        <v>43047</v>
      </c>
      <c r="B878" s="22" t="s">
        <v>57</v>
      </c>
      <c r="C878" s="22" t="s">
        <v>24</v>
      </c>
      <c r="D878" s="48" t="s">
        <v>8</v>
      </c>
      <c r="E878" t="s">
        <v>272</v>
      </c>
      <c r="F878">
        <v>2017</v>
      </c>
      <c r="G878" t="s">
        <v>357</v>
      </c>
      <c r="H878" s="42" t="s">
        <v>57</v>
      </c>
      <c r="J878" t="s">
        <v>248</v>
      </c>
      <c r="L878" s="34">
        <v>2</v>
      </c>
      <c r="M878" s="38">
        <v>0.75</v>
      </c>
      <c r="N878" s="38">
        <f t="shared" si="13"/>
        <v>1.5</v>
      </c>
    </row>
    <row r="879" spans="1:14">
      <c r="A879" s="29">
        <v>43047</v>
      </c>
      <c r="B879" s="22" t="s">
        <v>57</v>
      </c>
      <c r="C879" s="22" t="s">
        <v>47</v>
      </c>
      <c r="D879" s="48" t="s">
        <v>5</v>
      </c>
      <c r="E879" t="s">
        <v>157</v>
      </c>
      <c r="F879">
        <v>2017</v>
      </c>
      <c r="G879" t="s">
        <v>326</v>
      </c>
      <c r="H879" s="42" t="s">
        <v>57</v>
      </c>
      <c r="J879" t="s">
        <v>248</v>
      </c>
      <c r="L879" s="34">
        <v>2</v>
      </c>
      <c r="M879" s="38">
        <v>0.75</v>
      </c>
      <c r="N879" s="38">
        <f t="shared" si="13"/>
        <v>1.5</v>
      </c>
    </row>
    <row r="880" spans="1:14">
      <c r="A880" s="29">
        <v>43047</v>
      </c>
      <c r="B880" s="22" t="s">
        <v>57</v>
      </c>
      <c r="C880" s="22" t="s">
        <v>47</v>
      </c>
      <c r="D880" s="48" t="s">
        <v>5</v>
      </c>
      <c r="E880" t="s">
        <v>157</v>
      </c>
      <c r="F880">
        <v>2017</v>
      </c>
      <c r="G880" t="s">
        <v>247</v>
      </c>
      <c r="H880" s="42" t="s">
        <v>57</v>
      </c>
      <c r="J880" t="s">
        <v>248</v>
      </c>
      <c r="L880" s="34">
        <v>2</v>
      </c>
      <c r="M880" s="38">
        <v>0.75</v>
      </c>
      <c r="N880" s="38">
        <f t="shared" si="13"/>
        <v>1.5</v>
      </c>
    </row>
    <row r="881" spans="1:14">
      <c r="A881" s="29">
        <v>43047</v>
      </c>
      <c r="B881" s="22" t="s">
        <v>57</v>
      </c>
      <c r="C881" s="22" t="s">
        <v>47</v>
      </c>
      <c r="D881" s="48" t="s">
        <v>5</v>
      </c>
      <c r="E881" t="s">
        <v>488</v>
      </c>
      <c r="F881">
        <v>2017</v>
      </c>
      <c r="G881" t="s">
        <v>57</v>
      </c>
      <c r="H881" s="42">
        <v>417</v>
      </c>
      <c r="J881" t="s">
        <v>248</v>
      </c>
      <c r="L881" s="34">
        <v>2</v>
      </c>
      <c r="M881" s="38">
        <v>0.75</v>
      </c>
      <c r="N881" s="38">
        <f t="shared" si="13"/>
        <v>1.5</v>
      </c>
    </row>
    <row r="882" spans="1:14">
      <c r="A882" s="29">
        <v>43047</v>
      </c>
      <c r="B882" s="22" t="s">
        <v>57</v>
      </c>
      <c r="C882" s="22" t="s">
        <v>47</v>
      </c>
      <c r="D882" s="48" t="s">
        <v>8</v>
      </c>
      <c r="E882" t="s">
        <v>182</v>
      </c>
      <c r="F882">
        <v>2017</v>
      </c>
      <c r="G882" t="s">
        <v>489</v>
      </c>
      <c r="H882" s="42" t="s">
        <v>57</v>
      </c>
      <c r="J882" t="s">
        <v>248</v>
      </c>
      <c r="L882" s="34">
        <v>2</v>
      </c>
      <c r="M882" s="38">
        <v>0.75</v>
      </c>
      <c r="N882" s="38">
        <f t="shared" si="13"/>
        <v>1.5</v>
      </c>
    </row>
    <row r="883" spans="1:14">
      <c r="A883" s="29">
        <v>43047</v>
      </c>
      <c r="B883" s="22" t="s">
        <v>57</v>
      </c>
      <c r="C883" s="22" t="s">
        <v>47</v>
      </c>
      <c r="D883" s="48" t="s">
        <v>8</v>
      </c>
      <c r="E883" t="s">
        <v>177</v>
      </c>
      <c r="F883">
        <v>2017</v>
      </c>
      <c r="G883" t="s">
        <v>317</v>
      </c>
      <c r="H883" s="42" t="s">
        <v>57</v>
      </c>
      <c r="J883" t="s">
        <v>248</v>
      </c>
      <c r="L883" s="34">
        <v>2</v>
      </c>
      <c r="M883" s="38">
        <v>0.75</v>
      </c>
      <c r="N883" s="38">
        <f t="shared" si="13"/>
        <v>1.5</v>
      </c>
    </row>
    <row r="884" spans="1:14">
      <c r="A884" s="29">
        <v>43047</v>
      </c>
      <c r="B884" s="22" t="s">
        <v>57</v>
      </c>
      <c r="C884" s="22" t="s">
        <v>47</v>
      </c>
      <c r="D884" s="48" t="s">
        <v>11</v>
      </c>
      <c r="E884" t="s">
        <v>177</v>
      </c>
      <c r="F884">
        <v>2017</v>
      </c>
      <c r="G884" t="s">
        <v>317</v>
      </c>
      <c r="H884" s="42" t="s">
        <v>57</v>
      </c>
      <c r="J884" t="s">
        <v>248</v>
      </c>
      <c r="L884" s="34">
        <v>2</v>
      </c>
      <c r="M884" s="38">
        <v>0.75</v>
      </c>
      <c r="N884" s="38">
        <f t="shared" si="13"/>
        <v>1.5</v>
      </c>
    </row>
    <row r="885" spans="1:14">
      <c r="A885" s="29">
        <v>43047</v>
      </c>
      <c r="B885" s="22" t="s">
        <v>57</v>
      </c>
      <c r="C885" s="22" t="s">
        <v>249</v>
      </c>
      <c r="D885" s="48" t="s">
        <v>5</v>
      </c>
      <c r="E885" t="s">
        <v>157</v>
      </c>
      <c r="F885">
        <v>2017</v>
      </c>
      <c r="G885" t="s">
        <v>326</v>
      </c>
      <c r="H885" s="42" t="s">
        <v>57</v>
      </c>
      <c r="J885" t="s">
        <v>248</v>
      </c>
      <c r="L885" s="34">
        <v>4</v>
      </c>
      <c r="M885" s="38">
        <v>0.75</v>
      </c>
      <c r="N885" s="38">
        <f t="shared" si="13"/>
        <v>3</v>
      </c>
    </row>
    <row r="886" spans="1:14">
      <c r="A886" s="29">
        <v>43047</v>
      </c>
      <c r="B886" s="22" t="s">
        <v>57</v>
      </c>
      <c r="C886" s="22" t="s">
        <v>249</v>
      </c>
      <c r="D886" s="48" t="s">
        <v>5</v>
      </c>
      <c r="E886" t="s">
        <v>157</v>
      </c>
      <c r="F886">
        <v>2017</v>
      </c>
      <c r="G886" t="s">
        <v>247</v>
      </c>
      <c r="H886" s="42" t="s">
        <v>57</v>
      </c>
      <c r="J886" t="s">
        <v>248</v>
      </c>
      <c r="L886" s="34">
        <v>4</v>
      </c>
      <c r="M886" s="38">
        <v>0.75</v>
      </c>
      <c r="N886" s="38">
        <f t="shared" si="13"/>
        <v>3</v>
      </c>
    </row>
    <row r="887" spans="1:14">
      <c r="A887" s="29">
        <v>43047</v>
      </c>
      <c r="B887" s="22" t="s">
        <v>57</v>
      </c>
      <c r="C887" s="22" t="s">
        <v>249</v>
      </c>
      <c r="D887" s="48" t="s">
        <v>5</v>
      </c>
      <c r="E887" t="s">
        <v>255</v>
      </c>
      <c r="F887">
        <v>2017</v>
      </c>
      <c r="G887" t="s">
        <v>57</v>
      </c>
      <c r="H887" s="42">
        <v>417</v>
      </c>
      <c r="J887" t="s">
        <v>248</v>
      </c>
      <c r="L887" s="34">
        <v>2</v>
      </c>
      <c r="M887" s="38">
        <v>0.75</v>
      </c>
      <c r="N887" s="38">
        <f t="shared" si="13"/>
        <v>1.5</v>
      </c>
    </row>
    <row r="888" spans="1:14">
      <c r="A888" s="29">
        <v>43047</v>
      </c>
      <c r="B888" s="22" t="s">
        <v>57</v>
      </c>
      <c r="C888" s="22" t="s">
        <v>249</v>
      </c>
      <c r="D888" s="48" t="s">
        <v>5</v>
      </c>
      <c r="E888" t="s">
        <v>158</v>
      </c>
      <c r="F888">
        <v>2017</v>
      </c>
      <c r="G888" t="s">
        <v>485</v>
      </c>
      <c r="H888" s="42" t="s">
        <v>57</v>
      </c>
      <c r="J888" t="s">
        <v>248</v>
      </c>
      <c r="L888" s="34">
        <v>2</v>
      </c>
      <c r="M888" s="38">
        <v>0.75</v>
      </c>
      <c r="N888" s="38">
        <f t="shared" si="13"/>
        <v>1.5</v>
      </c>
    </row>
    <row r="889" spans="1:14">
      <c r="A889" s="29">
        <v>43047</v>
      </c>
      <c r="B889" s="22" t="s">
        <v>57</v>
      </c>
      <c r="C889" s="22" t="s">
        <v>249</v>
      </c>
      <c r="D889" s="48" t="s">
        <v>8</v>
      </c>
      <c r="E889" t="s">
        <v>272</v>
      </c>
      <c r="F889">
        <v>2017</v>
      </c>
      <c r="G889" t="s">
        <v>357</v>
      </c>
      <c r="H889" s="42" t="s">
        <v>57</v>
      </c>
      <c r="J889" t="s">
        <v>248</v>
      </c>
      <c r="L889" s="34">
        <v>2</v>
      </c>
      <c r="M889" s="38">
        <v>0.75</v>
      </c>
      <c r="N889" s="38">
        <f t="shared" si="13"/>
        <v>1.5</v>
      </c>
    </row>
    <row r="890" spans="1:14">
      <c r="A890" s="29">
        <v>43047</v>
      </c>
      <c r="B890" s="22" t="s">
        <v>57</v>
      </c>
      <c r="C890" s="22" t="s">
        <v>34</v>
      </c>
      <c r="D890" s="48" t="s">
        <v>5</v>
      </c>
      <c r="E890" t="s">
        <v>157</v>
      </c>
      <c r="F890">
        <v>2017</v>
      </c>
      <c r="G890" t="s">
        <v>326</v>
      </c>
      <c r="H890" s="42" t="s">
        <v>57</v>
      </c>
      <c r="J890" t="s">
        <v>248</v>
      </c>
      <c r="L890" s="34">
        <v>4</v>
      </c>
      <c r="M890" s="38">
        <v>0.75</v>
      </c>
      <c r="N890" s="38">
        <f t="shared" si="13"/>
        <v>3</v>
      </c>
    </row>
    <row r="891" spans="1:14">
      <c r="A891" s="29">
        <v>43047</v>
      </c>
      <c r="B891" s="22" t="s">
        <v>57</v>
      </c>
      <c r="C891" s="22" t="s">
        <v>34</v>
      </c>
      <c r="D891" s="48" t="s">
        <v>5</v>
      </c>
      <c r="E891" t="s">
        <v>157</v>
      </c>
      <c r="F891">
        <v>2017</v>
      </c>
      <c r="G891" t="s">
        <v>247</v>
      </c>
      <c r="H891" s="42" t="s">
        <v>57</v>
      </c>
      <c r="J891" t="s">
        <v>248</v>
      </c>
      <c r="L891" s="34">
        <v>4</v>
      </c>
      <c r="M891" s="38">
        <v>0.75</v>
      </c>
      <c r="N891" s="38">
        <f t="shared" si="13"/>
        <v>3</v>
      </c>
    </row>
    <row r="892" spans="1:14">
      <c r="A892" s="29">
        <v>43047</v>
      </c>
      <c r="B892" s="22" t="s">
        <v>57</v>
      </c>
      <c r="C892" s="22" t="s">
        <v>34</v>
      </c>
      <c r="D892" s="48" t="s">
        <v>5</v>
      </c>
      <c r="E892" t="s">
        <v>255</v>
      </c>
      <c r="F892">
        <v>2017</v>
      </c>
      <c r="G892" t="s">
        <v>57</v>
      </c>
      <c r="H892" s="42">
        <v>417</v>
      </c>
      <c r="J892" t="s">
        <v>248</v>
      </c>
      <c r="L892" s="34">
        <v>4</v>
      </c>
      <c r="M892" s="38">
        <v>0.75</v>
      </c>
      <c r="N892" s="38">
        <f t="shared" si="13"/>
        <v>3</v>
      </c>
    </row>
    <row r="893" spans="1:14">
      <c r="A893" s="29">
        <v>43047</v>
      </c>
      <c r="B893" s="22" t="s">
        <v>57</v>
      </c>
      <c r="C893" s="22" t="s">
        <v>34</v>
      </c>
      <c r="D893" s="48" t="s">
        <v>8</v>
      </c>
      <c r="E893" t="s">
        <v>272</v>
      </c>
      <c r="F893">
        <v>2017</v>
      </c>
      <c r="G893" t="s">
        <v>357</v>
      </c>
      <c r="H893" s="42" t="s">
        <v>57</v>
      </c>
      <c r="J893" t="s">
        <v>248</v>
      </c>
      <c r="L893" s="34">
        <v>4</v>
      </c>
      <c r="M893" s="38">
        <v>0.75</v>
      </c>
      <c r="N893" s="38">
        <f t="shared" si="13"/>
        <v>3</v>
      </c>
    </row>
    <row r="894" spans="1:14">
      <c r="A894" s="29">
        <v>43047</v>
      </c>
      <c r="B894" s="22" t="s">
        <v>63</v>
      </c>
      <c r="C894" s="22" t="s">
        <v>57</v>
      </c>
      <c r="D894" s="48" t="s">
        <v>5</v>
      </c>
      <c r="E894" t="s">
        <v>381</v>
      </c>
      <c r="F894">
        <v>2017</v>
      </c>
      <c r="G894" t="s">
        <v>57</v>
      </c>
      <c r="H894" s="42">
        <v>201</v>
      </c>
      <c r="J894" t="s">
        <v>248</v>
      </c>
      <c r="L894" s="34">
        <v>2</v>
      </c>
      <c r="M894" s="38">
        <v>0.75</v>
      </c>
      <c r="N894" s="38">
        <f t="shared" si="13"/>
        <v>1.5</v>
      </c>
    </row>
    <row r="895" spans="1:14">
      <c r="A895" s="29">
        <v>43048</v>
      </c>
      <c r="B895" s="22" t="s">
        <v>63</v>
      </c>
      <c r="C895" s="22" t="s">
        <v>57</v>
      </c>
      <c r="D895" s="48" t="s">
        <v>5</v>
      </c>
      <c r="E895" t="s">
        <v>157</v>
      </c>
      <c r="F895">
        <v>2017</v>
      </c>
      <c r="G895" t="s">
        <v>326</v>
      </c>
      <c r="H895" s="42" t="s">
        <v>57</v>
      </c>
      <c r="J895" t="s">
        <v>248</v>
      </c>
      <c r="L895" s="34">
        <v>1</v>
      </c>
      <c r="M895" s="38">
        <v>10</v>
      </c>
      <c r="N895" s="38">
        <f t="shared" si="13"/>
        <v>10</v>
      </c>
    </row>
    <row r="896" spans="1:14">
      <c r="A896" s="29">
        <v>43048</v>
      </c>
      <c r="B896" s="22" t="s">
        <v>114</v>
      </c>
      <c r="C896" s="22" t="s">
        <v>38</v>
      </c>
      <c r="D896" s="48" t="s">
        <v>8</v>
      </c>
      <c r="E896" t="s">
        <v>272</v>
      </c>
      <c r="F896">
        <v>2017</v>
      </c>
      <c r="G896" t="s">
        <v>357</v>
      </c>
      <c r="H896" s="42" t="s">
        <v>57</v>
      </c>
      <c r="J896" t="s">
        <v>248</v>
      </c>
      <c r="L896" s="34">
        <v>2</v>
      </c>
      <c r="M896" s="38">
        <v>0.75</v>
      </c>
      <c r="N896" s="38">
        <f t="shared" si="13"/>
        <v>1.5</v>
      </c>
    </row>
    <row r="897" spans="1:14">
      <c r="A897" s="29">
        <v>43049</v>
      </c>
      <c r="B897" s="22" t="s">
        <v>57</v>
      </c>
      <c r="C897" s="22" t="s">
        <v>45</v>
      </c>
      <c r="D897" s="48" t="s">
        <v>5</v>
      </c>
      <c r="E897" t="s">
        <v>157</v>
      </c>
      <c r="F897">
        <v>2017</v>
      </c>
      <c r="G897" t="s">
        <v>326</v>
      </c>
      <c r="H897" s="42" t="s">
        <v>57</v>
      </c>
      <c r="J897" t="s">
        <v>248</v>
      </c>
      <c r="L897" s="34">
        <v>2</v>
      </c>
      <c r="M897" s="38">
        <v>0.75</v>
      </c>
      <c r="N897" s="38">
        <f t="shared" si="13"/>
        <v>1.5</v>
      </c>
    </row>
    <row r="898" spans="1:14">
      <c r="A898" s="29">
        <v>43049</v>
      </c>
      <c r="B898" s="22" t="s">
        <v>57</v>
      </c>
      <c r="C898" s="22" t="s">
        <v>45</v>
      </c>
      <c r="D898" s="48" t="s">
        <v>5</v>
      </c>
      <c r="E898" t="s">
        <v>157</v>
      </c>
      <c r="F898">
        <v>2017</v>
      </c>
      <c r="G898" t="s">
        <v>247</v>
      </c>
      <c r="H898" s="42" t="s">
        <v>57</v>
      </c>
      <c r="J898" t="s">
        <v>248</v>
      </c>
      <c r="L898" s="34">
        <v>2</v>
      </c>
      <c r="M898" s="38">
        <v>0.75</v>
      </c>
      <c r="N898" s="38">
        <f t="shared" si="13"/>
        <v>1.5</v>
      </c>
    </row>
    <row r="899" spans="1:14">
      <c r="A899" s="29">
        <v>43049</v>
      </c>
      <c r="B899" s="22" t="s">
        <v>120</v>
      </c>
      <c r="C899" s="22" t="s">
        <v>45</v>
      </c>
      <c r="D899" s="48" t="s">
        <v>5</v>
      </c>
      <c r="E899" t="s">
        <v>157</v>
      </c>
      <c r="F899">
        <v>2017</v>
      </c>
      <c r="G899" t="s">
        <v>326</v>
      </c>
      <c r="H899" s="42" t="s">
        <v>57</v>
      </c>
      <c r="J899" t="s">
        <v>248</v>
      </c>
      <c r="L899" s="34">
        <v>2</v>
      </c>
      <c r="M899" s="38">
        <v>0.75</v>
      </c>
      <c r="N899" s="38">
        <f t="shared" ref="N899:N962" si="14">M899*L899</f>
        <v>1.5</v>
      </c>
    </row>
    <row r="900" spans="1:14">
      <c r="A900" s="29">
        <v>43049</v>
      </c>
      <c r="B900" s="22" t="s">
        <v>120</v>
      </c>
      <c r="C900" s="22" t="s">
        <v>45</v>
      </c>
      <c r="D900" s="48" t="s">
        <v>5</v>
      </c>
      <c r="E900" t="s">
        <v>157</v>
      </c>
      <c r="F900">
        <v>2017</v>
      </c>
      <c r="G900" t="s">
        <v>247</v>
      </c>
      <c r="H900" s="42" t="s">
        <v>57</v>
      </c>
      <c r="J900" t="s">
        <v>248</v>
      </c>
      <c r="L900" s="34">
        <v>2</v>
      </c>
      <c r="M900" s="38">
        <v>0.75</v>
      </c>
      <c r="N900" s="38">
        <f t="shared" si="14"/>
        <v>1.5</v>
      </c>
    </row>
    <row r="901" spans="1:14">
      <c r="A901" s="29">
        <v>43049</v>
      </c>
      <c r="B901" s="22" t="s">
        <v>120</v>
      </c>
      <c r="C901" s="22" t="s">
        <v>45</v>
      </c>
      <c r="D901" s="48" t="s">
        <v>5</v>
      </c>
      <c r="E901" t="s">
        <v>306</v>
      </c>
      <c r="F901">
        <v>2017</v>
      </c>
      <c r="G901" t="s">
        <v>307</v>
      </c>
      <c r="H901" s="42" t="s">
        <v>57</v>
      </c>
      <c r="J901" t="s">
        <v>248</v>
      </c>
      <c r="L901" s="34">
        <v>2</v>
      </c>
      <c r="M901" s="38">
        <v>0.75</v>
      </c>
      <c r="N901" s="38">
        <f t="shared" si="14"/>
        <v>1.5</v>
      </c>
    </row>
    <row r="902" spans="1:14">
      <c r="A902" s="29">
        <v>43049</v>
      </c>
      <c r="B902" s="22" t="s">
        <v>120</v>
      </c>
      <c r="C902" s="22" t="s">
        <v>45</v>
      </c>
      <c r="D902" s="48" t="s">
        <v>8</v>
      </c>
      <c r="E902" t="s">
        <v>272</v>
      </c>
      <c r="F902">
        <v>2017</v>
      </c>
      <c r="G902" t="s">
        <v>357</v>
      </c>
      <c r="H902" s="42" t="s">
        <v>57</v>
      </c>
      <c r="J902" t="s">
        <v>248</v>
      </c>
      <c r="L902" s="34">
        <v>1</v>
      </c>
      <c r="M902" s="38">
        <v>0.75</v>
      </c>
      <c r="N902" s="38">
        <f t="shared" si="14"/>
        <v>0.75</v>
      </c>
    </row>
    <row r="903" spans="1:14">
      <c r="A903" s="29">
        <v>43052</v>
      </c>
      <c r="B903" s="22" t="s">
        <v>79</v>
      </c>
      <c r="C903" s="22" t="s">
        <v>57</v>
      </c>
      <c r="D903" s="48" t="s">
        <v>5</v>
      </c>
      <c r="E903" t="s">
        <v>157</v>
      </c>
      <c r="F903">
        <v>2017</v>
      </c>
      <c r="G903" t="s">
        <v>326</v>
      </c>
      <c r="H903" s="42" t="s">
        <v>57</v>
      </c>
      <c r="J903" t="s">
        <v>248</v>
      </c>
      <c r="L903" s="34">
        <v>2</v>
      </c>
      <c r="M903" s="38">
        <v>0.75</v>
      </c>
      <c r="N903" s="38">
        <f t="shared" si="14"/>
        <v>1.5</v>
      </c>
    </row>
    <row r="904" spans="1:14">
      <c r="A904" s="29">
        <v>43052</v>
      </c>
      <c r="B904" s="22" t="s">
        <v>79</v>
      </c>
      <c r="C904" s="22" t="s">
        <v>57</v>
      </c>
      <c r="D904" s="48" t="s">
        <v>5</v>
      </c>
      <c r="E904" t="s">
        <v>157</v>
      </c>
      <c r="F904">
        <v>2017</v>
      </c>
      <c r="G904" t="s">
        <v>247</v>
      </c>
      <c r="H904" s="42" t="s">
        <v>57</v>
      </c>
      <c r="J904" t="s">
        <v>248</v>
      </c>
      <c r="L904" s="34">
        <v>2</v>
      </c>
      <c r="M904" s="38">
        <v>0.75</v>
      </c>
      <c r="N904" s="38">
        <f t="shared" si="14"/>
        <v>1.5</v>
      </c>
    </row>
    <row r="905" spans="1:14">
      <c r="A905" s="29">
        <v>43052</v>
      </c>
      <c r="B905" s="22" t="s">
        <v>79</v>
      </c>
      <c r="C905" s="22" t="s">
        <v>57</v>
      </c>
      <c r="D905" s="48" t="s">
        <v>5</v>
      </c>
      <c r="E905" t="s">
        <v>159</v>
      </c>
      <c r="F905">
        <v>2017</v>
      </c>
      <c r="G905" t="s">
        <v>319</v>
      </c>
      <c r="H905" s="42">
        <v>26</v>
      </c>
      <c r="J905" t="s">
        <v>248</v>
      </c>
      <c r="L905" s="34">
        <v>2</v>
      </c>
      <c r="M905" s="38">
        <v>0.75</v>
      </c>
      <c r="N905" s="38">
        <f t="shared" si="14"/>
        <v>1.5</v>
      </c>
    </row>
    <row r="906" spans="1:14">
      <c r="A906" s="29">
        <v>43052</v>
      </c>
      <c r="B906" s="22" t="s">
        <v>79</v>
      </c>
      <c r="C906" s="22" t="s">
        <v>57</v>
      </c>
      <c r="D906" s="48" t="s">
        <v>5</v>
      </c>
      <c r="E906" t="s">
        <v>262</v>
      </c>
      <c r="F906">
        <v>2017</v>
      </c>
      <c r="G906" t="s">
        <v>307</v>
      </c>
      <c r="H906" s="42" t="s">
        <v>57</v>
      </c>
      <c r="J906" t="s">
        <v>248</v>
      </c>
      <c r="L906" s="34">
        <v>2</v>
      </c>
      <c r="M906" s="38">
        <v>0.75</v>
      </c>
      <c r="N906" s="38">
        <f t="shared" si="14"/>
        <v>1.5</v>
      </c>
    </row>
    <row r="907" spans="1:14">
      <c r="A907" s="29">
        <v>43052</v>
      </c>
      <c r="B907" s="22" t="s">
        <v>79</v>
      </c>
      <c r="C907" s="22" t="s">
        <v>57</v>
      </c>
      <c r="D907" s="48" t="s">
        <v>8</v>
      </c>
      <c r="E907" t="s">
        <v>179</v>
      </c>
      <c r="F907">
        <v>2017</v>
      </c>
      <c r="G907" t="s">
        <v>318</v>
      </c>
      <c r="H907" s="42" t="s">
        <v>57</v>
      </c>
      <c r="J907" t="s">
        <v>248</v>
      </c>
      <c r="L907" s="34">
        <v>2</v>
      </c>
      <c r="M907" s="38">
        <v>0.75</v>
      </c>
      <c r="N907" s="38">
        <f t="shared" si="14"/>
        <v>1.5</v>
      </c>
    </row>
    <row r="908" spans="1:14">
      <c r="A908" s="29">
        <v>43052</v>
      </c>
      <c r="B908" s="22" t="s">
        <v>79</v>
      </c>
      <c r="C908" s="22" t="s">
        <v>57</v>
      </c>
      <c r="D908" s="48" t="s">
        <v>8</v>
      </c>
      <c r="E908" t="s">
        <v>259</v>
      </c>
      <c r="F908">
        <v>2017</v>
      </c>
      <c r="G908" t="s">
        <v>57</v>
      </c>
      <c r="H908" s="42">
        <v>334</v>
      </c>
      <c r="J908" t="s">
        <v>248</v>
      </c>
      <c r="L908" s="34">
        <v>2</v>
      </c>
      <c r="M908" s="38">
        <v>0.75</v>
      </c>
      <c r="N908" s="38">
        <f t="shared" si="14"/>
        <v>1.5</v>
      </c>
    </row>
    <row r="909" spans="1:14">
      <c r="A909" s="29">
        <v>43052</v>
      </c>
      <c r="B909" s="22" t="s">
        <v>28</v>
      </c>
      <c r="C909" s="22" t="s">
        <v>271</v>
      </c>
      <c r="D909" s="48" t="s">
        <v>5</v>
      </c>
      <c r="E909" t="s">
        <v>158</v>
      </c>
      <c r="F909">
        <v>2017</v>
      </c>
      <c r="G909" t="s">
        <v>490</v>
      </c>
      <c r="H909" s="42" t="s">
        <v>57</v>
      </c>
      <c r="J909" t="s">
        <v>248</v>
      </c>
      <c r="L909" s="34">
        <v>6</v>
      </c>
      <c r="M909" s="38">
        <v>0.75</v>
      </c>
      <c r="N909" s="38">
        <f t="shared" si="14"/>
        <v>4.5</v>
      </c>
    </row>
    <row r="910" spans="1:14">
      <c r="A910" s="29">
        <v>43052</v>
      </c>
      <c r="B910" s="22" t="s">
        <v>63</v>
      </c>
      <c r="C910" s="22" t="s">
        <v>57</v>
      </c>
      <c r="D910" s="48" t="s">
        <v>5</v>
      </c>
      <c r="E910" t="s">
        <v>255</v>
      </c>
      <c r="F910">
        <v>2017</v>
      </c>
      <c r="G910" t="s">
        <v>57</v>
      </c>
      <c r="H910" s="42">
        <v>417</v>
      </c>
      <c r="J910" t="s">
        <v>248</v>
      </c>
      <c r="L910" s="34">
        <v>6</v>
      </c>
      <c r="M910" s="38">
        <v>0.75</v>
      </c>
      <c r="N910" s="38">
        <f t="shared" si="14"/>
        <v>4.5</v>
      </c>
    </row>
    <row r="911" spans="1:14">
      <c r="A911" s="29">
        <v>43052</v>
      </c>
      <c r="B911" s="22" t="s">
        <v>63</v>
      </c>
      <c r="C911" s="22" t="s">
        <v>57</v>
      </c>
      <c r="D911" s="48" t="s">
        <v>5</v>
      </c>
      <c r="E911" t="s">
        <v>157</v>
      </c>
      <c r="F911">
        <v>2017</v>
      </c>
      <c r="G911" t="s">
        <v>326</v>
      </c>
      <c r="H911" s="42" t="s">
        <v>57</v>
      </c>
      <c r="J911" t="s">
        <v>248</v>
      </c>
      <c r="L911" s="34">
        <v>4</v>
      </c>
      <c r="M911" s="38">
        <v>0.75</v>
      </c>
      <c r="N911" s="38">
        <f t="shared" si="14"/>
        <v>3</v>
      </c>
    </row>
    <row r="912" spans="1:14">
      <c r="A912" s="29">
        <v>43052</v>
      </c>
      <c r="B912" s="22" t="s">
        <v>63</v>
      </c>
      <c r="C912" s="22" t="s">
        <v>57</v>
      </c>
      <c r="D912" s="48" t="s">
        <v>5</v>
      </c>
      <c r="E912" t="s">
        <v>157</v>
      </c>
      <c r="F912">
        <v>2017</v>
      </c>
      <c r="G912" t="s">
        <v>247</v>
      </c>
      <c r="H912" s="42" t="s">
        <v>57</v>
      </c>
      <c r="J912" t="s">
        <v>248</v>
      </c>
      <c r="L912" s="34">
        <v>4</v>
      </c>
      <c r="M912" s="38">
        <v>0.75</v>
      </c>
      <c r="N912" s="38">
        <f t="shared" si="14"/>
        <v>3</v>
      </c>
    </row>
    <row r="913" spans="1:14">
      <c r="A913" s="29">
        <v>43052</v>
      </c>
      <c r="B913" s="22" t="s">
        <v>57</v>
      </c>
      <c r="C913" s="22" t="s">
        <v>249</v>
      </c>
      <c r="D913" s="48" t="s">
        <v>5</v>
      </c>
      <c r="E913" t="s">
        <v>157</v>
      </c>
      <c r="F913">
        <v>2017</v>
      </c>
      <c r="G913" t="s">
        <v>326</v>
      </c>
      <c r="H913" s="42" t="s">
        <v>57</v>
      </c>
      <c r="J913" t="s">
        <v>248</v>
      </c>
      <c r="L913" s="34">
        <v>2</v>
      </c>
      <c r="M913" s="38">
        <v>0.75</v>
      </c>
      <c r="N913" s="38">
        <f t="shared" si="14"/>
        <v>1.5</v>
      </c>
    </row>
    <row r="914" spans="1:14">
      <c r="A914" s="29">
        <v>43052</v>
      </c>
      <c r="B914" s="22" t="s">
        <v>57</v>
      </c>
      <c r="C914" s="22" t="s">
        <v>249</v>
      </c>
      <c r="D914" s="48" t="s">
        <v>5</v>
      </c>
      <c r="E914" t="s">
        <v>157</v>
      </c>
      <c r="F914">
        <v>2017</v>
      </c>
      <c r="G914" t="s">
        <v>247</v>
      </c>
      <c r="H914" s="42" t="s">
        <v>57</v>
      </c>
      <c r="J914" t="s">
        <v>248</v>
      </c>
      <c r="L914" s="34">
        <v>2</v>
      </c>
      <c r="M914" s="38">
        <v>0.75</v>
      </c>
      <c r="N914" s="38">
        <f t="shared" si="14"/>
        <v>1.5</v>
      </c>
    </row>
    <row r="915" spans="1:14">
      <c r="A915" s="29">
        <v>43052</v>
      </c>
      <c r="B915" s="22" t="s">
        <v>57</v>
      </c>
      <c r="C915" s="22" t="s">
        <v>249</v>
      </c>
      <c r="D915" s="48" t="s">
        <v>5</v>
      </c>
      <c r="E915" t="s">
        <v>255</v>
      </c>
      <c r="F915">
        <v>2017</v>
      </c>
      <c r="G915" t="s">
        <v>57</v>
      </c>
      <c r="H915" s="42">
        <v>417</v>
      </c>
      <c r="J915" t="s">
        <v>248</v>
      </c>
      <c r="L915" s="34">
        <v>2</v>
      </c>
      <c r="M915" s="38">
        <v>0.75</v>
      </c>
      <c r="N915" s="38">
        <f t="shared" si="14"/>
        <v>1.5</v>
      </c>
    </row>
    <row r="916" spans="1:14">
      <c r="A916" s="29">
        <v>43052</v>
      </c>
      <c r="B916" s="22" t="s">
        <v>57</v>
      </c>
      <c r="C916" s="22" t="s">
        <v>249</v>
      </c>
      <c r="D916" s="48" t="s">
        <v>8</v>
      </c>
      <c r="E916" t="s">
        <v>272</v>
      </c>
      <c r="F916">
        <v>2017</v>
      </c>
      <c r="G916" t="s">
        <v>357</v>
      </c>
      <c r="H916" s="42" t="s">
        <v>57</v>
      </c>
      <c r="J916" t="s">
        <v>248</v>
      </c>
      <c r="L916" s="34">
        <v>2</v>
      </c>
      <c r="M916" s="38">
        <v>0.75</v>
      </c>
      <c r="N916" s="38">
        <f t="shared" si="14"/>
        <v>1.5</v>
      </c>
    </row>
    <row r="917" spans="1:14">
      <c r="A917" s="29">
        <v>43052</v>
      </c>
      <c r="B917" s="22" t="s">
        <v>124</v>
      </c>
      <c r="C917" s="22" t="s">
        <v>47</v>
      </c>
      <c r="D917" s="48" t="s">
        <v>8</v>
      </c>
      <c r="E917" t="s">
        <v>272</v>
      </c>
      <c r="F917">
        <v>2017</v>
      </c>
      <c r="G917" t="s">
        <v>357</v>
      </c>
      <c r="H917" s="42" t="s">
        <v>57</v>
      </c>
      <c r="J917" t="s">
        <v>248</v>
      </c>
      <c r="L917" s="34">
        <v>2</v>
      </c>
      <c r="M917" s="38">
        <v>0.75</v>
      </c>
      <c r="N917" s="38">
        <f t="shared" si="14"/>
        <v>1.5</v>
      </c>
    </row>
    <row r="918" spans="1:14">
      <c r="A918" s="29">
        <v>43052</v>
      </c>
      <c r="B918" s="22" t="s">
        <v>124</v>
      </c>
      <c r="C918" s="22" t="s">
        <v>47</v>
      </c>
      <c r="D918" s="48" t="s">
        <v>5</v>
      </c>
      <c r="E918" t="s">
        <v>157</v>
      </c>
      <c r="F918">
        <v>2017</v>
      </c>
      <c r="G918" t="s">
        <v>326</v>
      </c>
      <c r="H918" s="42" t="s">
        <v>57</v>
      </c>
      <c r="J918" t="s">
        <v>248</v>
      </c>
      <c r="L918" s="34">
        <v>2</v>
      </c>
      <c r="M918" s="38">
        <v>0.75</v>
      </c>
      <c r="N918" s="38">
        <f t="shared" si="14"/>
        <v>1.5</v>
      </c>
    </row>
    <row r="919" spans="1:14">
      <c r="A919" s="29">
        <v>43052</v>
      </c>
      <c r="B919" s="22" t="s">
        <v>124</v>
      </c>
      <c r="C919" s="22" t="s">
        <v>47</v>
      </c>
      <c r="D919" s="48" t="s">
        <v>5</v>
      </c>
      <c r="E919" t="s">
        <v>157</v>
      </c>
      <c r="F919">
        <v>2017</v>
      </c>
      <c r="G919" t="s">
        <v>247</v>
      </c>
      <c r="H919" s="42" t="s">
        <v>57</v>
      </c>
      <c r="J919" t="s">
        <v>248</v>
      </c>
      <c r="L919" s="34">
        <v>2</v>
      </c>
      <c r="M919" s="38">
        <v>0.75</v>
      </c>
      <c r="N919" s="38">
        <f t="shared" si="14"/>
        <v>1.5</v>
      </c>
    </row>
    <row r="920" spans="1:14">
      <c r="A920" s="29">
        <v>43052</v>
      </c>
      <c r="B920" s="22" t="s">
        <v>124</v>
      </c>
      <c r="C920" s="22" t="s">
        <v>47</v>
      </c>
      <c r="D920" s="48" t="s">
        <v>5</v>
      </c>
      <c r="E920" t="s">
        <v>306</v>
      </c>
      <c r="F920">
        <v>2017</v>
      </c>
      <c r="G920" t="s">
        <v>307</v>
      </c>
      <c r="H920" s="42" t="s">
        <v>57</v>
      </c>
      <c r="J920" t="s">
        <v>248</v>
      </c>
      <c r="L920" s="34">
        <v>2</v>
      </c>
      <c r="M920" s="38">
        <v>0.75</v>
      </c>
      <c r="N920" s="38">
        <f t="shared" si="14"/>
        <v>1.5</v>
      </c>
    </row>
    <row r="921" spans="1:14">
      <c r="A921" s="29">
        <v>43052</v>
      </c>
      <c r="B921" s="22" t="s">
        <v>110</v>
      </c>
      <c r="C921" s="22" t="s">
        <v>57</v>
      </c>
      <c r="D921" s="48" t="s">
        <v>5</v>
      </c>
      <c r="E921" t="s">
        <v>159</v>
      </c>
      <c r="F921">
        <v>2017</v>
      </c>
      <c r="G921" t="s">
        <v>319</v>
      </c>
      <c r="H921" s="42">
        <v>26</v>
      </c>
      <c r="J921" t="s">
        <v>248</v>
      </c>
      <c r="L921" s="34">
        <v>3</v>
      </c>
      <c r="M921" s="38">
        <v>0.75</v>
      </c>
      <c r="N921" s="38">
        <f t="shared" si="14"/>
        <v>2.25</v>
      </c>
    </row>
    <row r="922" spans="1:14">
      <c r="A922" s="29">
        <v>43052</v>
      </c>
      <c r="B922" s="22" t="s">
        <v>110</v>
      </c>
      <c r="C922" s="22" t="s">
        <v>57</v>
      </c>
      <c r="D922" s="48" t="s">
        <v>5</v>
      </c>
      <c r="E922" t="s">
        <v>157</v>
      </c>
      <c r="F922">
        <v>2017</v>
      </c>
      <c r="G922" t="s">
        <v>326</v>
      </c>
      <c r="H922" s="42" t="s">
        <v>57</v>
      </c>
      <c r="J922" t="s">
        <v>248</v>
      </c>
      <c r="L922" s="34">
        <v>3</v>
      </c>
      <c r="M922" s="38">
        <v>0.75</v>
      </c>
      <c r="N922" s="38">
        <f t="shared" si="14"/>
        <v>2.25</v>
      </c>
    </row>
    <row r="923" spans="1:14">
      <c r="A923" s="29">
        <v>43052</v>
      </c>
      <c r="B923" s="22" t="s">
        <v>110</v>
      </c>
      <c r="C923" s="22" t="s">
        <v>57</v>
      </c>
      <c r="D923" s="48" t="s">
        <v>5</v>
      </c>
      <c r="E923" t="s">
        <v>159</v>
      </c>
      <c r="F923">
        <v>2016</v>
      </c>
      <c r="G923" t="s">
        <v>57</v>
      </c>
      <c r="H923" s="42" t="s">
        <v>57</v>
      </c>
      <c r="J923" t="s">
        <v>248</v>
      </c>
      <c r="K923" t="s">
        <v>491</v>
      </c>
      <c r="L923" s="34">
        <v>4</v>
      </c>
      <c r="M923" s="38">
        <v>0.75</v>
      </c>
      <c r="N923" s="38">
        <f t="shared" si="14"/>
        <v>3</v>
      </c>
    </row>
    <row r="924" spans="1:14">
      <c r="A924" s="29">
        <v>43055</v>
      </c>
      <c r="B924" s="22" t="s">
        <v>63</v>
      </c>
      <c r="C924" s="22" t="s">
        <v>57</v>
      </c>
      <c r="D924" s="48" t="s">
        <v>5</v>
      </c>
      <c r="E924" t="s">
        <v>159</v>
      </c>
      <c r="F924">
        <v>2017</v>
      </c>
      <c r="G924" t="s">
        <v>326</v>
      </c>
      <c r="H924" s="42">
        <v>423</v>
      </c>
      <c r="J924" t="s">
        <v>248</v>
      </c>
      <c r="L924" s="34">
        <v>2</v>
      </c>
      <c r="M924" s="38">
        <v>0.75</v>
      </c>
      <c r="N924" s="38">
        <f t="shared" si="14"/>
        <v>1.5</v>
      </c>
    </row>
    <row r="925" spans="1:14">
      <c r="A925" s="29">
        <v>43055</v>
      </c>
      <c r="B925" s="22" t="s">
        <v>63</v>
      </c>
      <c r="C925" s="22" t="s">
        <v>57</v>
      </c>
      <c r="D925" s="48" t="s">
        <v>5</v>
      </c>
      <c r="E925" t="s">
        <v>159</v>
      </c>
      <c r="F925">
        <v>2017</v>
      </c>
      <c r="G925" t="s">
        <v>247</v>
      </c>
      <c r="H925" s="42">
        <v>405</v>
      </c>
      <c r="J925" t="s">
        <v>248</v>
      </c>
      <c r="L925" s="34">
        <v>2</v>
      </c>
      <c r="M925" s="38">
        <v>0.75</v>
      </c>
      <c r="N925" s="38">
        <f t="shared" si="14"/>
        <v>1.5</v>
      </c>
    </row>
    <row r="926" spans="1:14">
      <c r="A926" s="29">
        <v>43055</v>
      </c>
      <c r="B926" s="22" t="s">
        <v>109</v>
      </c>
      <c r="C926" s="22" t="s">
        <v>57</v>
      </c>
      <c r="D926" s="48" t="s">
        <v>5</v>
      </c>
      <c r="E926" t="s">
        <v>159</v>
      </c>
      <c r="F926">
        <v>2017</v>
      </c>
      <c r="G926" t="s">
        <v>319</v>
      </c>
      <c r="H926" s="42">
        <v>310</v>
      </c>
      <c r="J926" t="s">
        <v>248</v>
      </c>
      <c r="L926" s="34">
        <v>3</v>
      </c>
      <c r="M926" s="38">
        <v>0.75</v>
      </c>
      <c r="N926" s="38">
        <f t="shared" si="14"/>
        <v>2.25</v>
      </c>
    </row>
    <row r="927" spans="1:14">
      <c r="A927" s="29">
        <v>43055</v>
      </c>
      <c r="B927" s="22" t="s">
        <v>109</v>
      </c>
      <c r="C927" s="22" t="s">
        <v>57</v>
      </c>
      <c r="D927" s="48" t="s">
        <v>5</v>
      </c>
      <c r="E927" t="s">
        <v>178</v>
      </c>
      <c r="F927">
        <v>2017</v>
      </c>
      <c r="G927" t="s">
        <v>57</v>
      </c>
      <c r="H927" s="42">
        <v>313</v>
      </c>
      <c r="J927" t="s">
        <v>248</v>
      </c>
      <c r="L927" s="34">
        <v>3</v>
      </c>
      <c r="M927" s="38">
        <v>0.75</v>
      </c>
      <c r="N927" s="38">
        <f t="shared" si="14"/>
        <v>2.25</v>
      </c>
    </row>
    <row r="928" spans="1:14">
      <c r="A928" s="29">
        <v>43055</v>
      </c>
      <c r="B928" s="22" t="s">
        <v>57</v>
      </c>
      <c r="C928" s="22" t="s">
        <v>49</v>
      </c>
      <c r="D928" s="48" t="s">
        <v>5</v>
      </c>
      <c r="E928" t="s">
        <v>158</v>
      </c>
      <c r="F928">
        <v>2017</v>
      </c>
      <c r="G928" t="s">
        <v>490</v>
      </c>
      <c r="H928" s="42" t="s">
        <v>57</v>
      </c>
      <c r="J928" t="s">
        <v>248</v>
      </c>
      <c r="L928" s="34">
        <v>6</v>
      </c>
      <c r="M928" s="38">
        <v>0.75</v>
      </c>
      <c r="N928" s="38">
        <f t="shared" si="14"/>
        <v>4.5</v>
      </c>
    </row>
    <row r="929" spans="1:14">
      <c r="A929" s="29">
        <v>43055</v>
      </c>
      <c r="B929" s="22" t="s">
        <v>78</v>
      </c>
      <c r="C929" s="22" t="s">
        <v>41</v>
      </c>
      <c r="D929" s="48" t="s">
        <v>5</v>
      </c>
      <c r="E929" t="s">
        <v>158</v>
      </c>
      <c r="F929">
        <v>2017</v>
      </c>
      <c r="G929" t="s">
        <v>490</v>
      </c>
      <c r="H929" s="42" t="s">
        <v>57</v>
      </c>
      <c r="J929" t="s">
        <v>248</v>
      </c>
      <c r="L929" s="34">
        <v>2</v>
      </c>
      <c r="M929" s="38">
        <v>0.75</v>
      </c>
      <c r="N929" s="38">
        <f t="shared" si="14"/>
        <v>1.5</v>
      </c>
    </row>
    <row r="930" spans="1:14">
      <c r="A930" s="29">
        <v>43055</v>
      </c>
      <c r="B930" s="22" t="s">
        <v>64</v>
      </c>
      <c r="C930" s="22" t="s">
        <v>492</v>
      </c>
      <c r="D930" s="48" t="s">
        <v>5</v>
      </c>
      <c r="E930" t="s">
        <v>255</v>
      </c>
      <c r="F930">
        <v>2017</v>
      </c>
      <c r="G930" t="s">
        <v>57</v>
      </c>
      <c r="H930" s="42">
        <v>417</v>
      </c>
      <c r="J930" t="s">
        <v>248</v>
      </c>
      <c r="L930" s="34">
        <v>2</v>
      </c>
      <c r="M930" s="38">
        <v>0.75</v>
      </c>
      <c r="N930" s="38">
        <f t="shared" si="14"/>
        <v>1.5</v>
      </c>
    </row>
    <row r="931" spans="1:14">
      <c r="A931" s="29">
        <v>43055</v>
      </c>
      <c r="B931" s="22" t="s">
        <v>64</v>
      </c>
      <c r="C931" s="22" t="s">
        <v>492</v>
      </c>
      <c r="D931" s="48" t="s">
        <v>5</v>
      </c>
      <c r="E931" t="s">
        <v>157</v>
      </c>
      <c r="F931">
        <v>2017</v>
      </c>
      <c r="G931" t="s">
        <v>247</v>
      </c>
      <c r="H931" s="42" t="s">
        <v>57</v>
      </c>
      <c r="J931" t="s">
        <v>248</v>
      </c>
      <c r="L931" s="34">
        <v>2</v>
      </c>
      <c r="M931" s="38">
        <v>0.75</v>
      </c>
      <c r="N931" s="38">
        <f t="shared" si="14"/>
        <v>1.5</v>
      </c>
    </row>
    <row r="932" spans="1:14">
      <c r="A932" s="29">
        <v>43055</v>
      </c>
      <c r="B932" s="22" t="s">
        <v>64</v>
      </c>
      <c r="C932" s="22" t="s">
        <v>492</v>
      </c>
      <c r="D932" s="48" t="s">
        <v>5</v>
      </c>
      <c r="E932" t="s">
        <v>157</v>
      </c>
      <c r="F932">
        <v>2017</v>
      </c>
      <c r="G932" t="s">
        <v>326</v>
      </c>
      <c r="H932" s="42">
        <v>199</v>
      </c>
      <c r="J932" t="s">
        <v>248</v>
      </c>
      <c r="L932" s="34">
        <v>2</v>
      </c>
      <c r="M932" s="38">
        <v>0.75</v>
      </c>
      <c r="N932" s="38">
        <f t="shared" si="14"/>
        <v>1.5</v>
      </c>
    </row>
    <row r="933" spans="1:14">
      <c r="A933" s="29">
        <v>43055</v>
      </c>
      <c r="B933" s="22" t="s">
        <v>6</v>
      </c>
      <c r="C933" s="22" t="s">
        <v>41</v>
      </c>
      <c r="D933" s="48" t="s">
        <v>5</v>
      </c>
      <c r="E933" t="s">
        <v>255</v>
      </c>
      <c r="F933">
        <v>2017</v>
      </c>
      <c r="G933" t="s">
        <v>57</v>
      </c>
      <c r="H933" s="42">
        <v>417</v>
      </c>
      <c r="J933" t="s">
        <v>248</v>
      </c>
      <c r="L933" s="34">
        <v>1</v>
      </c>
      <c r="M933" s="38">
        <v>0.75</v>
      </c>
      <c r="N933" s="38">
        <f t="shared" si="14"/>
        <v>0.75</v>
      </c>
    </row>
    <row r="934" spans="1:14">
      <c r="A934" s="29">
        <v>43055</v>
      </c>
      <c r="B934" s="22" t="s">
        <v>6</v>
      </c>
      <c r="C934" s="22" t="s">
        <v>41</v>
      </c>
      <c r="D934" s="48" t="s">
        <v>8</v>
      </c>
      <c r="E934" t="s">
        <v>272</v>
      </c>
      <c r="F934">
        <v>2017</v>
      </c>
      <c r="G934" t="s">
        <v>359</v>
      </c>
      <c r="H934" s="42" t="s">
        <v>57</v>
      </c>
      <c r="J934" t="s">
        <v>248</v>
      </c>
      <c r="L934" s="34">
        <v>2</v>
      </c>
      <c r="M934" s="38">
        <v>0.75</v>
      </c>
      <c r="N934" s="38">
        <f t="shared" si="14"/>
        <v>1.5</v>
      </c>
    </row>
    <row r="935" spans="1:14">
      <c r="A935" s="29">
        <v>43055</v>
      </c>
      <c r="B935" s="22" t="s">
        <v>6</v>
      </c>
      <c r="C935" s="22" t="s">
        <v>41</v>
      </c>
      <c r="D935" s="48" t="s">
        <v>8</v>
      </c>
      <c r="E935" t="s">
        <v>179</v>
      </c>
      <c r="F935">
        <v>2017</v>
      </c>
      <c r="G935" t="s">
        <v>318</v>
      </c>
      <c r="H935" s="42" t="s">
        <v>57</v>
      </c>
      <c r="J935" t="s">
        <v>248</v>
      </c>
      <c r="L935" s="34">
        <v>2</v>
      </c>
      <c r="M935" s="38">
        <v>0.75</v>
      </c>
      <c r="N935" s="38">
        <f t="shared" si="14"/>
        <v>1.5</v>
      </c>
    </row>
    <row r="936" spans="1:14">
      <c r="A936" s="29">
        <v>43055</v>
      </c>
      <c r="B936" s="22" t="s">
        <v>6</v>
      </c>
      <c r="C936" s="22" t="s">
        <v>41</v>
      </c>
      <c r="D936" s="48" t="s">
        <v>8</v>
      </c>
      <c r="E936" t="s">
        <v>178</v>
      </c>
      <c r="F936">
        <v>2017</v>
      </c>
      <c r="G936" t="s">
        <v>57</v>
      </c>
      <c r="H936" s="42">
        <v>313</v>
      </c>
      <c r="J936" t="s">
        <v>248</v>
      </c>
      <c r="L936" s="34">
        <v>2</v>
      </c>
      <c r="M936" s="38">
        <v>0.75</v>
      </c>
      <c r="N936" s="38">
        <f t="shared" si="14"/>
        <v>1.5</v>
      </c>
    </row>
    <row r="937" spans="1:14">
      <c r="A937" s="29">
        <v>43055</v>
      </c>
      <c r="B937" s="22" t="s">
        <v>57</v>
      </c>
      <c r="C937" s="22" t="s">
        <v>127</v>
      </c>
      <c r="D937" s="48" t="s">
        <v>5</v>
      </c>
      <c r="E937" t="s">
        <v>267</v>
      </c>
      <c r="F937">
        <v>2017</v>
      </c>
      <c r="G937" t="s">
        <v>57</v>
      </c>
      <c r="H937" s="42">
        <v>88</v>
      </c>
      <c r="J937" t="s">
        <v>248</v>
      </c>
      <c r="L937" s="34">
        <v>1</v>
      </c>
      <c r="M937" s="38">
        <v>0.75</v>
      </c>
      <c r="N937" s="38">
        <f t="shared" si="14"/>
        <v>0.75</v>
      </c>
    </row>
    <row r="938" spans="1:14">
      <c r="A938" s="29">
        <v>43055</v>
      </c>
      <c r="B938" s="22" t="s">
        <v>57</v>
      </c>
      <c r="C938" s="22" t="s">
        <v>127</v>
      </c>
      <c r="D938" s="48" t="s">
        <v>5</v>
      </c>
      <c r="E938" t="s">
        <v>287</v>
      </c>
      <c r="F938">
        <v>2017</v>
      </c>
      <c r="G938" t="s">
        <v>57</v>
      </c>
      <c r="H938" s="42">
        <v>98</v>
      </c>
      <c r="J938" t="s">
        <v>248</v>
      </c>
      <c r="L938" s="34">
        <v>1</v>
      </c>
      <c r="M938" s="38">
        <v>0.75</v>
      </c>
      <c r="N938" s="38">
        <f t="shared" si="14"/>
        <v>0.75</v>
      </c>
    </row>
    <row r="939" spans="1:14">
      <c r="A939" s="29">
        <v>43059</v>
      </c>
      <c r="B939" s="22" t="s">
        <v>60</v>
      </c>
      <c r="C939" s="22" t="s">
        <v>53</v>
      </c>
      <c r="D939" s="48" t="s">
        <v>5</v>
      </c>
      <c r="E939" t="s">
        <v>158</v>
      </c>
      <c r="F939">
        <v>2017</v>
      </c>
      <c r="G939" t="s">
        <v>490</v>
      </c>
      <c r="H939" s="42" t="s">
        <v>57</v>
      </c>
      <c r="J939" t="s">
        <v>248</v>
      </c>
      <c r="L939" s="34">
        <v>2</v>
      </c>
      <c r="M939" s="38">
        <v>0.75</v>
      </c>
      <c r="N939" s="38">
        <f t="shared" si="14"/>
        <v>1.5</v>
      </c>
    </row>
    <row r="940" spans="1:14">
      <c r="A940" s="29">
        <v>43059</v>
      </c>
      <c r="B940" s="22" t="s">
        <v>60</v>
      </c>
      <c r="C940" s="22" t="s">
        <v>53</v>
      </c>
      <c r="D940" s="48" t="s">
        <v>11</v>
      </c>
      <c r="E940" t="s">
        <v>177</v>
      </c>
      <c r="F940">
        <v>2017</v>
      </c>
      <c r="G940" t="s">
        <v>317</v>
      </c>
      <c r="H940" s="42" t="s">
        <v>57</v>
      </c>
      <c r="J940" t="s">
        <v>248</v>
      </c>
      <c r="L940" s="34">
        <v>2</v>
      </c>
      <c r="M940" s="38">
        <v>0.75</v>
      </c>
      <c r="N940" s="38">
        <f t="shared" si="14"/>
        <v>1.5</v>
      </c>
    </row>
    <row r="941" spans="1:14">
      <c r="A941" s="29">
        <v>43059</v>
      </c>
      <c r="B941" s="22" t="s">
        <v>63</v>
      </c>
      <c r="C941" s="22" t="s">
        <v>57</v>
      </c>
      <c r="D941" s="48" t="s">
        <v>5</v>
      </c>
      <c r="E941" t="s">
        <v>488</v>
      </c>
      <c r="F941">
        <v>2017</v>
      </c>
      <c r="G941" t="s">
        <v>57</v>
      </c>
      <c r="H941" s="42">
        <v>417</v>
      </c>
      <c r="J941" t="s">
        <v>248</v>
      </c>
      <c r="L941" s="34">
        <v>3</v>
      </c>
      <c r="M941" s="38">
        <v>0.75</v>
      </c>
      <c r="N941" s="38">
        <f t="shared" si="14"/>
        <v>2.25</v>
      </c>
    </row>
    <row r="942" spans="1:14">
      <c r="A942" s="29">
        <v>43059</v>
      </c>
      <c r="B942" s="22" t="s">
        <v>63</v>
      </c>
      <c r="C942" s="22" t="s">
        <v>57</v>
      </c>
      <c r="D942" s="48" t="s">
        <v>5</v>
      </c>
      <c r="E942" t="s">
        <v>158</v>
      </c>
      <c r="F942">
        <v>2017</v>
      </c>
      <c r="G942" t="s">
        <v>57</v>
      </c>
      <c r="H942" s="42">
        <v>56</v>
      </c>
      <c r="J942" t="s">
        <v>248</v>
      </c>
      <c r="L942" s="34">
        <v>3</v>
      </c>
      <c r="M942" s="38">
        <v>0.75</v>
      </c>
      <c r="N942" s="38">
        <f t="shared" si="14"/>
        <v>2.25</v>
      </c>
    </row>
    <row r="943" spans="1:14">
      <c r="A943" s="29">
        <v>43059</v>
      </c>
      <c r="B943" s="22" t="s">
        <v>63</v>
      </c>
      <c r="C943" s="22" t="s">
        <v>57</v>
      </c>
      <c r="D943" s="48" t="s">
        <v>5</v>
      </c>
      <c r="E943" t="s">
        <v>157</v>
      </c>
      <c r="F943">
        <v>2017</v>
      </c>
      <c r="G943" t="s">
        <v>326</v>
      </c>
      <c r="H943" s="42">
        <v>199</v>
      </c>
      <c r="J943" t="s">
        <v>248</v>
      </c>
      <c r="L943" s="34">
        <v>2</v>
      </c>
      <c r="M943" s="38">
        <v>0.75</v>
      </c>
      <c r="N943" s="38">
        <f t="shared" si="14"/>
        <v>1.5</v>
      </c>
    </row>
    <row r="944" spans="1:14">
      <c r="A944" s="29">
        <v>43059</v>
      </c>
      <c r="B944" s="22" t="s">
        <v>63</v>
      </c>
      <c r="C944" s="22" t="s">
        <v>57</v>
      </c>
      <c r="D944" s="48" t="s">
        <v>5</v>
      </c>
      <c r="E944" t="s">
        <v>157</v>
      </c>
      <c r="F944">
        <v>2017</v>
      </c>
      <c r="G944" t="s">
        <v>247</v>
      </c>
      <c r="H944" s="42" t="s">
        <v>57</v>
      </c>
      <c r="J944" t="s">
        <v>248</v>
      </c>
      <c r="L944" s="34">
        <v>2</v>
      </c>
      <c r="M944" s="38">
        <v>0.75</v>
      </c>
      <c r="N944" s="38">
        <f t="shared" si="14"/>
        <v>1.5</v>
      </c>
    </row>
    <row r="945" spans="1:14">
      <c r="A945" s="29">
        <v>43060</v>
      </c>
      <c r="B945" s="22" t="s">
        <v>113</v>
      </c>
      <c r="C945" s="22" t="s">
        <v>271</v>
      </c>
      <c r="D945" s="48" t="s">
        <v>5</v>
      </c>
      <c r="E945" t="s">
        <v>157</v>
      </c>
      <c r="F945">
        <v>2017</v>
      </c>
      <c r="G945" t="s">
        <v>257</v>
      </c>
      <c r="H945" s="42">
        <v>17</v>
      </c>
      <c r="J945" t="s">
        <v>248</v>
      </c>
      <c r="L945" s="34">
        <v>3</v>
      </c>
      <c r="M945" s="38">
        <v>0.75</v>
      </c>
      <c r="N945" s="38">
        <f t="shared" si="14"/>
        <v>2.25</v>
      </c>
    </row>
    <row r="946" spans="1:14">
      <c r="A946" s="29">
        <v>43060</v>
      </c>
      <c r="B946" s="22" t="s">
        <v>113</v>
      </c>
      <c r="C946" s="22" t="s">
        <v>271</v>
      </c>
      <c r="D946" s="48" t="s">
        <v>5</v>
      </c>
      <c r="E946" t="s">
        <v>262</v>
      </c>
      <c r="F946">
        <v>2017</v>
      </c>
      <c r="G946" t="s">
        <v>307</v>
      </c>
      <c r="H946" s="42" t="s">
        <v>57</v>
      </c>
      <c r="J946" t="s">
        <v>248</v>
      </c>
      <c r="L946" s="34">
        <v>3</v>
      </c>
      <c r="M946" s="38">
        <v>0.75</v>
      </c>
      <c r="N946" s="38">
        <f t="shared" si="14"/>
        <v>2.25</v>
      </c>
    </row>
    <row r="947" spans="1:14">
      <c r="A947" s="29">
        <v>43062</v>
      </c>
      <c r="B947" s="22" t="s">
        <v>109</v>
      </c>
      <c r="C947" s="22" t="s">
        <v>57</v>
      </c>
      <c r="D947" s="48" t="s">
        <v>5</v>
      </c>
      <c r="E947" t="s">
        <v>159</v>
      </c>
      <c r="F947">
        <v>2017</v>
      </c>
      <c r="G947" t="s">
        <v>319</v>
      </c>
      <c r="H947" s="42">
        <v>332</v>
      </c>
      <c r="J947" t="s">
        <v>248</v>
      </c>
      <c r="L947" s="34">
        <v>6</v>
      </c>
      <c r="M947" s="38">
        <v>0.75</v>
      </c>
      <c r="N947" s="38">
        <f t="shared" si="14"/>
        <v>4.5</v>
      </c>
    </row>
    <row r="948" spans="1:14">
      <c r="A948" s="29">
        <v>43062</v>
      </c>
      <c r="B948" s="22" t="s">
        <v>109</v>
      </c>
      <c r="C948" s="22" t="s">
        <v>57</v>
      </c>
      <c r="D948" s="48" t="s">
        <v>5</v>
      </c>
      <c r="E948" t="s">
        <v>157</v>
      </c>
      <c r="F948">
        <v>2017</v>
      </c>
      <c r="G948" t="s">
        <v>326</v>
      </c>
      <c r="H948" s="42">
        <v>16</v>
      </c>
      <c r="J948" t="s">
        <v>248</v>
      </c>
      <c r="L948" s="34">
        <v>3</v>
      </c>
      <c r="M948" s="38">
        <v>0.75</v>
      </c>
      <c r="N948" s="38">
        <f t="shared" si="14"/>
        <v>2.25</v>
      </c>
    </row>
    <row r="949" spans="1:14">
      <c r="A949" s="29">
        <v>43062</v>
      </c>
      <c r="B949" s="22" t="s">
        <v>13</v>
      </c>
      <c r="C949" s="22" t="s">
        <v>57</v>
      </c>
      <c r="D949" s="48" t="s">
        <v>11</v>
      </c>
      <c r="E949" t="s">
        <v>179</v>
      </c>
      <c r="F949">
        <v>2017</v>
      </c>
      <c r="G949" t="s">
        <v>57</v>
      </c>
      <c r="H949" s="42">
        <v>135</v>
      </c>
      <c r="J949" t="s">
        <v>248</v>
      </c>
      <c r="L949" s="34">
        <v>3</v>
      </c>
      <c r="M949" s="38">
        <v>0.75</v>
      </c>
      <c r="N949" s="38">
        <f t="shared" si="14"/>
        <v>2.25</v>
      </c>
    </row>
    <row r="950" spans="1:14">
      <c r="A950" s="29">
        <v>43062</v>
      </c>
      <c r="B950" s="22" t="s">
        <v>13</v>
      </c>
      <c r="C950" s="22" t="s">
        <v>57</v>
      </c>
      <c r="D950" s="48" t="s">
        <v>8</v>
      </c>
      <c r="E950" t="s">
        <v>259</v>
      </c>
      <c r="F950">
        <v>2017</v>
      </c>
      <c r="G950" t="s">
        <v>57</v>
      </c>
      <c r="H950" s="42">
        <v>334</v>
      </c>
      <c r="J950" t="s">
        <v>248</v>
      </c>
      <c r="L950" s="34">
        <v>1</v>
      </c>
      <c r="M950" s="38">
        <v>0.75</v>
      </c>
      <c r="N950" s="38">
        <f t="shared" si="14"/>
        <v>0.75</v>
      </c>
    </row>
    <row r="951" spans="1:14">
      <c r="A951" s="29">
        <v>43063</v>
      </c>
      <c r="B951" s="22" t="s">
        <v>81</v>
      </c>
      <c r="C951" s="22" t="s">
        <v>57</v>
      </c>
      <c r="D951" s="48" t="s">
        <v>5</v>
      </c>
      <c r="E951" t="s">
        <v>255</v>
      </c>
      <c r="F951">
        <v>2017</v>
      </c>
      <c r="G951" t="s">
        <v>57</v>
      </c>
      <c r="H951" s="42">
        <v>417</v>
      </c>
      <c r="J951" t="s">
        <v>248</v>
      </c>
      <c r="L951" s="34">
        <v>6</v>
      </c>
      <c r="M951" s="38">
        <v>0.75</v>
      </c>
      <c r="N951" s="38">
        <f t="shared" si="14"/>
        <v>4.5</v>
      </c>
    </row>
    <row r="952" spans="1:14">
      <c r="A952" s="29">
        <v>43066</v>
      </c>
      <c r="B952" s="22" t="s">
        <v>63</v>
      </c>
      <c r="C952" s="22" t="s">
        <v>57</v>
      </c>
      <c r="D952" s="48" t="s">
        <v>5</v>
      </c>
      <c r="E952" t="s">
        <v>255</v>
      </c>
      <c r="F952">
        <v>2017</v>
      </c>
      <c r="G952" t="s">
        <v>57</v>
      </c>
      <c r="H952" s="42">
        <v>417</v>
      </c>
      <c r="J952" t="s">
        <v>248</v>
      </c>
      <c r="L952" s="34">
        <v>6</v>
      </c>
      <c r="M952" s="38">
        <v>0.75</v>
      </c>
      <c r="N952" s="38">
        <f t="shared" si="14"/>
        <v>4.5</v>
      </c>
    </row>
    <row r="953" spans="1:14">
      <c r="A953" s="29">
        <v>43066</v>
      </c>
      <c r="B953" s="22" t="s">
        <v>63</v>
      </c>
      <c r="C953" s="22" t="s">
        <v>57</v>
      </c>
      <c r="D953" s="48" t="s">
        <v>5</v>
      </c>
      <c r="E953" t="s">
        <v>159</v>
      </c>
      <c r="F953">
        <v>2017</v>
      </c>
      <c r="G953" t="s">
        <v>326</v>
      </c>
      <c r="H953" s="42">
        <v>423</v>
      </c>
      <c r="J953" t="s">
        <v>248</v>
      </c>
      <c r="L953" s="34">
        <v>3</v>
      </c>
      <c r="M953" s="38">
        <v>0.75</v>
      </c>
      <c r="N953" s="38">
        <f t="shared" si="14"/>
        <v>2.25</v>
      </c>
    </row>
    <row r="954" spans="1:14">
      <c r="A954" s="29">
        <v>43066</v>
      </c>
      <c r="B954" s="22" t="s">
        <v>63</v>
      </c>
      <c r="C954" s="22" t="s">
        <v>57</v>
      </c>
      <c r="D954" s="48" t="s">
        <v>5</v>
      </c>
      <c r="E954" t="s">
        <v>159</v>
      </c>
      <c r="F954">
        <v>2017</v>
      </c>
      <c r="G954" t="s">
        <v>247</v>
      </c>
      <c r="H954" s="42">
        <v>86</v>
      </c>
      <c r="J954" t="s">
        <v>248</v>
      </c>
      <c r="L954" s="34">
        <v>3</v>
      </c>
      <c r="M954" s="38">
        <v>0.75</v>
      </c>
      <c r="N954" s="38">
        <f t="shared" si="14"/>
        <v>2.25</v>
      </c>
    </row>
    <row r="955" spans="1:14">
      <c r="A955" s="29">
        <v>43066</v>
      </c>
      <c r="B955" s="22" t="s">
        <v>6</v>
      </c>
      <c r="C955" s="22" t="s">
        <v>41</v>
      </c>
      <c r="D955" s="48" t="s">
        <v>5</v>
      </c>
      <c r="E955" t="s">
        <v>159</v>
      </c>
      <c r="F955">
        <v>2017</v>
      </c>
      <c r="G955" t="s">
        <v>247</v>
      </c>
      <c r="H955" s="42">
        <v>405</v>
      </c>
      <c r="J955" t="s">
        <v>248</v>
      </c>
      <c r="L955" s="34">
        <v>2</v>
      </c>
      <c r="M955" s="38">
        <v>0.75</v>
      </c>
      <c r="N955" s="38">
        <f t="shared" si="14"/>
        <v>1.5</v>
      </c>
    </row>
    <row r="956" spans="1:14">
      <c r="A956" s="29">
        <v>43066</v>
      </c>
      <c r="B956" s="22" t="s">
        <v>6</v>
      </c>
      <c r="C956" s="22" t="s">
        <v>41</v>
      </c>
      <c r="D956" s="48" t="s">
        <v>5</v>
      </c>
      <c r="E956" t="s">
        <v>159</v>
      </c>
      <c r="F956">
        <v>2017</v>
      </c>
      <c r="G956" t="s">
        <v>326</v>
      </c>
      <c r="H956" s="42">
        <v>423</v>
      </c>
      <c r="J956" t="s">
        <v>248</v>
      </c>
      <c r="L956" s="34">
        <v>2</v>
      </c>
      <c r="M956" s="38">
        <v>0.75</v>
      </c>
      <c r="N956" s="38">
        <f t="shared" si="14"/>
        <v>1.5</v>
      </c>
    </row>
    <row r="957" spans="1:14">
      <c r="A957" s="29">
        <v>43066</v>
      </c>
      <c r="B957" s="22" t="s">
        <v>6</v>
      </c>
      <c r="C957" s="22" t="s">
        <v>41</v>
      </c>
      <c r="D957" s="48" t="s">
        <v>5</v>
      </c>
      <c r="E957" t="s">
        <v>157</v>
      </c>
      <c r="F957">
        <v>2017</v>
      </c>
      <c r="G957" t="s">
        <v>326</v>
      </c>
      <c r="H957" s="42">
        <v>421</v>
      </c>
      <c r="J957" t="s">
        <v>248</v>
      </c>
      <c r="L957" s="34">
        <v>2</v>
      </c>
      <c r="M957" s="38">
        <v>0.75</v>
      </c>
      <c r="N957" s="38">
        <f t="shared" si="14"/>
        <v>1.5</v>
      </c>
    </row>
    <row r="958" spans="1:14">
      <c r="A958" s="29">
        <v>43066</v>
      </c>
      <c r="B958" s="22" t="s">
        <v>6</v>
      </c>
      <c r="C958" s="22" t="s">
        <v>41</v>
      </c>
      <c r="D958" s="48" t="s">
        <v>5</v>
      </c>
      <c r="E958" t="s">
        <v>157</v>
      </c>
      <c r="F958">
        <v>2017</v>
      </c>
      <c r="G958" t="s">
        <v>247</v>
      </c>
      <c r="H958" s="42">
        <v>414</v>
      </c>
      <c r="J958" t="s">
        <v>248</v>
      </c>
      <c r="L958" s="34">
        <v>2</v>
      </c>
      <c r="M958" s="38">
        <v>0.75</v>
      </c>
      <c r="N958" s="38">
        <f t="shared" si="14"/>
        <v>1.5</v>
      </c>
    </row>
    <row r="959" spans="1:14">
      <c r="A959" s="29">
        <v>43066</v>
      </c>
      <c r="B959" s="22" t="s">
        <v>6</v>
      </c>
      <c r="C959" s="22" t="s">
        <v>41</v>
      </c>
      <c r="D959" s="48" t="s">
        <v>5</v>
      </c>
      <c r="E959" t="s">
        <v>255</v>
      </c>
      <c r="F959">
        <v>2017</v>
      </c>
      <c r="G959" t="s">
        <v>57</v>
      </c>
      <c r="H959" s="42">
        <v>417</v>
      </c>
      <c r="J959" t="s">
        <v>248</v>
      </c>
      <c r="L959" s="34">
        <v>2</v>
      </c>
      <c r="M959" s="38">
        <v>0.75</v>
      </c>
      <c r="N959" s="38">
        <f t="shared" si="14"/>
        <v>1.5</v>
      </c>
    </row>
    <row r="960" spans="1:14">
      <c r="A960" s="29">
        <v>43066</v>
      </c>
      <c r="B960" s="22" t="s">
        <v>6</v>
      </c>
      <c r="C960" s="22" t="s">
        <v>41</v>
      </c>
      <c r="D960" s="48" t="s">
        <v>5</v>
      </c>
      <c r="E960" t="s">
        <v>493</v>
      </c>
      <c r="F960">
        <v>2017</v>
      </c>
      <c r="G960" t="s">
        <v>494</v>
      </c>
      <c r="H960" s="42" t="s">
        <v>57</v>
      </c>
      <c r="J960" t="s">
        <v>248</v>
      </c>
      <c r="L960" s="34">
        <v>2</v>
      </c>
      <c r="M960" s="38">
        <v>0.75</v>
      </c>
      <c r="N960" s="38">
        <f t="shared" si="14"/>
        <v>1.5</v>
      </c>
    </row>
    <row r="961" spans="1:14">
      <c r="A961" s="29">
        <v>43068</v>
      </c>
      <c r="B961" s="22" t="s">
        <v>114</v>
      </c>
      <c r="C961" s="22" t="s">
        <v>38</v>
      </c>
      <c r="D961" s="48" t="s">
        <v>8</v>
      </c>
      <c r="E961" t="s">
        <v>272</v>
      </c>
      <c r="F961">
        <v>2017</v>
      </c>
      <c r="G961" t="s">
        <v>357</v>
      </c>
      <c r="H961" s="42">
        <v>413</v>
      </c>
      <c r="J961" t="s">
        <v>248</v>
      </c>
      <c r="L961" s="34">
        <v>3</v>
      </c>
      <c r="M961" s="38">
        <v>0.75</v>
      </c>
      <c r="N961" s="38">
        <f t="shared" si="14"/>
        <v>2.25</v>
      </c>
    </row>
    <row r="962" spans="1:14">
      <c r="A962" s="29">
        <v>43068</v>
      </c>
      <c r="B962" s="22" t="s">
        <v>57</v>
      </c>
      <c r="C962" s="22" t="s">
        <v>38</v>
      </c>
      <c r="D962" s="48" t="s">
        <v>8</v>
      </c>
      <c r="E962" t="s">
        <v>259</v>
      </c>
      <c r="F962">
        <v>2017</v>
      </c>
      <c r="G962" t="s">
        <v>57</v>
      </c>
      <c r="H962" s="42">
        <v>334</v>
      </c>
      <c r="J962" t="s">
        <v>248</v>
      </c>
      <c r="L962" s="34">
        <v>2</v>
      </c>
      <c r="M962" s="38">
        <v>0.75</v>
      </c>
      <c r="N962" s="38">
        <f t="shared" si="14"/>
        <v>1.5</v>
      </c>
    </row>
    <row r="963" spans="1:14">
      <c r="A963" s="29">
        <v>43073</v>
      </c>
      <c r="B963" s="22" t="s">
        <v>6</v>
      </c>
      <c r="C963" s="22" t="s">
        <v>41</v>
      </c>
      <c r="D963" s="48" t="s">
        <v>5</v>
      </c>
      <c r="E963" t="s">
        <v>255</v>
      </c>
      <c r="F963">
        <v>2017</v>
      </c>
      <c r="G963" t="s">
        <v>57</v>
      </c>
      <c r="H963" s="42">
        <v>417</v>
      </c>
      <c r="J963" t="s">
        <v>248</v>
      </c>
      <c r="L963" s="34">
        <v>2</v>
      </c>
      <c r="M963" s="38">
        <v>0.75</v>
      </c>
      <c r="N963" s="38">
        <f t="shared" ref="N963:N1026" si="15">M963*L963</f>
        <v>1.5</v>
      </c>
    </row>
    <row r="964" spans="1:14">
      <c r="A964" s="29">
        <v>43073</v>
      </c>
      <c r="B964" s="22" t="s">
        <v>6</v>
      </c>
      <c r="C964" s="22" t="s">
        <v>41</v>
      </c>
      <c r="D964" s="48" t="s">
        <v>5</v>
      </c>
      <c r="E964" t="s">
        <v>159</v>
      </c>
      <c r="F964">
        <v>2017</v>
      </c>
      <c r="G964" t="s">
        <v>247</v>
      </c>
      <c r="H964" s="42">
        <v>86</v>
      </c>
      <c r="J964" t="s">
        <v>248</v>
      </c>
      <c r="L964" s="34">
        <v>3</v>
      </c>
      <c r="M964" s="38">
        <v>0.75</v>
      </c>
      <c r="N964" s="38">
        <f t="shared" si="15"/>
        <v>2.25</v>
      </c>
    </row>
    <row r="965" spans="1:14">
      <c r="A965" s="29">
        <v>43073</v>
      </c>
      <c r="B965" s="22" t="s">
        <v>79</v>
      </c>
      <c r="C965" s="22" t="s">
        <v>57</v>
      </c>
      <c r="D965" s="48" t="s">
        <v>5</v>
      </c>
      <c r="E965" t="s">
        <v>159</v>
      </c>
      <c r="F965">
        <v>2017</v>
      </c>
      <c r="G965" t="s">
        <v>319</v>
      </c>
      <c r="H965" s="42">
        <v>310</v>
      </c>
      <c r="J965" t="s">
        <v>248</v>
      </c>
      <c r="K965" t="s">
        <v>495</v>
      </c>
      <c r="L965" s="34">
        <v>2</v>
      </c>
      <c r="M965" s="38">
        <v>0.75</v>
      </c>
      <c r="N965" s="38">
        <f t="shared" si="15"/>
        <v>1.5</v>
      </c>
    </row>
    <row r="966" spans="1:14">
      <c r="A966" s="29">
        <v>43073</v>
      </c>
      <c r="B966" s="22" t="s">
        <v>79</v>
      </c>
      <c r="C966" s="22" t="s">
        <v>57</v>
      </c>
      <c r="D966" s="48" t="s">
        <v>5</v>
      </c>
      <c r="E966" t="s">
        <v>306</v>
      </c>
      <c r="F966">
        <v>2017</v>
      </c>
      <c r="G966" t="s">
        <v>307</v>
      </c>
      <c r="H966" s="42">
        <v>301</v>
      </c>
      <c r="J966" t="s">
        <v>248</v>
      </c>
      <c r="L966" s="34">
        <v>1</v>
      </c>
      <c r="M966" s="38">
        <v>0.75</v>
      </c>
      <c r="N966" s="38">
        <f t="shared" si="15"/>
        <v>0.75</v>
      </c>
    </row>
    <row r="967" spans="1:14">
      <c r="A967" s="29">
        <v>43073</v>
      </c>
      <c r="B967" s="22" t="s">
        <v>79</v>
      </c>
      <c r="C967" s="22" t="s">
        <v>57</v>
      </c>
      <c r="D967" s="48" t="s">
        <v>5</v>
      </c>
      <c r="E967" t="s">
        <v>306</v>
      </c>
      <c r="F967">
        <v>2017</v>
      </c>
      <c r="G967" t="s">
        <v>494</v>
      </c>
      <c r="H967" s="42" t="s">
        <v>57</v>
      </c>
      <c r="J967" t="s">
        <v>248</v>
      </c>
      <c r="L967" s="34">
        <v>1</v>
      </c>
      <c r="M967" s="38">
        <v>0.75</v>
      </c>
      <c r="N967" s="38">
        <f t="shared" si="15"/>
        <v>0.75</v>
      </c>
    </row>
    <row r="968" spans="1:14">
      <c r="A968" s="29">
        <v>43073</v>
      </c>
      <c r="B968" s="22" t="s">
        <v>79</v>
      </c>
      <c r="C968" s="22" t="s">
        <v>57</v>
      </c>
      <c r="D968" s="48" t="s">
        <v>8</v>
      </c>
      <c r="E968" t="s">
        <v>179</v>
      </c>
      <c r="F968">
        <v>2017</v>
      </c>
      <c r="G968" t="s">
        <v>57</v>
      </c>
      <c r="H968" s="42">
        <v>206</v>
      </c>
      <c r="J968" t="s">
        <v>248</v>
      </c>
      <c r="L968" s="34">
        <v>1</v>
      </c>
      <c r="M968" s="38">
        <v>0.75</v>
      </c>
      <c r="N968" s="38">
        <f t="shared" si="15"/>
        <v>0.75</v>
      </c>
    </row>
    <row r="969" spans="1:14">
      <c r="A969" s="29">
        <v>43073</v>
      </c>
      <c r="B969" s="22" t="s">
        <v>63</v>
      </c>
      <c r="C969" s="22" t="s">
        <v>57</v>
      </c>
      <c r="D969" s="48" t="s">
        <v>5</v>
      </c>
      <c r="E969" t="s">
        <v>158</v>
      </c>
      <c r="F969">
        <v>2017</v>
      </c>
      <c r="G969" t="s">
        <v>57</v>
      </c>
      <c r="H969" s="42">
        <v>56</v>
      </c>
      <c r="J969" t="s">
        <v>248</v>
      </c>
      <c r="L969" s="34">
        <v>3</v>
      </c>
      <c r="M969" s="38">
        <v>0.75</v>
      </c>
      <c r="N969" s="38">
        <f t="shared" si="15"/>
        <v>2.25</v>
      </c>
    </row>
    <row r="970" spans="1:14">
      <c r="A970" s="29">
        <v>43073</v>
      </c>
      <c r="B970" s="22" t="s">
        <v>109</v>
      </c>
      <c r="C970" s="22" t="s">
        <v>57</v>
      </c>
      <c r="D970" s="48" t="s">
        <v>5</v>
      </c>
      <c r="E970" t="s">
        <v>157</v>
      </c>
      <c r="F970">
        <v>2017</v>
      </c>
      <c r="G970" t="s">
        <v>326</v>
      </c>
      <c r="H970" s="42">
        <v>421</v>
      </c>
      <c r="J970" t="s">
        <v>248</v>
      </c>
      <c r="L970" s="34">
        <v>4</v>
      </c>
      <c r="M970" s="38">
        <v>0.75</v>
      </c>
      <c r="N970" s="38">
        <f t="shared" si="15"/>
        <v>3</v>
      </c>
    </row>
    <row r="971" spans="1:14">
      <c r="A971" s="29">
        <v>43073</v>
      </c>
      <c r="B971" s="22" t="s">
        <v>109</v>
      </c>
      <c r="C971" s="22" t="s">
        <v>57</v>
      </c>
      <c r="D971" s="48" t="s">
        <v>5</v>
      </c>
      <c r="E971" t="s">
        <v>159</v>
      </c>
      <c r="F971">
        <v>2017</v>
      </c>
      <c r="G971" t="s">
        <v>319</v>
      </c>
      <c r="H971" s="42">
        <v>332</v>
      </c>
      <c r="J971" t="s">
        <v>248</v>
      </c>
      <c r="L971" s="34">
        <v>3</v>
      </c>
      <c r="M971" s="38">
        <v>0.75</v>
      </c>
      <c r="N971" s="38">
        <f t="shared" si="15"/>
        <v>2.25</v>
      </c>
    </row>
    <row r="972" spans="1:14">
      <c r="A972" s="29">
        <v>43074</v>
      </c>
      <c r="B972" s="22" t="s">
        <v>60</v>
      </c>
      <c r="C972" s="22" t="s">
        <v>53</v>
      </c>
      <c r="D972" s="48" t="s">
        <v>5</v>
      </c>
      <c r="E972" t="s">
        <v>158</v>
      </c>
      <c r="F972">
        <v>2017</v>
      </c>
      <c r="G972" t="s">
        <v>357</v>
      </c>
      <c r="H972" s="42" t="s">
        <v>57</v>
      </c>
      <c r="J972" t="s">
        <v>248</v>
      </c>
      <c r="K972" t="s">
        <v>496</v>
      </c>
      <c r="L972" s="34">
        <v>2</v>
      </c>
      <c r="M972" s="38">
        <v>0.75</v>
      </c>
      <c r="N972" s="38">
        <f t="shared" si="15"/>
        <v>1.5</v>
      </c>
    </row>
    <row r="973" spans="1:14">
      <c r="A973" s="29">
        <v>43074</v>
      </c>
      <c r="B973" s="22" t="s">
        <v>60</v>
      </c>
      <c r="C973" s="22" t="s">
        <v>53</v>
      </c>
      <c r="D973" s="48" t="s">
        <v>5</v>
      </c>
      <c r="E973" t="s">
        <v>158</v>
      </c>
      <c r="F973">
        <v>2017</v>
      </c>
      <c r="G973" t="s">
        <v>359</v>
      </c>
      <c r="H973" s="42" t="s">
        <v>57</v>
      </c>
      <c r="J973" t="s">
        <v>248</v>
      </c>
      <c r="K973" t="s">
        <v>497</v>
      </c>
      <c r="L973" s="34">
        <v>2</v>
      </c>
      <c r="M973" s="38">
        <v>0.75</v>
      </c>
      <c r="N973" s="38">
        <f t="shared" si="15"/>
        <v>1.5</v>
      </c>
    </row>
    <row r="974" spans="1:14">
      <c r="A974" s="29">
        <v>43074</v>
      </c>
      <c r="B974" s="22" t="s">
        <v>46</v>
      </c>
      <c r="C974" s="22" t="s">
        <v>53</v>
      </c>
      <c r="D974" s="48" t="s">
        <v>11</v>
      </c>
      <c r="E974" t="s">
        <v>179</v>
      </c>
      <c r="F974">
        <v>2016</v>
      </c>
      <c r="G974" t="s">
        <v>57</v>
      </c>
      <c r="H974" s="42">
        <v>147</v>
      </c>
      <c r="J974" t="s">
        <v>248</v>
      </c>
      <c r="L974" s="34">
        <v>12</v>
      </c>
      <c r="M974" s="38">
        <v>0.75</v>
      </c>
      <c r="N974" s="38">
        <f t="shared" si="15"/>
        <v>9</v>
      </c>
    </row>
    <row r="975" spans="1:14">
      <c r="A975" s="29">
        <v>43074</v>
      </c>
      <c r="B975" s="22" t="s">
        <v>57</v>
      </c>
      <c r="C975" s="22" t="s">
        <v>45</v>
      </c>
      <c r="D975" s="48" t="s">
        <v>5</v>
      </c>
      <c r="E975" t="s">
        <v>157</v>
      </c>
      <c r="F975">
        <v>2017</v>
      </c>
      <c r="G975" t="s">
        <v>247</v>
      </c>
      <c r="H975" s="42">
        <v>414</v>
      </c>
      <c r="J975" t="s">
        <v>248</v>
      </c>
      <c r="L975" s="34">
        <v>4</v>
      </c>
      <c r="M975" s="38">
        <v>0.75</v>
      </c>
      <c r="N975" s="38">
        <f t="shared" si="15"/>
        <v>3</v>
      </c>
    </row>
    <row r="976" spans="1:14">
      <c r="A976" s="29">
        <v>43077</v>
      </c>
      <c r="B976" s="22" t="s">
        <v>28</v>
      </c>
      <c r="C976" s="22" t="s">
        <v>271</v>
      </c>
      <c r="D976" s="48" t="s">
        <v>8</v>
      </c>
      <c r="E976" t="s">
        <v>179</v>
      </c>
      <c r="F976">
        <v>2017</v>
      </c>
      <c r="G976" t="s">
        <v>318</v>
      </c>
      <c r="H976" s="42">
        <v>325</v>
      </c>
      <c r="J976" t="s">
        <v>248</v>
      </c>
      <c r="L976" s="34">
        <v>4</v>
      </c>
      <c r="M976" s="38">
        <v>0.75</v>
      </c>
      <c r="N976" s="38">
        <f t="shared" si="15"/>
        <v>3</v>
      </c>
    </row>
    <row r="977" spans="1:14">
      <c r="A977" s="29">
        <v>43077</v>
      </c>
      <c r="B977" s="22" t="s">
        <v>28</v>
      </c>
      <c r="C977" s="22" t="s">
        <v>271</v>
      </c>
      <c r="D977" s="48" t="s">
        <v>8</v>
      </c>
      <c r="E977" t="s">
        <v>177</v>
      </c>
      <c r="F977">
        <v>2017</v>
      </c>
      <c r="G977" t="s">
        <v>317</v>
      </c>
      <c r="H977" s="42">
        <v>308</v>
      </c>
      <c r="J977" t="s">
        <v>248</v>
      </c>
      <c r="L977" s="34">
        <v>4</v>
      </c>
      <c r="M977" s="38">
        <v>0.75</v>
      </c>
      <c r="N977" s="38">
        <f t="shared" si="15"/>
        <v>3</v>
      </c>
    </row>
    <row r="978" spans="1:14">
      <c r="A978" s="29">
        <v>43077</v>
      </c>
      <c r="B978" s="22" t="s">
        <v>28</v>
      </c>
      <c r="C978" s="22" t="s">
        <v>271</v>
      </c>
      <c r="D978" s="48" t="s">
        <v>5</v>
      </c>
      <c r="E978" t="s">
        <v>157</v>
      </c>
      <c r="F978">
        <v>2017</v>
      </c>
      <c r="G978" t="s">
        <v>57</v>
      </c>
      <c r="H978" s="42" t="s">
        <v>57</v>
      </c>
      <c r="J978" t="s">
        <v>248</v>
      </c>
      <c r="K978" t="s">
        <v>498</v>
      </c>
      <c r="L978" s="34">
        <v>2</v>
      </c>
      <c r="M978" s="38">
        <v>0.75</v>
      </c>
      <c r="N978" s="38">
        <f t="shared" si="15"/>
        <v>1.5</v>
      </c>
    </row>
    <row r="979" spans="1:14">
      <c r="A979" s="29">
        <v>43077</v>
      </c>
      <c r="B979" s="22" t="s">
        <v>113</v>
      </c>
      <c r="C979" s="22" t="s">
        <v>271</v>
      </c>
      <c r="D979" s="48" t="s">
        <v>5</v>
      </c>
      <c r="E979" t="s">
        <v>157</v>
      </c>
      <c r="F979">
        <v>2017</v>
      </c>
      <c r="G979" t="s">
        <v>257</v>
      </c>
      <c r="H979" s="42">
        <v>10</v>
      </c>
      <c r="J979" t="s">
        <v>248</v>
      </c>
      <c r="L979" s="34">
        <v>2</v>
      </c>
      <c r="M979" s="38">
        <v>0.75</v>
      </c>
      <c r="N979" s="38">
        <f t="shared" si="15"/>
        <v>1.5</v>
      </c>
    </row>
    <row r="980" spans="1:14">
      <c r="A980" s="29">
        <v>43077</v>
      </c>
      <c r="B980" s="22" t="s">
        <v>113</v>
      </c>
      <c r="C980" s="22" t="s">
        <v>271</v>
      </c>
      <c r="D980" s="48" t="s">
        <v>5</v>
      </c>
      <c r="E980" t="s">
        <v>262</v>
      </c>
      <c r="F980">
        <v>2017</v>
      </c>
      <c r="G980" t="s">
        <v>404</v>
      </c>
      <c r="H980" s="42">
        <v>332</v>
      </c>
      <c r="J980" t="s">
        <v>248</v>
      </c>
      <c r="L980" s="34">
        <v>2</v>
      </c>
      <c r="M980" s="38">
        <v>0.75</v>
      </c>
      <c r="N980" s="38">
        <f t="shared" si="15"/>
        <v>1.5</v>
      </c>
    </row>
    <row r="981" spans="1:14">
      <c r="A981" s="29">
        <v>43077</v>
      </c>
      <c r="B981" s="22" t="s">
        <v>57</v>
      </c>
      <c r="C981" s="22" t="s">
        <v>49</v>
      </c>
      <c r="D981" s="48" t="s">
        <v>5</v>
      </c>
      <c r="E981" t="s">
        <v>158</v>
      </c>
      <c r="F981">
        <v>2017</v>
      </c>
      <c r="G981" t="s">
        <v>57</v>
      </c>
      <c r="H981" s="42">
        <v>79</v>
      </c>
      <c r="J981" t="s">
        <v>248</v>
      </c>
      <c r="L981" s="34">
        <v>2</v>
      </c>
      <c r="M981" s="38">
        <v>0.75</v>
      </c>
      <c r="N981" s="38">
        <f t="shared" si="15"/>
        <v>1.5</v>
      </c>
    </row>
    <row r="982" spans="1:14">
      <c r="A982" s="29">
        <v>43077</v>
      </c>
      <c r="B982" s="22" t="s">
        <v>57</v>
      </c>
      <c r="C982" s="22" t="s">
        <v>49</v>
      </c>
      <c r="D982" s="48" t="s">
        <v>5</v>
      </c>
      <c r="E982" t="s">
        <v>158</v>
      </c>
      <c r="F982">
        <v>2017</v>
      </c>
      <c r="G982" t="s">
        <v>57</v>
      </c>
      <c r="H982" s="42" t="s">
        <v>57</v>
      </c>
      <c r="J982" t="s">
        <v>248</v>
      </c>
      <c r="K982" t="s">
        <v>499</v>
      </c>
      <c r="L982" s="34">
        <v>2</v>
      </c>
      <c r="M982" s="38">
        <v>0.75</v>
      </c>
      <c r="N982" s="38">
        <f t="shared" si="15"/>
        <v>1.5</v>
      </c>
    </row>
    <row r="983" spans="1:14">
      <c r="A983" s="29">
        <v>43080</v>
      </c>
      <c r="B983" s="22" t="s">
        <v>79</v>
      </c>
      <c r="C983" s="22" t="s">
        <v>57</v>
      </c>
      <c r="D983" s="48" t="s">
        <v>5</v>
      </c>
      <c r="E983" t="s">
        <v>159</v>
      </c>
      <c r="F983">
        <v>2017</v>
      </c>
      <c r="G983" t="s">
        <v>319</v>
      </c>
      <c r="H983" s="42">
        <v>310</v>
      </c>
      <c r="J983" t="s">
        <v>248</v>
      </c>
      <c r="K983" t="s">
        <v>495</v>
      </c>
      <c r="L983" s="34">
        <v>4</v>
      </c>
      <c r="M983" s="38">
        <v>0.75</v>
      </c>
      <c r="N983" s="38">
        <f t="shared" si="15"/>
        <v>3</v>
      </c>
    </row>
    <row r="984" spans="1:14">
      <c r="A984" s="29">
        <v>43081</v>
      </c>
      <c r="B984" s="22" t="s">
        <v>110</v>
      </c>
      <c r="C984" s="22" t="s">
        <v>57</v>
      </c>
      <c r="D984" s="48" t="s">
        <v>5</v>
      </c>
      <c r="E984" t="s">
        <v>158</v>
      </c>
      <c r="F984">
        <v>2017</v>
      </c>
      <c r="G984" t="s">
        <v>57</v>
      </c>
      <c r="H984" s="42">
        <v>79</v>
      </c>
      <c r="J984" t="s">
        <v>248</v>
      </c>
      <c r="L984" s="34">
        <v>4</v>
      </c>
      <c r="M984" s="38">
        <v>0.75</v>
      </c>
      <c r="N984" s="38">
        <f t="shared" si="15"/>
        <v>3</v>
      </c>
    </row>
    <row r="985" spans="1:14">
      <c r="A985" s="29">
        <v>43081</v>
      </c>
      <c r="B985" s="22" t="s">
        <v>13</v>
      </c>
      <c r="C985" s="22" t="s">
        <v>57</v>
      </c>
      <c r="D985" s="48" t="s">
        <v>5</v>
      </c>
      <c r="E985" t="s">
        <v>157</v>
      </c>
      <c r="F985">
        <v>2017</v>
      </c>
      <c r="G985" t="s">
        <v>500</v>
      </c>
      <c r="H985" s="42" t="s">
        <v>501</v>
      </c>
      <c r="J985" t="s">
        <v>248</v>
      </c>
      <c r="L985" s="34">
        <v>3</v>
      </c>
      <c r="M985" s="38">
        <v>0.75</v>
      </c>
      <c r="N985" s="38">
        <f t="shared" si="15"/>
        <v>2.25</v>
      </c>
    </row>
    <row r="986" spans="1:14">
      <c r="A986" s="29">
        <v>43083</v>
      </c>
      <c r="B986" s="22" t="s">
        <v>57</v>
      </c>
      <c r="C986" s="22" t="s">
        <v>271</v>
      </c>
      <c r="D986" s="48" t="s">
        <v>5</v>
      </c>
      <c r="E986" t="s">
        <v>158</v>
      </c>
      <c r="F986">
        <v>2017</v>
      </c>
      <c r="G986" t="s">
        <v>57</v>
      </c>
      <c r="H986" s="42">
        <v>79</v>
      </c>
      <c r="J986" t="s">
        <v>248</v>
      </c>
      <c r="L986" s="34">
        <v>6</v>
      </c>
      <c r="M986" s="38">
        <v>0.75</v>
      </c>
      <c r="N986" s="38">
        <f t="shared" si="15"/>
        <v>4.5</v>
      </c>
    </row>
    <row r="987" spans="1:14">
      <c r="A987" s="29">
        <v>43083</v>
      </c>
      <c r="B987" s="22" t="s">
        <v>63</v>
      </c>
      <c r="C987" s="22" t="s">
        <v>57</v>
      </c>
      <c r="D987" s="48" t="s">
        <v>5</v>
      </c>
      <c r="E987" t="s">
        <v>255</v>
      </c>
      <c r="F987">
        <v>2017</v>
      </c>
      <c r="G987" t="s">
        <v>57</v>
      </c>
      <c r="H987" s="42">
        <v>69</v>
      </c>
      <c r="J987" t="s">
        <v>248</v>
      </c>
      <c r="L987" s="34">
        <v>2</v>
      </c>
      <c r="M987" s="38">
        <v>0.75</v>
      </c>
      <c r="N987" s="38">
        <f t="shared" si="15"/>
        <v>1.5</v>
      </c>
    </row>
    <row r="988" spans="1:14">
      <c r="A988" s="29">
        <v>43083</v>
      </c>
      <c r="B988" s="22" t="s">
        <v>114</v>
      </c>
      <c r="C988" s="22" t="s">
        <v>38</v>
      </c>
      <c r="D988" s="48" t="s">
        <v>8</v>
      </c>
      <c r="E988" t="s">
        <v>272</v>
      </c>
      <c r="F988">
        <v>2017</v>
      </c>
      <c r="G988" t="s">
        <v>357</v>
      </c>
      <c r="H988" s="42">
        <v>413</v>
      </c>
      <c r="J988" t="s">
        <v>248</v>
      </c>
      <c r="K988" t="s">
        <v>502</v>
      </c>
      <c r="L988" s="34">
        <v>3</v>
      </c>
      <c r="M988" s="38">
        <v>0.75</v>
      </c>
      <c r="N988" s="38">
        <f t="shared" si="15"/>
        <v>2.25</v>
      </c>
    </row>
    <row r="989" spans="1:14">
      <c r="A989" s="29">
        <v>43087</v>
      </c>
      <c r="B989" s="22" t="s">
        <v>109</v>
      </c>
      <c r="C989" s="22" t="s">
        <v>57</v>
      </c>
      <c r="D989" s="48" t="s">
        <v>5</v>
      </c>
      <c r="E989" t="s">
        <v>157</v>
      </c>
      <c r="F989">
        <v>2017</v>
      </c>
      <c r="G989" t="s">
        <v>326</v>
      </c>
      <c r="H989" s="42">
        <v>421</v>
      </c>
      <c r="J989" t="s">
        <v>248</v>
      </c>
      <c r="L989" s="34">
        <v>1</v>
      </c>
      <c r="M989" s="38">
        <v>0.75</v>
      </c>
      <c r="N989" s="38">
        <f t="shared" si="15"/>
        <v>0.75</v>
      </c>
    </row>
    <row r="990" spans="1:14">
      <c r="A990" s="29">
        <v>43087</v>
      </c>
      <c r="B990" s="22" t="s">
        <v>109</v>
      </c>
      <c r="C990" s="22" t="s">
        <v>57</v>
      </c>
      <c r="D990" s="48" t="s">
        <v>5</v>
      </c>
      <c r="E990" t="s">
        <v>159</v>
      </c>
      <c r="F990">
        <v>2017</v>
      </c>
      <c r="G990" t="s">
        <v>319</v>
      </c>
      <c r="H990" s="42">
        <v>310</v>
      </c>
      <c r="J990" t="s">
        <v>248</v>
      </c>
      <c r="L990" s="34">
        <v>1</v>
      </c>
      <c r="M990" s="38">
        <v>0.75</v>
      </c>
      <c r="N990" s="38">
        <f t="shared" si="15"/>
        <v>0.75</v>
      </c>
    </row>
    <row r="991" spans="1:14">
      <c r="A991" s="29">
        <v>43087</v>
      </c>
      <c r="B991" s="22" t="s">
        <v>109</v>
      </c>
      <c r="C991" s="22" t="s">
        <v>57</v>
      </c>
      <c r="D991" s="48" t="s">
        <v>5</v>
      </c>
      <c r="E991" t="s">
        <v>503</v>
      </c>
      <c r="F991">
        <v>2017</v>
      </c>
      <c r="G991" t="s">
        <v>504</v>
      </c>
      <c r="H991" s="42" t="s">
        <v>57</v>
      </c>
      <c r="J991" t="s">
        <v>248</v>
      </c>
      <c r="L991" s="34">
        <v>1</v>
      </c>
      <c r="M991" s="38">
        <v>0.75</v>
      </c>
      <c r="N991" s="38">
        <f t="shared" si="15"/>
        <v>0.75</v>
      </c>
    </row>
    <row r="992" spans="1:14">
      <c r="A992" s="29">
        <v>43087</v>
      </c>
      <c r="B992" s="22" t="s">
        <v>109</v>
      </c>
      <c r="C992" s="22" t="s">
        <v>57</v>
      </c>
      <c r="D992" s="48" t="s">
        <v>5</v>
      </c>
      <c r="E992" t="s">
        <v>308</v>
      </c>
      <c r="F992">
        <v>2017</v>
      </c>
      <c r="G992" t="s">
        <v>494</v>
      </c>
      <c r="H992" s="42">
        <v>199</v>
      </c>
      <c r="J992" t="s">
        <v>248</v>
      </c>
      <c r="L992" s="34">
        <v>1</v>
      </c>
      <c r="M992" s="38">
        <v>0.75</v>
      </c>
      <c r="N992" s="38">
        <f t="shared" si="15"/>
        <v>0.75</v>
      </c>
    </row>
    <row r="993" spans="1:14">
      <c r="A993" s="29">
        <v>43087</v>
      </c>
      <c r="B993" s="22" t="s">
        <v>109</v>
      </c>
      <c r="C993" s="22" t="s">
        <v>57</v>
      </c>
      <c r="D993" s="48" t="s">
        <v>8</v>
      </c>
      <c r="E993" t="s">
        <v>179</v>
      </c>
      <c r="F993">
        <v>2017</v>
      </c>
      <c r="G993" t="s">
        <v>318</v>
      </c>
      <c r="H993" s="42">
        <v>202</v>
      </c>
      <c r="J993" t="s">
        <v>248</v>
      </c>
      <c r="L993" s="34">
        <v>1</v>
      </c>
      <c r="M993" s="38">
        <v>0.75</v>
      </c>
      <c r="N993" s="38">
        <f t="shared" si="15"/>
        <v>0.75</v>
      </c>
    </row>
    <row r="994" spans="1:14">
      <c r="A994" s="29">
        <v>43087</v>
      </c>
      <c r="B994" s="22" t="s">
        <v>109</v>
      </c>
      <c r="C994" s="22" t="s">
        <v>57</v>
      </c>
      <c r="D994" s="48" t="s">
        <v>8</v>
      </c>
      <c r="E994" t="s">
        <v>178</v>
      </c>
      <c r="F994">
        <v>2017</v>
      </c>
      <c r="G994" t="s">
        <v>337</v>
      </c>
      <c r="H994" s="42">
        <v>313</v>
      </c>
      <c r="J994" t="s">
        <v>248</v>
      </c>
      <c r="L994" s="34">
        <v>1</v>
      </c>
      <c r="M994" s="38">
        <v>0.75</v>
      </c>
      <c r="N994" s="38">
        <f t="shared" si="15"/>
        <v>0.75</v>
      </c>
    </row>
    <row r="995" spans="1:14">
      <c r="A995" s="29">
        <v>43087</v>
      </c>
      <c r="B995" s="22" t="s">
        <v>109</v>
      </c>
      <c r="C995" s="22" t="s">
        <v>57</v>
      </c>
      <c r="D995" s="48" t="s">
        <v>8</v>
      </c>
      <c r="E995" t="s">
        <v>182</v>
      </c>
      <c r="F995">
        <v>2017</v>
      </c>
      <c r="G995" t="s">
        <v>489</v>
      </c>
      <c r="H995" s="42">
        <v>322</v>
      </c>
      <c r="J995" t="s">
        <v>248</v>
      </c>
      <c r="L995" s="34">
        <v>1</v>
      </c>
      <c r="M995" s="38">
        <v>0.75</v>
      </c>
      <c r="N995" s="38">
        <f t="shared" si="15"/>
        <v>0.75</v>
      </c>
    </row>
    <row r="996" spans="1:14">
      <c r="A996" s="29">
        <v>43087</v>
      </c>
      <c r="B996" s="22" t="s">
        <v>109</v>
      </c>
      <c r="C996" s="22" t="s">
        <v>57</v>
      </c>
      <c r="D996" s="48" t="s">
        <v>8</v>
      </c>
      <c r="E996" t="s">
        <v>272</v>
      </c>
      <c r="F996">
        <v>2017</v>
      </c>
      <c r="G996" t="s">
        <v>359</v>
      </c>
      <c r="H996" s="42">
        <v>416</v>
      </c>
      <c r="J996" t="s">
        <v>248</v>
      </c>
      <c r="L996" s="34">
        <v>1</v>
      </c>
      <c r="M996" s="38">
        <v>0.75</v>
      </c>
      <c r="N996" s="38">
        <f t="shared" si="15"/>
        <v>0.75</v>
      </c>
    </row>
    <row r="997" spans="1:14">
      <c r="A997" s="29">
        <v>43088</v>
      </c>
      <c r="B997" s="22" t="s">
        <v>80</v>
      </c>
      <c r="C997" s="22" t="s">
        <v>327</v>
      </c>
      <c r="D997" s="48" t="s">
        <v>5</v>
      </c>
      <c r="E997" t="s">
        <v>393</v>
      </c>
      <c r="F997">
        <v>2017</v>
      </c>
      <c r="G997" t="s">
        <v>391</v>
      </c>
      <c r="H997" s="42">
        <v>14</v>
      </c>
      <c r="J997" t="s">
        <v>248</v>
      </c>
      <c r="L997" s="34">
        <v>2</v>
      </c>
      <c r="M997" s="38">
        <v>0.75</v>
      </c>
      <c r="N997" s="38">
        <f t="shared" si="15"/>
        <v>1.5</v>
      </c>
    </row>
    <row r="998" spans="1:14">
      <c r="A998" s="29">
        <v>43088</v>
      </c>
      <c r="B998" s="22" t="s">
        <v>64</v>
      </c>
      <c r="C998" s="22" t="s">
        <v>492</v>
      </c>
      <c r="D998" s="48" t="s">
        <v>11</v>
      </c>
      <c r="E998" t="s">
        <v>177</v>
      </c>
      <c r="F998">
        <v>2017</v>
      </c>
      <c r="G998" t="s">
        <v>500</v>
      </c>
      <c r="H998" s="42" t="s">
        <v>57</v>
      </c>
      <c r="J998" t="s">
        <v>248</v>
      </c>
      <c r="K998" t="s">
        <v>505</v>
      </c>
      <c r="L998" s="34">
        <v>3</v>
      </c>
      <c r="M998" s="38">
        <v>0.75</v>
      </c>
      <c r="N998" s="38">
        <f t="shared" si="15"/>
        <v>2.25</v>
      </c>
    </row>
    <row r="999" spans="1:14">
      <c r="A999" s="29">
        <v>43103</v>
      </c>
      <c r="B999" s="22" t="s">
        <v>63</v>
      </c>
      <c r="C999" s="22" t="s">
        <v>57</v>
      </c>
      <c r="D999" s="48" t="s">
        <v>5</v>
      </c>
      <c r="E999" t="s">
        <v>159</v>
      </c>
      <c r="F999">
        <v>2017</v>
      </c>
      <c r="G999" t="s">
        <v>326</v>
      </c>
      <c r="H999" s="42">
        <v>9</v>
      </c>
      <c r="J999" t="s">
        <v>248</v>
      </c>
      <c r="L999" s="34">
        <v>2</v>
      </c>
      <c r="M999" s="38">
        <v>0.75</v>
      </c>
      <c r="N999" s="38">
        <f t="shared" si="15"/>
        <v>1.5</v>
      </c>
    </row>
    <row r="1000" spans="1:14">
      <c r="A1000" s="29">
        <v>43103</v>
      </c>
      <c r="B1000" s="22" t="s">
        <v>63</v>
      </c>
      <c r="C1000" s="22" t="s">
        <v>57</v>
      </c>
      <c r="D1000" s="48" t="s">
        <v>5</v>
      </c>
      <c r="E1000" t="s">
        <v>159</v>
      </c>
      <c r="F1000">
        <v>2017</v>
      </c>
      <c r="G1000" t="s">
        <v>247</v>
      </c>
      <c r="H1000" s="42">
        <v>33</v>
      </c>
      <c r="J1000" t="s">
        <v>248</v>
      </c>
      <c r="L1000" s="34">
        <v>2</v>
      </c>
      <c r="M1000" s="38">
        <v>0.75</v>
      </c>
      <c r="N1000" s="38">
        <f t="shared" si="15"/>
        <v>1.5</v>
      </c>
    </row>
    <row r="1001" spans="1:14">
      <c r="A1001" s="29">
        <v>43103</v>
      </c>
      <c r="B1001" s="22" t="s">
        <v>60</v>
      </c>
      <c r="C1001" s="22" t="s">
        <v>53</v>
      </c>
      <c r="D1001" s="48" t="s">
        <v>5</v>
      </c>
      <c r="E1001" t="s">
        <v>158</v>
      </c>
      <c r="F1001">
        <v>2017</v>
      </c>
      <c r="G1001" t="s">
        <v>257</v>
      </c>
      <c r="H1001" s="42" t="s">
        <v>506</v>
      </c>
      <c r="J1001" t="s">
        <v>248</v>
      </c>
      <c r="L1001" s="34">
        <v>1</v>
      </c>
      <c r="M1001" s="38">
        <v>5</v>
      </c>
      <c r="N1001" s="38">
        <f t="shared" si="15"/>
        <v>5</v>
      </c>
    </row>
    <row r="1002" spans="1:14">
      <c r="A1002" s="29">
        <v>43103</v>
      </c>
      <c r="B1002" s="22" t="s">
        <v>60</v>
      </c>
      <c r="C1002" s="22" t="s">
        <v>53</v>
      </c>
      <c r="D1002" s="48" t="s">
        <v>11</v>
      </c>
      <c r="E1002" t="s">
        <v>177</v>
      </c>
      <c r="F1002">
        <v>2017</v>
      </c>
      <c r="G1002" t="s">
        <v>317</v>
      </c>
      <c r="H1002" s="42">
        <v>201</v>
      </c>
      <c r="J1002" t="s">
        <v>248</v>
      </c>
      <c r="L1002" s="34">
        <v>1</v>
      </c>
      <c r="M1002" s="38">
        <v>5</v>
      </c>
      <c r="N1002" s="38">
        <f t="shared" si="15"/>
        <v>5</v>
      </c>
    </row>
    <row r="1003" spans="1:14">
      <c r="A1003" s="29">
        <v>43103</v>
      </c>
      <c r="B1003" s="22" t="s">
        <v>63</v>
      </c>
      <c r="C1003" s="22" t="s">
        <v>57</v>
      </c>
      <c r="D1003" s="48" t="s">
        <v>5</v>
      </c>
      <c r="E1003" t="s">
        <v>255</v>
      </c>
      <c r="F1003">
        <v>2017</v>
      </c>
      <c r="G1003" t="s">
        <v>507</v>
      </c>
      <c r="H1003" s="42">
        <v>318</v>
      </c>
      <c r="J1003" t="s">
        <v>248</v>
      </c>
      <c r="L1003" s="34">
        <v>3</v>
      </c>
      <c r="M1003" s="38">
        <v>0.75</v>
      </c>
      <c r="N1003" s="38">
        <f t="shared" si="15"/>
        <v>2.25</v>
      </c>
    </row>
    <row r="1004" spans="1:14">
      <c r="A1004" s="29">
        <v>43108</v>
      </c>
      <c r="B1004" s="22" t="s">
        <v>63</v>
      </c>
      <c r="C1004" s="22" t="s">
        <v>57</v>
      </c>
      <c r="D1004" s="48" t="s">
        <v>5</v>
      </c>
      <c r="E1004" t="s">
        <v>158</v>
      </c>
      <c r="F1004">
        <v>2017</v>
      </c>
      <c r="G1004" t="s">
        <v>57</v>
      </c>
      <c r="H1004" s="42" t="s">
        <v>508</v>
      </c>
      <c r="J1004" t="s">
        <v>248</v>
      </c>
      <c r="L1004" s="34">
        <v>2</v>
      </c>
      <c r="M1004" s="38">
        <v>0.75</v>
      </c>
      <c r="N1004" s="38">
        <f t="shared" si="15"/>
        <v>1.5</v>
      </c>
    </row>
    <row r="1005" spans="1:14">
      <c r="A1005" s="29">
        <v>43108</v>
      </c>
      <c r="B1005" s="22" t="s">
        <v>79</v>
      </c>
      <c r="C1005" s="22" t="s">
        <v>57</v>
      </c>
      <c r="D1005" s="48" t="s">
        <v>5</v>
      </c>
      <c r="E1005" t="s">
        <v>159</v>
      </c>
      <c r="F1005">
        <v>2017</v>
      </c>
      <c r="G1005" t="s">
        <v>319</v>
      </c>
      <c r="H1005" s="42">
        <v>11</v>
      </c>
      <c r="J1005" t="s">
        <v>248</v>
      </c>
      <c r="K1005" t="s">
        <v>495</v>
      </c>
      <c r="L1005" s="34">
        <v>6</v>
      </c>
      <c r="M1005" s="38">
        <v>0.75</v>
      </c>
      <c r="N1005" s="38">
        <f t="shared" si="15"/>
        <v>4.5</v>
      </c>
    </row>
    <row r="1006" spans="1:14">
      <c r="A1006" s="29">
        <v>43109</v>
      </c>
      <c r="B1006" s="22" t="s">
        <v>113</v>
      </c>
      <c r="C1006" s="22" t="s">
        <v>271</v>
      </c>
      <c r="D1006" s="48" t="s">
        <v>5</v>
      </c>
      <c r="E1006" t="s">
        <v>157</v>
      </c>
      <c r="F1006">
        <v>2016</v>
      </c>
      <c r="G1006" t="s">
        <v>57</v>
      </c>
      <c r="H1006" s="42" t="s">
        <v>57</v>
      </c>
      <c r="J1006" t="s">
        <v>248</v>
      </c>
      <c r="K1006" t="s">
        <v>509</v>
      </c>
      <c r="L1006" s="34">
        <v>3</v>
      </c>
      <c r="M1006" s="38">
        <v>0.75</v>
      </c>
      <c r="N1006" s="38">
        <f t="shared" si="15"/>
        <v>2.25</v>
      </c>
    </row>
    <row r="1007" spans="1:14">
      <c r="A1007" s="29">
        <v>43109</v>
      </c>
      <c r="B1007" s="22" t="s">
        <v>113</v>
      </c>
      <c r="C1007" s="22" t="s">
        <v>271</v>
      </c>
      <c r="D1007" s="48" t="s">
        <v>5</v>
      </c>
      <c r="E1007" t="s">
        <v>157</v>
      </c>
      <c r="F1007">
        <v>2016</v>
      </c>
      <c r="G1007" t="s">
        <v>57</v>
      </c>
      <c r="H1007" s="42" t="s">
        <v>57</v>
      </c>
      <c r="J1007" t="s">
        <v>248</v>
      </c>
      <c r="K1007" t="s">
        <v>510</v>
      </c>
      <c r="L1007" s="34">
        <v>3</v>
      </c>
      <c r="M1007" s="38">
        <v>0.75</v>
      </c>
      <c r="N1007" s="38">
        <f t="shared" si="15"/>
        <v>2.25</v>
      </c>
    </row>
    <row r="1008" spans="1:14">
      <c r="A1008" s="29">
        <v>43109</v>
      </c>
      <c r="B1008" s="22" t="s">
        <v>109</v>
      </c>
      <c r="C1008" s="22" t="s">
        <v>57</v>
      </c>
      <c r="D1008" s="48" t="s">
        <v>5</v>
      </c>
      <c r="E1008" t="s">
        <v>159</v>
      </c>
      <c r="F1008">
        <v>2017</v>
      </c>
      <c r="G1008" t="s">
        <v>319</v>
      </c>
      <c r="H1008" s="42">
        <v>310</v>
      </c>
      <c r="J1008" t="s">
        <v>248</v>
      </c>
      <c r="L1008" s="34">
        <v>2</v>
      </c>
      <c r="M1008" s="38">
        <v>0.75</v>
      </c>
      <c r="N1008" s="38">
        <f t="shared" si="15"/>
        <v>1.5</v>
      </c>
    </row>
    <row r="1009" spans="1:14">
      <c r="A1009" s="29">
        <v>43109</v>
      </c>
      <c r="B1009" s="22" t="s">
        <v>109</v>
      </c>
      <c r="C1009" s="22" t="s">
        <v>57</v>
      </c>
      <c r="D1009" s="48" t="s">
        <v>8</v>
      </c>
      <c r="E1009" t="s">
        <v>182</v>
      </c>
      <c r="F1009">
        <v>2017</v>
      </c>
      <c r="G1009" t="s">
        <v>489</v>
      </c>
      <c r="H1009" s="42">
        <v>322</v>
      </c>
      <c r="J1009" t="s">
        <v>248</v>
      </c>
      <c r="L1009" s="34">
        <v>2</v>
      </c>
      <c r="M1009" s="38">
        <v>0.75</v>
      </c>
      <c r="N1009" s="38">
        <f t="shared" si="15"/>
        <v>1.5</v>
      </c>
    </row>
    <row r="1010" spans="1:14">
      <c r="A1010" s="29">
        <v>43109</v>
      </c>
      <c r="B1010" s="22" t="s">
        <v>109</v>
      </c>
      <c r="C1010" s="22" t="s">
        <v>57</v>
      </c>
      <c r="D1010" s="48" t="s">
        <v>8</v>
      </c>
      <c r="E1010" t="s">
        <v>178</v>
      </c>
      <c r="F1010">
        <v>2017</v>
      </c>
      <c r="G1010" t="s">
        <v>337</v>
      </c>
      <c r="H1010" s="42">
        <v>205</v>
      </c>
      <c r="J1010" t="s">
        <v>248</v>
      </c>
      <c r="L1010" s="34">
        <v>2</v>
      </c>
      <c r="M1010" s="38">
        <v>0.75</v>
      </c>
      <c r="N1010" s="38">
        <f t="shared" si="15"/>
        <v>1.5</v>
      </c>
    </row>
    <row r="1011" spans="1:14">
      <c r="A1011" s="29">
        <v>43109</v>
      </c>
      <c r="B1011" s="22" t="s">
        <v>109</v>
      </c>
      <c r="C1011" s="22" t="s">
        <v>57</v>
      </c>
      <c r="D1011" s="48" t="s">
        <v>8</v>
      </c>
      <c r="E1011" t="s">
        <v>179</v>
      </c>
      <c r="F1011">
        <v>2017</v>
      </c>
      <c r="G1011" t="s">
        <v>318</v>
      </c>
      <c r="H1011" s="42">
        <v>202</v>
      </c>
      <c r="J1011" t="s">
        <v>248</v>
      </c>
      <c r="L1011" s="34">
        <v>2</v>
      </c>
      <c r="M1011" s="38">
        <v>0.75</v>
      </c>
      <c r="N1011" s="38">
        <f t="shared" si="15"/>
        <v>1.5</v>
      </c>
    </row>
    <row r="1012" spans="1:14">
      <c r="A1012" s="29">
        <v>43111</v>
      </c>
      <c r="B1012" s="22" t="s">
        <v>113</v>
      </c>
      <c r="C1012" s="22" t="s">
        <v>57</v>
      </c>
      <c r="D1012" s="48" t="s">
        <v>5</v>
      </c>
      <c r="E1012" t="s">
        <v>157</v>
      </c>
      <c r="F1012">
        <v>2017</v>
      </c>
      <c r="G1012" t="s">
        <v>257</v>
      </c>
      <c r="H1012" s="42">
        <v>10</v>
      </c>
      <c r="J1012" t="s">
        <v>248</v>
      </c>
      <c r="L1012" s="34">
        <v>1</v>
      </c>
      <c r="M1012" s="38">
        <v>0.75</v>
      </c>
      <c r="N1012" s="38">
        <f t="shared" si="15"/>
        <v>0.75</v>
      </c>
    </row>
    <row r="1013" spans="1:14">
      <c r="A1013" s="29">
        <v>43111</v>
      </c>
      <c r="B1013" s="22" t="s">
        <v>113</v>
      </c>
      <c r="C1013" s="22" t="s">
        <v>57</v>
      </c>
      <c r="D1013" s="48" t="s">
        <v>5</v>
      </c>
      <c r="E1013" t="s">
        <v>157</v>
      </c>
      <c r="F1013">
        <v>2017</v>
      </c>
      <c r="G1013" t="s">
        <v>326</v>
      </c>
      <c r="H1013" s="42">
        <v>421</v>
      </c>
      <c r="J1013" t="s">
        <v>248</v>
      </c>
      <c r="L1013" s="34">
        <v>1</v>
      </c>
      <c r="M1013" s="38">
        <v>0.75</v>
      </c>
      <c r="N1013" s="38">
        <f t="shared" si="15"/>
        <v>0.75</v>
      </c>
    </row>
    <row r="1014" spans="1:14">
      <c r="A1014" s="29">
        <v>43111</v>
      </c>
      <c r="B1014" s="22" t="s">
        <v>113</v>
      </c>
      <c r="C1014" s="22" t="s">
        <v>57</v>
      </c>
      <c r="D1014" s="48" t="s">
        <v>5</v>
      </c>
      <c r="E1014" t="s">
        <v>157</v>
      </c>
      <c r="F1014">
        <v>2016</v>
      </c>
      <c r="G1014" t="s">
        <v>254</v>
      </c>
      <c r="H1014" s="42">
        <v>21</v>
      </c>
      <c r="J1014" t="s">
        <v>248</v>
      </c>
      <c r="L1014" s="34">
        <v>1</v>
      </c>
      <c r="M1014" s="38">
        <v>0.75</v>
      </c>
      <c r="N1014" s="38">
        <f t="shared" si="15"/>
        <v>0.75</v>
      </c>
    </row>
    <row r="1015" spans="1:14">
      <c r="A1015" s="29">
        <v>43111</v>
      </c>
      <c r="B1015" s="22" t="s">
        <v>113</v>
      </c>
      <c r="C1015" s="22" t="s">
        <v>57</v>
      </c>
      <c r="D1015" s="48" t="s">
        <v>5</v>
      </c>
      <c r="E1015" t="s">
        <v>262</v>
      </c>
      <c r="F1015">
        <v>2017</v>
      </c>
      <c r="G1015" t="s">
        <v>404</v>
      </c>
      <c r="H1015" s="42">
        <v>331</v>
      </c>
      <c r="J1015" t="s">
        <v>248</v>
      </c>
      <c r="L1015" s="34">
        <v>1</v>
      </c>
      <c r="M1015" s="38">
        <v>0.75</v>
      </c>
      <c r="N1015" s="38">
        <f t="shared" si="15"/>
        <v>0.75</v>
      </c>
    </row>
    <row r="1016" spans="1:14">
      <c r="A1016" s="29">
        <v>43111</v>
      </c>
      <c r="B1016" s="22" t="s">
        <v>57</v>
      </c>
      <c r="C1016" s="22" t="s">
        <v>49</v>
      </c>
      <c r="D1016" s="48" t="s">
        <v>5</v>
      </c>
      <c r="E1016" t="s">
        <v>158</v>
      </c>
      <c r="F1016">
        <v>2017</v>
      </c>
      <c r="G1016" t="s">
        <v>57</v>
      </c>
      <c r="H1016" s="42">
        <v>84</v>
      </c>
      <c r="J1016" t="s">
        <v>248</v>
      </c>
      <c r="L1016" s="34">
        <v>4</v>
      </c>
      <c r="M1016" s="38">
        <v>0.75</v>
      </c>
      <c r="N1016" s="38">
        <f t="shared" si="15"/>
        <v>3</v>
      </c>
    </row>
    <row r="1017" spans="1:14">
      <c r="A1017" s="29">
        <v>43112</v>
      </c>
      <c r="B1017" s="22" t="s">
        <v>57</v>
      </c>
      <c r="C1017" s="22" t="s">
        <v>49</v>
      </c>
      <c r="D1017" s="48" t="s">
        <v>5</v>
      </c>
      <c r="E1017" t="s">
        <v>158</v>
      </c>
      <c r="F1017">
        <v>2017</v>
      </c>
      <c r="G1017" t="s">
        <v>57</v>
      </c>
      <c r="H1017" s="42">
        <v>84</v>
      </c>
      <c r="J1017" t="s">
        <v>248</v>
      </c>
      <c r="L1017" s="34">
        <v>2</v>
      </c>
      <c r="M1017" s="38">
        <v>0.75</v>
      </c>
      <c r="N1017" s="38">
        <f t="shared" si="15"/>
        <v>1.5</v>
      </c>
    </row>
    <row r="1018" spans="1:14">
      <c r="A1018" s="29">
        <v>43112</v>
      </c>
      <c r="B1018" s="22" t="s">
        <v>57</v>
      </c>
      <c r="C1018" s="22" t="s">
        <v>49</v>
      </c>
      <c r="D1018" s="48" t="s">
        <v>5</v>
      </c>
      <c r="E1018" t="s">
        <v>157</v>
      </c>
      <c r="F1018">
        <v>2017</v>
      </c>
      <c r="G1018" t="s">
        <v>391</v>
      </c>
      <c r="H1018" s="42">
        <v>420</v>
      </c>
      <c r="J1018" t="s">
        <v>248</v>
      </c>
      <c r="L1018" s="34">
        <v>2</v>
      </c>
      <c r="M1018" s="38">
        <v>0.75</v>
      </c>
      <c r="N1018" s="38">
        <f t="shared" si="15"/>
        <v>1.5</v>
      </c>
    </row>
    <row r="1019" spans="1:14">
      <c r="A1019" s="29">
        <v>43115</v>
      </c>
      <c r="B1019" s="22" t="s">
        <v>63</v>
      </c>
      <c r="C1019" s="22" t="s">
        <v>57</v>
      </c>
      <c r="D1019" s="48" t="s">
        <v>5</v>
      </c>
      <c r="E1019" t="s">
        <v>157</v>
      </c>
      <c r="F1019">
        <v>2017</v>
      </c>
      <c r="G1019" t="s">
        <v>247</v>
      </c>
      <c r="H1019" s="42">
        <v>414</v>
      </c>
      <c r="J1019" t="s">
        <v>248</v>
      </c>
      <c r="L1019" s="34">
        <v>2</v>
      </c>
      <c r="M1019" s="38">
        <v>0.75</v>
      </c>
      <c r="N1019" s="38">
        <f t="shared" si="15"/>
        <v>1.5</v>
      </c>
    </row>
    <row r="1020" spans="1:14">
      <c r="A1020" s="29">
        <v>43115</v>
      </c>
      <c r="B1020" s="22" t="s">
        <v>63</v>
      </c>
      <c r="C1020" s="22" t="s">
        <v>57</v>
      </c>
      <c r="D1020" s="48" t="s">
        <v>5</v>
      </c>
      <c r="E1020" t="s">
        <v>157</v>
      </c>
      <c r="F1020">
        <v>2017</v>
      </c>
      <c r="G1020" t="s">
        <v>326</v>
      </c>
      <c r="H1020" s="42">
        <v>421</v>
      </c>
      <c r="J1020" t="s">
        <v>248</v>
      </c>
      <c r="L1020" s="34">
        <v>2</v>
      </c>
      <c r="M1020" s="38">
        <v>0.75</v>
      </c>
      <c r="N1020" s="38">
        <f t="shared" si="15"/>
        <v>1.5</v>
      </c>
    </row>
    <row r="1021" spans="1:14">
      <c r="A1021" s="29">
        <v>43115</v>
      </c>
      <c r="B1021" s="22" t="s">
        <v>63</v>
      </c>
      <c r="C1021" s="22" t="s">
        <v>57</v>
      </c>
      <c r="D1021" s="48" t="s">
        <v>5</v>
      </c>
      <c r="E1021" t="s">
        <v>262</v>
      </c>
      <c r="F1021">
        <v>2017</v>
      </c>
      <c r="G1021" t="s">
        <v>57</v>
      </c>
      <c r="H1021" s="42">
        <v>196</v>
      </c>
      <c r="J1021" t="s">
        <v>248</v>
      </c>
      <c r="L1021" s="34">
        <v>3</v>
      </c>
      <c r="M1021" s="38">
        <v>0.75</v>
      </c>
      <c r="N1021" s="38">
        <f t="shared" si="15"/>
        <v>2.25</v>
      </c>
    </row>
    <row r="1022" spans="1:14">
      <c r="A1022" s="29">
        <v>43115</v>
      </c>
      <c r="B1022" s="22" t="s">
        <v>13</v>
      </c>
      <c r="C1022" s="22" t="s">
        <v>57</v>
      </c>
      <c r="D1022" s="48" t="s">
        <v>5</v>
      </c>
      <c r="E1022" t="s">
        <v>157</v>
      </c>
      <c r="F1022">
        <v>2017</v>
      </c>
      <c r="G1022" t="s">
        <v>500</v>
      </c>
      <c r="H1022" s="42">
        <v>29</v>
      </c>
      <c r="J1022" t="s">
        <v>248</v>
      </c>
      <c r="L1022" s="34">
        <v>6</v>
      </c>
      <c r="M1022" s="38">
        <v>0.75</v>
      </c>
      <c r="N1022" s="38">
        <f t="shared" si="15"/>
        <v>4.5</v>
      </c>
    </row>
    <row r="1023" spans="1:14">
      <c r="A1023" s="29">
        <v>43115</v>
      </c>
      <c r="B1023" s="22" t="s">
        <v>13</v>
      </c>
      <c r="C1023" s="22" t="s">
        <v>57</v>
      </c>
      <c r="D1023" s="48" t="s">
        <v>5</v>
      </c>
      <c r="E1023" t="s">
        <v>159</v>
      </c>
      <c r="F1023">
        <v>2017</v>
      </c>
      <c r="G1023" t="s">
        <v>500</v>
      </c>
      <c r="H1023" s="42">
        <v>19</v>
      </c>
      <c r="J1023" t="s">
        <v>248</v>
      </c>
      <c r="L1023" s="34">
        <v>6</v>
      </c>
      <c r="M1023" s="38">
        <v>0.75</v>
      </c>
      <c r="N1023" s="38">
        <f t="shared" si="15"/>
        <v>4.5</v>
      </c>
    </row>
    <row r="1024" spans="1:14">
      <c r="A1024" s="29">
        <v>43115</v>
      </c>
      <c r="B1024" s="22" t="s">
        <v>13</v>
      </c>
      <c r="C1024" s="22" t="s">
        <v>57</v>
      </c>
      <c r="D1024" s="48" t="s">
        <v>5</v>
      </c>
      <c r="E1024" t="s">
        <v>262</v>
      </c>
      <c r="F1024">
        <v>2017</v>
      </c>
      <c r="G1024" t="s">
        <v>500</v>
      </c>
      <c r="H1024" s="42">
        <v>38</v>
      </c>
      <c r="J1024" t="s">
        <v>248</v>
      </c>
      <c r="L1024" s="34">
        <v>6</v>
      </c>
      <c r="M1024" s="38">
        <v>0.75</v>
      </c>
      <c r="N1024" s="38">
        <f t="shared" si="15"/>
        <v>4.5</v>
      </c>
    </row>
    <row r="1025" spans="1:14">
      <c r="A1025" s="29">
        <v>43115</v>
      </c>
      <c r="B1025" s="22" t="s">
        <v>13</v>
      </c>
      <c r="C1025" s="22" t="s">
        <v>57</v>
      </c>
      <c r="D1025" s="48" t="s">
        <v>5</v>
      </c>
      <c r="E1025" t="s">
        <v>511</v>
      </c>
      <c r="F1025">
        <v>2017</v>
      </c>
      <c r="G1025" t="s">
        <v>500</v>
      </c>
      <c r="H1025" s="42" t="s">
        <v>512</v>
      </c>
      <c r="J1025" t="s">
        <v>248</v>
      </c>
      <c r="L1025" s="34">
        <v>6</v>
      </c>
      <c r="M1025" s="38">
        <v>0.75</v>
      </c>
      <c r="N1025" s="38">
        <f t="shared" si="15"/>
        <v>4.5</v>
      </c>
    </row>
    <row r="1026" spans="1:14">
      <c r="A1026" s="29">
        <v>43115</v>
      </c>
      <c r="B1026" s="22" t="s">
        <v>13</v>
      </c>
      <c r="C1026" s="22" t="s">
        <v>57</v>
      </c>
      <c r="D1026" s="48" t="s">
        <v>8</v>
      </c>
      <c r="E1026" t="s">
        <v>367</v>
      </c>
      <c r="F1026">
        <v>2017</v>
      </c>
      <c r="G1026" t="s">
        <v>500</v>
      </c>
      <c r="H1026" s="42">
        <v>82</v>
      </c>
      <c r="J1026" t="s">
        <v>248</v>
      </c>
      <c r="L1026" s="34">
        <v>6</v>
      </c>
      <c r="M1026" s="38">
        <v>0.75</v>
      </c>
      <c r="N1026" s="38">
        <f t="shared" si="15"/>
        <v>4.5</v>
      </c>
    </row>
    <row r="1027" spans="1:14">
      <c r="A1027" s="29">
        <v>43115</v>
      </c>
      <c r="B1027" s="22" t="s">
        <v>13</v>
      </c>
      <c r="C1027" s="22" t="s">
        <v>57</v>
      </c>
      <c r="D1027" s="48" t="s">
        <v>8</v>
      </c>
      <c r="E1027" t="s">
        <v>513</v>
      </c>
      <c r="F1027">
        <v>2017</v>
      </c>
      <c r="G1027" t="s">
        <v>500</v>
      </c>
      <c r="H1027" s="42">
        <v>70</v>
      </c>
      <c r="J1027" t="s">
        <v>248</v>
      </c>
      <c r="L1027" s="34">
        <v>1</v>
      </c>
      <c r="M1027" s="38">
        <v>0.75</v>
      </c>
      <c r="N1027" s="38">
        <f t="shared" ref="N1027:N1090" si="16">M1027*L1027</f>
        <v>0.75</v>
      </c>
    </row>
    <row r="1028" spans="1:14">
      <c r="A1028" s="29">
        <v>43115</v>
      </c>
      <c r="B1028" s="22" t="s">
        <v>13</v>
      </c>
      <c r="C1028" s="22" t="s">
        <v>57</v>
      </c>
      <c r="D1028" s="48" t="s">
        <v>8</v>
      </c>
      <c r="E1028" t="s">
        <v>259</v>
      </c>
      <c r="F1028">
        <v>2017</v>
      </c>
      <c r="G1028" t="s">
        <v>57</v>
      </c>
      <c r="H1028" s="42">
        <v>334</v>
      </c>
      <c r="J1028" t="s">
        <v>248</v>
      </c>
      <c r="L1028" s="34">
        <v>1</v>
      </c>
      <c r="M1028" s="38">
        <v>0.75</v>
      </c>
      <c r="N1028" s="38">
        <f t="shared" si="16"/>
        <v>0.75</v>
      </c>
    </row>
    <row r="1029" spans="1:14">
      <c r="A1029" s="29">
        <v>43115</v>
      </c>
      <c r="B1029" s="22" t="s">
        <v>13</v>
      </c>
      <c r="C1029" s="22" t="s">
        <v>57</v>
      </c>
      <c r="D1029" s="48" t="s">
        <v>11</v>
      </c>
      <c r="E1029" t="s">
        <v>177</v>
      </c>
      <c r="F1029">
        <v>2017</v>
      </c>
      <c r="G1029" t="s">
        <v>500</v>
      </c>
      <c r="H1029" s="42">
        <v>418</v>
      </c>
      <c r="J1029" t="s">
        <v>248</v>
      </c>
      <c r="L1029" s="34">
        <v>6</v>
      </c>
      <c r="M1029" s="38">
        <v>0.75</v>
      </c>
      <c r="N1029" s="38">
        <f t="shared" si="16"/>
        <v>4.5</v>
      </c>
    </row>
    <row r="1030" spans="1:14">
      <c r="A1030" s="29">
        <v>43115</v>
      </c>
      <c r="B1030" s="22" t="s">
        <v>13</v>
      </c>
      <c r="C1030" s="22" t="s">
        <v>57</v>
      </c>
      <c r="D1030" s="48" t="s">
        <v>11</v>
      </c>
      <c r="E1030" t="s">
        <v>347</v>
      </c>
      <c r="F1030">
        <v>2017</v>
      </c>
      <c r="G1030" t="s">
        <v>500</v>
      </c>
      <c r="H1030" s="42" t="s">
        <v>353</v>
      </c>
      <c r="J1030" t="s">
        <v>248</v>
      </c>
      <c r="L1030" s="34">
        <v>6</v>
      </c>
      <c r="M1030" s="38">
        <v>0.75</v>
      </c>
      <c r="N1030" s="38">
        <f t="shared" si="16"/>
        <v>4.5</v>
      </c>
    </row>
    <row r="1031" spans="1:14">
      <c r="A1031" s="29">
        <v>43116</v>
      </c>
      <c r="B1031" s="22" t="s">
        <v>9</v>
      </c>
      <c r="C1031" s="22" t="s">
        <v>41</v>
      </c>
      <c r="D1031" s="48" t="s">
        <v>5</v>
      </c>
      <c r="E1031" t="s">
        <v>307</v>
      </c>
      <c r="F1031">
        <v>2017</v>
      </c>
      <c r="G1031" t="s">
        <v>307</v>
      </c>
      <c r="H1031" s="42">
        <v>331</v>
      </c>
      <c r="J1031" t="s">
        <v>248</v>
      </c>
      <c r="L1031" s="34">
        <v>6</v>
      </c>
      <c r="M1031" s="38">
        <v>0.75</v>
      </c>
      <c r="N1031" s="38">
        <f t="shared" si="16"/>
        <v>4.5</v>
      </c>
    </row>
    <row r="1032" spans="1:14">
      <c r="A1032" s="29">
        <v>43116</v>
      </c>
      <c r="B1032" s="22" t="s">
        <v>6</v>
      </c>
      <c r="C1032" s="22" t="s">
        <v>41</v>
      </c>
      <c r="D1032" s="48" t="s">
        <v>5</v>
      </c>
      <c r="E1032" t="s">
        <v>159</v>
      </c>
      <c r="F1032">
        <v>2017</v>
      </c>
      <c r="G1032" t="s">
        <v>247</v>
      </c>
      <c r="H1032" s="42">
        <v>405</v>
      </c>
      <c r="J1032" t="s">
        <v>248</v>
      </c>
      <c r="L1032" s="34">
        <v>2</v>
      </c>
      <c r="M1032" s="38">
        <v>0.75</v>
      </c>
      <c r="N1032" s="38">
        <f t="shared" si="16"/>
        <v>1.5</v>
      </c>
    </row>
    <row r="1033" spans="1:14">
      <c r="A1033" s="29">
        <v>43116</v>
      </c>
      <c r="B1033" s="22" t="s">
        <v>6</v>
      </c>
      <c r="C1033" s="22" t="s">
        <v>41</v>
      </c>
      <c r="D1033" s="48" t="s">
        <v>5</v>
      </c>
      <c r="E1033" t="s">
        <v>255</v>
      </c>
      <c r="F1033">
        <v>2017</v>
      </c>
      <c r="G1033" t="s">
        <v>57</v>
      </c>
      <c r="H1033" s="42">
        <v>88</v>
      </c>
      <c r="J1033" t="s">
        <v>248</v>
      </c>
      <c r="L1033" s="34">
        <v>1</v>
      </c>
      <c r="M1033" s="38">
        <v>0.75</v>
      </c>
      <c r="N1033" s="38">
        <f t="shared" si="16"/>
        <v>0.75</v>
      </c>
    </row>
    <row r="1034" spans="1:14">
      <c r="A1034" s="29">
        <v>43118</v>
      </c>
      <c r="B1034" s="22" t="s">
        <v>29</v>
      </c>
      <c r="C1034" s="22" t="s">
        <v>45</v>
      </c>
      <c r="D1034" s="48" t="s">
        <v>5</v>
      </c>
      <c r="E1034" t="s">
        <v>157</v>
      </c>
      <c r="F1034">
        <v>2017</v>
      </c>
      <c r="G1034" t="s">
        <v>247</v>
      </c>
      <c r="H1034" s="42">
        <v>414</v>
      </c>
      <c r="J1034" t="s">
        <v>248</v>
      </c>
      <c r="L1034" s="34">
        <v>4</v>
      </c>
      <c r="M1034" s="38">
        <v>0.75</v>
      </c>
      <c r="N1034" s="38">
        <f t="shared" si="16"/>
        <v>3</v>
      </c>
    </row>
    <row r="1035" spans="1:14">
      <c r="A1035" s="29">
        <v>43118</v>
      </c>
      <c r="B1035" s="22" t="s">
        <v>29</v>
      </c>
      <c r="C1035" s="22" t="s">
        <v>45</v>
      </c>
      <c r="D1035" s="48" t="s">
        <v>5</v>
      </c>
      <c r="E1035" t="s">
        <v>157</v>
      </c>
      <c r="F1035">
        <v>2016</v>
      </c>
      <c r="G1035" t="s">
        <v>391</v>
      </c>
      <c r="H1035" s="42">
        <v>306</v>
      </c>
      <c r="J1035" t="s">
        <v>248</v>
      </c>
      <c r="L1035" s="34">
        <v>4</v>
      </c>
      <c r="M1035" s="38">
        <v>0.75</v>
      </c>
      <c r="N1035" s="38">
        <f t="shared" si="16"/>
        <v>3</v>
      </c>
    </row>
    <row r="1036" spans="1:14">
      <c r="A1036" s="29">
        <v>43118</v>
      </c>
      <c r="B1036" s="22" t="s">
        <v>123</v>
      </c>
      <c r="C1036" s="22" t="s">
        <v>45</v>
      </c>
      <c r="D1036" s="48" t="s">
        <v>5</v>
      </c>
      <c r="E1036" t="s">
        <v>272</v>
      </c>
      <c r="F1036">
        <v>2017</v>
      </c>
      <c r="G1036" t="s">
        <v>357</v>
      </c>
      <c r="H1036" s="42">
        <v>413</v>
      </c>
      <c r="J1036" t="s">
        <v>248</v>
      </c>
      <c r="L1036" s="34">
        <v>4</v>
      </c>
      <c r="M1036" s="38">
        <v>0.75</v>
      </c>
      <c r="N1036" s="38">
        <f t="shared" si="16"/>
        <v>3</v>
      </c>
    </row>
    <row r="1037" spans="1:14">
      <c r="A1037" s="29">
        <v>43118</v>
      </c>
      <c r="B1037" s="22" t="s">
        <v>123</v>
      </c>
      <c r="C1037" s="22" t="s">
        <v>45</v>
      </c>
      <c r="D1037" s="48" t="s">
        <v>5</v>
      </c>
      <c r="E1037" t="s">
        <v>272</v>
      </c>
      <c r="F1037">
        <v>2017</v>
      </c>
      <c r="G1037" t="s">
        <v>359</v>
      </c>
      <c r="H1037" s="42">
        <v>416</v>
      </c>
      <c r="J1037" t="s">
        <v>248</v>
      </c>
      <c r="L1037" s="34">
        <v>4</v>
      </c>
      <c r="M1037" s="38">
        <v>0.75</v>
      </c>
      <c r="N1037" s="38">
        <f t="shared" si="16"/>
        <v>3</v>
      </c>
    </row>
    <row r="1038" spans="1:14">
      <c r="A1038" s="29">
        <v>43118</v>
      </c>
      <c r="B1038" s="22" t="s">
        <v>127</v>
      </c>
      <c r="C1038" s="22" t="s">
        <v>57</v>
      </c>
      <c r="D1038" s="48" t="s">
        <v>5</v>
      </c>
      <c r="E1038" t="s">
        <v>306</v>
      </c>
      <c r="F1038">
        <v>2017</v>
      </c>
      <c r="G1038" t="s">
        <v>514</v>
      </c>
      <c r="H1038" s="42" t="s">
        <v>57</v>
      </c>
      <c r="J1038" t="s">
        <v>248</v>
      </c>
      <c r="L1038" s="34">
        <v>6</v>
      </c>
      <c r="M1038" s="38">
        <v>0.75</v>
      </c>
      <c r="N1038" s="38">
        <f t="shared" si="16"/>
        <v>4.5</v>
      </c>
    </row>
    <row r="1039" spans="1:14">
      <c r="A1039" s="29">
        <v>43122</v>
      </c>
      <c r="B1039" s="22" t="s">
        <v>63</v>
      </c>
      <c r="C1039" s="22" t="s">
        <v>57</v>
      </c>
      <c r="D1039" s="48" t="s">
        <v>5</v>
      </c>
      <c r="E1039" t="s">
        <v>255</v>
      </c>
      <c r="F1039">
        <v>2017</v>
      </c>
      <c r="G1039" t="s">
        <v>507</v>
      </c>
      <c r="H1039" s="42">
        <v>318</v>
      </c>
      <c r="J1039" t="s">
        <v>248</v>
      </c>
      <c r="L1039" s="34">
        <v>3</v>
      </c>
      <c r="M1039" s="38">
        <v>0.75</v>
      </c>
      <c r="N1039" s="38">
        <f t="shared" si="16"/>
        <v>2.25</v>
      </c>
    </row>
    <row r="1040" spans="1:14">
      <c r="A1040" s="29">
        <v>43123</v>
      </c>
      <c r="B1040" s="22" t="s">
        <v>109</v>
      </c>
      <c r="C1040" s="22" t="s">
        <v>57</v>
      </c>
      <c r="D1040" s="48" t="s">
        <v>5</v>
      </c>
      <c r="E1040" t="s">
        <v>308</v>
      </c>
      <c r="F1040">
        <v>2017</v>
      </c>
      <c r="G1040" t="s">
        <v>494</v>
      </c>
      <c r="H1040" s="42">
        <v>199</v>
      </c>
      <c r="J1040" t="s">
        <v>248</v>
      </c>
      <c r="L1040" s="34">
        <v>4</v>
      </c>
      <c r="M1040" s="38">
        <v>0.75</v>
      </c>
      <c r="N1040" s="38">
        <f t="shared" si="16"/>
        <v>3</v>
      </c>
    </row>
    <row r="1041" spans="1:14">
      <c r="A1041" s="29">
        <v>43123</v>
      </c>
      <c r="B1041" s="22" t="s">
        <v>109</v>
      </c>
      <c r="C1041" s="22" t="s">
        <v>57</v>
      </c>
      <c r="D1041" s="48" t="s">
        <v>8</v>
      </c>
      <c r="E1041" t="s">
        <v>179</v>
      </c>
      <c r="F1041">
        <v>2017</v>
      </c>
      <c r="G1041" t="s">
        <v>318</v>
      </c>
      <c r="H1041" s="42">
        <v>326</v>
      </c>
      <c r="J1041" t="s">
        <v>248</v>
      </c>
      <c r="L1041" s="34">
        <v>4</v>
      </c>
      <c r="M1041" s="38">
        <v>0.75</v>
      </c>
      <c r="N1041" s="38">
        <f t="shared" si="16"/>
        <v>3</v>
      </c>
    </row>
    <row r="1042" spans="1:14">
      <c r="A1042" s="29">
        <v>43123</v>
      </c>
      <c r="B1042" s="22" t="s">
        <v>109</v>
      </c>
      <c r="C1042" s="22" t="s">
        <v>57</v>
      </c>
      <c r="D1042" s="48" t="s">
        <v>5</v>
      </c>
      <c r="E1042" t="s">
        <v>157</v>
      </c>
      <c r="F1042">
        <v>2017</v>
      </c>
      <c r="G1042" t="s">
        <v>247</v>
      </c>
      <c r="H1042" s="42">
        <v>414</v>
      </c>
      <c r="J1042" t="s">
        <v>248</v>
      </c>
      <c r="L1042" s="34">
        <v>1</v>
      </c>
      <c r="M1042" s="38">
        <v>0.75</v>
      </c>
      <c r="N1042" s="38">
        <f t="shared" si="16"/>
        <v>0.75</v>
      </c>
    </row>
    <row r="1043" spans="1:14">
      <c r="A1043" s="29">
        <v>43124</v>
      </c>
      <c r="B1043" s="22" t="s">
        <v>9</v>
      </c>
      <c r="C1043" s="22" t="s">
        <v>41</v>
      </c>
      <c r="D1043" s="48" t="s">
        <v>5</v>
      </c>
      <c r="E1043" t="s">
        <v>255</v>
      </c>
      <c r="F1043">
        <v>2017</v>
      </c>
      <c r="G1043" t="s">
        <v>57</v>
      </c>
      <c r="H1043" s="42">
        <v>88</v>
      </c>
      <c r="J1043" t="s">
        <v>248</v>
      </c>
      <c r="K1043" t="s">
        <v>515</v>
      </c>
      <c r="L1043" s="34">
        <v>1</v>
      </c>
      <c r="M1043" s="38">
        <v>0.75</v>
      </c>
      <c r="N1043" s="38">
        <f t="shared" si="16"/>
        <v>0.75</v>
      </c>
    </row>
    <row r="1044" spans="1:14">
      <c r="A1044" s="29">
        <v>43126</v>
      </c>
      <c r="B1044" s="22" t="s">
        <v>63</v>
      </c>
      <c r="C1044" s="22" t="s">
        <v>57</v>
      </c>
      <c r="D1044" s="48" t="s">
        <v>5</v>
      </c>
      <c r="E1044" t="s">
        <v>159</v>
      </c>
      <c r="F1044">
        <v>2017</v>
      </c>
      <c r="G1044" t="s">
        <v>326</v>
      </c>
      <c r="H1044" s="42">
        <v>21</v>
      </c>
      <c r="J1044" t="s">
        <v>248</v>
      </c>
      <c r="L1044" s="34">
        <v>2</v>
      </c>
      <c r="M1044" s="38">
        <v>0.75</v>
      </c>
      <c r="N1044" s="38">
        <f t="shared" si="16"/>
        <v>1.5</v>
      </c>
    </row>
    <row r="1045" spans="1:14">
      <c r="A1045" s="29">
        <v>43126</v>
      </c>
      <c r="B1045" s="22" t="s">
        <v>63</v>
      </c>
      <c r="C1045" s="22" t="s">
        <v>57</v>
      </c>
      <c r="D1045" s="48" t="s">
        <v>5</v>
      </c>
      <c r="E1045" t="s">
        <v>159</v>
      </c>
      <c r="F1045">
        <v>2017</v>
      </c>
      <c r="G1045" t="s">
        <v>247</v>
      </c>
      <c r="H1045" s="42">
        <v>77</v>
      </c>
      <c r="J1045" t="s">
        <v>248</v>
      </c>
      <c r="L1045" s="34">
        <v>2</v>
      </c>
      <c r="M1045" s="38">
        <v>0.75</v>
      </c>
      <c r="N1045" s="38">
        <f t="shared" si="16"/>
        <v>1.5</v>
      </c>
    </row>
    <row r="1046" spans="1:14">
      <c r="A1046" s="29">
        <v>43126</v>
      </c>
      <c r="B1046" s="22" t="s">
        <v>79</v>
      </c>
      <c r="C1046" s="22" t="s">
        <v>57</v>
      </c>
      <c r="D1046" s="48" t="s">
        <v>5</v>
      </c>
      <c r="E1046" t="s">
        <v>157</v>
      </c>
      <c r="F1046">
        <v>2017</v>
      </c>
      <c r="G1046" t="s">
        <v>247</v>
      </c>
      <c r="H1046" s="42">
        <v>414</v>
      </c>
      <c r="J1046" t="s">
        <v>248</v>
      </c>
      <c r="L1046" s="34">
        <v>1</v>
      </c>
      <c r="M1046" s="38">
        <v>0.75</v>
      </c>
      <c r="N1046" s="38">
        <f t="shared" si="16"/>
        <v>0.75</v>
      </c>
    </row>
    <row r="1047" spans="1:14">
      <c r="A1047" s="29">
        <v>43129</v>
      </c>
      <c r="B1047" s="22" t="s">
        <v>28</v>
      </c>
      <c r="C1047" s="22" t="s">
        <v>271</v>
      </c>
      <c r="D1047" s="48" t="s">
        <v>5</v>
      </c>
      <c r="E1047" t="s">
        <v>157</v>
      </c>
      <c r="F1047">
        <v>2017</v>
      </c>
      <c r="G1047" t="s">
        <v>305</v>
      </c>
      <c r="H1047" s="42">
        <v>23</v>
      </c>
      <c r="J1047" t="s">
        <v>248</v>
      </c>
      <c r="L1047" s="34">
        <v>4</v>
      </c>
      <c r="M1047" s="38">
        <v>0.75</v>
      </c>
      <c r="N1047" s="38">
        <f t="shared" si="16"/>
        <v>3</v>
      </c>
    </row>
    <row r="1048" spans="1:14">
      <c r="A1048" s="29">
        <v>43129</v>
      </c>
      <c r="B1048" s="22" t="s">
        <v>113</v>
      </c>
      <c r="C1048" s="22" t="s">
        <v>271</v>
      </c>
      <c r="D1048" s="48" t="s">
        <v>5</v>
      </c>
      <c r="E1048" t="s">
        <v>157</v>
      </c>
      <c r="F1048">
        <v>2017</v>
      </c>
      <c r="G1048" t="s">
        <v>257</v>
      </c>
      <c r="H1048" s="42">
        <v>28</v>
      </c>
      <c r="J1048" t="s">
        <v>248</v>
      </c>
      <c r="L1048" s="34">
        <v>4</v>
      </c>
      <c r="M1048" s="38">
        <v>0.75</v>
      </c>
      <c r="N1048" s="38">
        <f t="shared" si="16"/>
        <v>3</v>
      </c>
    </row>
    <row r="1049" spans="1:14">
      <c r="A1049" s="29">
        <v>43129</v>
      </c>
      <c r="B1049" s="22" t="s">
        <v>109</v>
      </c>
      <c r="C1049" s="22" t="s">
        <v>57</v>
      </c>
      <c r="D1049" s="48" t="s">
        <v>5</v>
      </c>
      <c r="E1049" t="s">
        <v>308</v>
      </c>
      <c r="F1049">
        <v>2017</v>
      </c>
      <c r="G1049" t="s">
        <v>494</v>
      </c>
      <c r="H1049" s="42">
        <v>409</v>
      </c>
      <c r="J1049" t="s">
        <v>248</v>
      </c>
      <c r="L1049" s="34">
        <v>2</v>
      </c>
      <c r="M1049" s="38">
        <v>0.75</v>
      </c>
      <c r="N1049" s="38">
        <f t="shared" si="16"/>
        <v>1.5</v>
      </c>
    </row>
    <row r="1050" spans="1:14">
      <c r="A1050" s="29">
        <v>43129</v>
      </c>
      <c r="B1050" s="22" t="s">
        <v>13</v>
      </c>
      <c r="C1050" s="22" t="s">
        <v>57</v>
      </c>
      <c r="D1050" s="48" t="s">
        <v>5</v>
      </c>
      <c r="E1050" t="s">
        <v>157</v>
      </c>
      <c r="F1050">
        <v>2017</v>
      </c>
      <c r="G1050" t="s">
        <v>500</v>
      </c>
      <c r="H1050" s="42">
        <v>29</v>
      </c>
      <c r="J1050" t="s">
        <v>248</v>
      </c>
      <c r="L1050" s="34">
        <v>3</v>
      </c>
      <c r="M1050" s="38">
        <v>0.75</v>
      </c>
      <c r="N1050" s="38">
        <f t="shared" si="16"/>
        <v>2.25</v>
      </c>
    </row>
    <row r="1051" spans="1:14">
      <c r="A1051" s="29">
        <v>43129</v>
      </c>
      <c r="B1051" s="22" t="s">
        <v>13</v>
      </c>
      <c r="C1051" s="22" t="s">
        <v>57</v>
      </c>
      <c r="D1051" s="48" t="s">
        <v>5</v>
      </c>
      <c r="E1051" t="s">
        <v>159</v>
      </c>
      <c r="F1051">
        <v>2017</v>
      </c>
      <c r="G1051" t="s">
        <v>500</v>
      </c>
      <c r="H1051" s="42">
        <v>19</v>
      </c>
      <c r="J1051" t="s">
        <v>248</v>
      </c>
      <c r="L1051" s="34">
        <v>3</v>
      </c>
      <c r="M1051" s="38">
        <v>0.75</v>
      </c>
      <c r="N1051" s="38">
        <f t="shared" si="16"/>
        <v>2.25</v>
      </c>
    </row>
    <row r="1052" spans="1:14">
      <c r="A1052" s="29">
        <v>43129</v>
      </c>
      <c r="B1052" s="22" t="s">
        <v>13</v>
      </c>
      <c r="C1052" s="22" t="s">
        <v>57</v>
      </c>
      <c r="D1052" s="48" t="s">
        <v>8</v>
      </c>
      <c r="E1052" t="s">
        <v>367</v>
      </c>
      <c r="F1052">
        <v>2017</v>
      </c>
      <c r="G1052" t="s">
        <v>500</v>
      </c>
      <c r="H1052" s="42">
        <v>82</v>
      </c>
      <c r="J1052" t="s">
        <v>248</v>
      </c>
      <c r="L1052" s="34">
        <v>3</v>
      </c>
      <c r="M1052" s="38">
        <v>0.75</v>
      </c>
      <c r="N1052" s="38">
        <f t="shared" si="16"/>
        <v>2.25</v>
      </c>
    </row>
    <row r="1053" spans="1:14">
      <c r="A1053" s="29">
        <v>43129</v>
      </c>
      <c r="B1053" s="22" t="s">
        <v>13</v>
      </c>
      <c r="C1053" s="22" t="s">
        <v>57</v>
      </c>
      <c r="D1053" s="48" t="s">
        <v>11</v>
      </c>
      <c r="E1053" t="s">
        <v>179</v>
      </c>
      <c r="F1053">
        <v>2017</v>
      </c>
      <c r="G1053" t="s">
        <v>500</v>
      </c>
      <c r="H1053" s="42">
        <v>120</v>
      </c>
      <c r="J1053" t="s">
        <v>248</v>
      </c>
      <c r="L1053" s="34">
        <v>3</v>
      </c>
      <c r="M1053" s="38">
        <v>0.75</v>
      </c>
      <c r="N1053" s="38">
        <f t="shared" si="16"/>
        <v>2.25</v>
      </c>
    </row>
    <row r="1054" spans="1:14">
      <c r="A1054" s="29">
        <v>43131</v>
      </c>
      <c r="B1054" s="22" t="s">
        <v>74</v>
      </c>
      <c r="C1054" s="22" t="s">
        <v>57</v>
      </c>
      <c r="D1054" s="48" t="s">
        <v>5</v>
      </c>
      <c r="E1054" t="s">
        <v>262</v>
      </c>
      <c r="F1054">
        <v>2017</v>
      </c>
      <c r="G1054" t="s">
        <v>494</v>
      </c>
      <c r="H1054" s="42">
        <v>409</v>
      </c>
      <c r="J1054" t="s">
        <v>248</v>
      </c>
      <c r="L1054" s="34">
        <v>2</v>
      </c>
      <c r="M1054" s="38">
        <v>0.75</v>
      </c>
      <c r="N1054" s="38">
        <f t="shared" si="16"/>
        <v>1.5</v>
      </c>
    </row>
    <row r="1055" spans="1:14">
      <c r="A1055" s="29">
        <v>43131</v>
      </c>
      <c r="B1055" s="22" t="s">
        <v>60</v>
      </c>
      <c r="C1055" s="22" t="s">
        <v>53</v>
      </c>
      <c r="D1055" s="48" t="s">
        <v>5</v>
      </c>
      <c r="E1055" t="s">
        <v>158</v>
      </c>
      <c r="F1055">
        <v>2017</v>
      </c>
      <c r="G1055" t="s">
        <v>257</v>
      </c>
      <c r="H1055" s="42" t="s">
        <v>506</v>
      </c>
      <c r="J1055" t="s">
        <v>248</v>
      </c>
      <c r="L1055" s="34">
        <v>3</v>
      </c>
      <c r="M1055" s="38">
        <v>0.75</v>
      </c>
      <c r="N1055" s="38">
        <f t="shared" si="16"/>
        <v>2.25</v>
      </c>
    </row>
    <row r="1056" spans="1:14">
      <c r="A1056" s="29">
        <v>43136</v>
      </c>
      <c r="B1056" s="22" t="s">
        <v>6</v>
      </c>
      <c r="C1056" s="22" t="s">
        <v>41</v>
      </c>
      <c r="D1056" s="48" t="s">
        <v>8</v>
      </c>
      <c r="E1056" t="s">
        <v>178</v>
      </c>
      <c r="F1056">
        <v>2017</v>
      </c>
      <c r="G1056" t="s">
        <v>337</v>
      </c>
      <c r="H1056" s="42">
        <v>313</v>
      </c>
      <c r="J1056" t="s">
        <v>248</v>
      </c>
      <c r="L1056" s="34">
        <v>2</v>
      </c>
      <c r="M1056" s="38">
        <v>0.75</v>
      </c>
      <c r="N1056" s="38">
        <f t="shared" si="16"/>
        <v>1.5</v>
      </c>
    </row>
    <row r="1057" spans="1:14">
      <c r="A1057" s="29">
        <v>43136</v>
      </c>
      <c r="B1057" s="22" t="s">
        <v>6</v>
      </c>
      <c r="C1057" s="22" t="s">
        <v>41</v>
      </c>
      <c r="D1057" s="48" t="s">
        <v>8</v>
      </c>
      <c r="E1057" t="s">
        <v>178</v>
      </c>
      <c r="F1057">
        <v>2016</v>
      </c>
      <c r="G1057" t="s">
        <v>57</v>
      </c>
      <c r="H1057" s="42" t="s">
        <v>353</v>
      </c>
      <c r="J1057" t="s">
        <v>248</v>
      </c>
      <c r="K1057" t="s">
        <v>516</v>
      </c>
      <c r="L1057" s="34">
        <v>2</v>
      </c>
      <c r="M1057" s="38">
        <v>0.75</v>
      </c>
      <c r="N1057" s="38">
        <f t="shared" si="16"/>
        <v>1.5</v>
      </c>
    </row>
    <row r="1058" spans="1:14">
      <c r="A1058" s="29">
        <v>43136</v>
      </c>
      <c r="B1058" s="22" t="s">
        <v>6</v>
      </c>
      <c r="C1058" s="22" t="s">
        <v>41</v>
      </c>
      <c r="D1058" s="48" t="s">
        <v>5</v>
      </c>
      <c r="E1058" t="s">
        <v>158</v>
      </c>
      <c r="F1058">
        <v>2017</v>
      </c>
      <c r="G1058" t="s">
        <v>57</v>
      </c>
      <c r="H1058" s="42">
        <v>100</v>
      </c>
      <c r="J1058" t="s">
        <v>248</v>
      </c>
      <c r="L1058" s="34">
        <v>2</v>
      </c>
      <c r="M1058" s="38">
        <v>0.75</v>
      </c>
      <c r="N1058" s="38">
        <f t="shared" si="16"/>
        <v>1.5</v>
      </c>
    </row>
    <row r="1059" spans="1:14">
      <c r="A1059" s="29">
        <v>43136</v>
      </c>
      <c r="B1059" s="22" t="s">
        <v>63</v>
      </c>
      <c r="C1059" s="22" t="s">
        <v>57</v>
      </c>
      <c r="D1059" s="48" t="s">
        <v>5</v>
      </c>
      <c r="E1059" t="s">
        <v>157</v>
      </c>
      <c r="F1059">
        <v>2017</v>
      </c>
      <c r="G1059" t="s">
        <v>247</v>
      </c>
      <c r="H1059" s="42">
        <v>414</v>
      </c>
      <c r="J1059" t="s">
        <v>248</v>
      </c>
      <c r="L1059" s="34">
        <v>1</v>
      </c>
      <c r="M1059" s="38">
        <v>0.75</v>
      </c>
      <c r="N1059" s="38">
        <f t="shared" si="16"/>
        <v>0.75</v>
      </c>
    </row>
    <row r="1060" spans="1:14">
      <c r="A1060" s="29">
        <v>43136</v>
      </c>
      <c r="B1060" s="22" t="s">
        <v>63</v>
      </c>
      <c r="C1060" s="22" t="s">
        <v>57</v>
      </c>
      <c r="D1060" s="48" t="s">
        <v>5</v>
      </c>
      <c r="E1060" t="s">
        <v>157</v>
      </c>
      <c r="F1060">
        <v>2017</v>
      </c>
      <c r="G1060" t="s">
        <v>326</v>
      </c>
      <c r="H1060" s="42">
        <v>421</v>
      </c>
      <c r="J1060" t="s">
        <v>248</v>
      </c>
      <c r="L1060" s="34">
        <v>1</v>
      </c>
      <c r="M1060" s="38">
        <v>0.75</v>
      </c>
      <c r="N1060" s="38">
        <f t="shared" si="16"/>
        <v>0.75</v>
      </c>
    </row>
    <row r="1061" spans="1:14">
      <c r="A1061" s="29">
        <v>43136</v>
      </c>
      <c r="B1061" s="22" t="s">
        <v>117</v>
      </c>
      <c r="C1061" s="22" t="s">
        <v>57</v>
      </c>
      <c r="D1061" s="48" t="s">
        <v>11</v>
      </c>
      <c r="E1061" t="s">
        <v>179</v>
      </c>
      <c r="F1061">
        <v>2017</v>
      </c>
      <c r="G1061" t="s">
        <v>338</v>
      </c>
      <c r="H1061" s="42">
        <v>120</v>
      </c>
      <c r="J1061" t="s">
        <v>248</v>
      </c>
      <c r="L1061" s="34">
        <v>1</v>
      </c>
      <c r="M1061" s="38">
        <v>0.75</v>
      </c>
      <c r="N1061" s="38">
        <f t="shared" si="16"/>
        <v>0.75</v>
      </c>
    </row>
    <row r="1062" spans="1:14">
      <c r="A1062" s="29">
        <v>43136</v>
      </c>
      <c r="B1062" s="22" t="s">
        <v>111</v>
      </c>
      <c r="C1062" s="22" t="s">
        <v>57</v>
      </c>
      <c r="D1062" s="48" t="s">
        <v>11</v>
      </c>
      <c r="E1062" t="s">
        <v>259</v>
      </c>
      <c r="F1062">
        <v>2017</v>
      </c>
      <c r="G1062" t="s">
        <v>316</v>
      </c>
      <c r="H1062" s="42" t="s">
        <v>57</v>
      </c>
      <c r="J1062" t="s">
        <v>248</v>
      </c>
      <c r="K1062" t="s">
        <v>517</v>
      </c>
      <c r="L1062" s="34">
        <v>2</v>
      </c>
      <c r="M1062" s="38">
        <v>0.75</v>
      </c>
      <c r="N1062" s="38">
        <f t="shared" si="16"/>
        <v>1.5</v>
      </c>
    </row>
    <row r="1063" spans="1:14">
      <c r="A1063" s="29">
        <v>43138</v>
      </c>
      <c r="B1063" s="22" t="s">
        <v>79</v>
      </c>
      <c r="C1063" s="22" t="s">
        <v>57</v>
      </c>
      <c r="D1063" s="48" t="s">
        <v>5</v>
      </c>
      <c r="E1063" t="s">
        <v>159</v>
      </c>
      <c r="F1063">
        <v>2017</v>
      </c>
      <c r="G1063" t="s">
        <v>319</v>
      </c>
      <c r="H1063" s="42">
        <v>310</v>
      </c>
      <c r="J1063" t="s">
        <v>248</v>
      </c>
      <c r="K1063" t="s">
        <v>518</v>
      </c>
      <c r="L1063" s="34">
        <v>3</v>
      </c>
      <c r="M1063" s="38">
        <v>0.75</v>
      </c>
      <c r="N1063" s="38">
        <f t="shared" si="16"/>
        <v>2.25</v>
      </c>
    </row>
    <row r="1064" spans="1:14">
      <c r="A1064" s="29">
        <v>43146</v>
      </c>
      <c r="B1064" s="22" t="s">
        <v>79</v>
      </c>
      <c r="C1064" s="22" t="s">
        <v>57</v>
      </c>
      <c r="D1064" s="48" t="s">
        <v>5</v>
      </c>
      <c r="E1064" t="s">
        <v>159</v>
      </c>
      <c r="F1064">
        <v>2017</v>
      </c>
      <c r="G1064" t="s">
        <v>247</v>
      </c>
      <c r="H1064" s="42">
        <v>310</v>
      </c>
      <c r="J1064" t="s">
        <v>248</v>
      </c>
      <c r="K1064" t="s">
        <v>518</v>
      </c>
      <c r="L1064" s="34">
        <v>2</v>
      </c>
      <c r="M1064" s="38">
        <v>0.75</v>
      </c>
      <c r="N1064" s="38">
        <f t="shared" si="16"/>
        <v>1.5</v>
      </c>
    </row>
    <row r="1065" spans="1:14">
      <c r="A1065" s="29">
        <v>43146</v>
      </c>
      <c r="B1065" s="22" t="s">
        <v>79</v>
      </c>
      <c r="C1065" s="22" t="s">
        <v>57</v>
      </c>
      <c r="D1065" s="48" t="s">
        <v>5</v>
      </c>
      <c r="E1065" t="s">
        <v>157</v>
      </c>
      <c r="F1065">
        <v>2017</v>
      </c>
      <c r="G1065" t="s">
        <v>326</v>
      </c>
      <c r="H1065" s="42">
        <v>403</v>
      </c>
      <c r="J1065" t="s">
        <v>248</v>
      </c>
      <c r="L1065" s="34">
        <v>4</v>
      </c>
      <c r="M1065" s="38">
        <v>0.75</v>
      </c>
      <c r="N1065" s="38">
        <f t="shared" si="16"/>
        <v>3</v>
      </c>
    </row>
    <row r="1066" spans="1:14">
      <c r="A1066" s="29">
        <v>43146</v>
      </c>
      <c r="B1066" s="22" t="s">
        <v>79</v>
      </c>
      <c r="C1066" s="22" t="s">
        <v>57</v>
      </c>
      <c r="D1066" s="48" t="s">
        <v>5</v>
      </c>
      <c r="E1066" t="s">
        <v>157</v>
      </c>
      <c r="F1066">
        <v>2017</v>
      </c>
      <c r="G1066" t="s">
        <v>247</v>
      </c>
      <c r="H1066" s="42">
        <v>87</v>
      </c>
      <c r="J1066" t="s">
        <v>248</v>
      </c>
      <c r="L1066" s="34">
        <v>4</v>
      </c>
      <c r="M1066" s="38">
        <v>0.75</v>
      </c>
      <c r="N1066" s="38">
        <f t="shared" si="16"/>
        <v>3</v>
      </c>
    </row>
    <row r="1067" spans="1:14">
      <c r="A1067" s="29">
        <v>43146</v>
      </c>
      <c r="B1067" s="22" t="s">
        <v>79</v>
      </c>
      <c r="C1067" s="22" t="s">
        <v>57</v>
      </c>
      <c r="D1067" s="48" t="s">
        <v>8</v>
      </c>
      <c r="E1067" t="s">
        <v>179</v>
      </c>
      <c r="F1067">
        <v>2017</v>
      </c>
      <c r="G1067" t="s">
        <v>318</v>
      </c>
      <c r="H1067" s="42">
        <v>326</v>
      </c>
      <c r="J1067" t="s">
        <v>248</v>
      </c>
      <c r="L1067" s="34">
        <v>2</v>
      </c>
      <c r="M1067" s="38">
        <v>0.75</v>
      </c>
      <c r="N1067" s="38">
        <f t="shared" si="16"/>
        <v>1.5</v>
      </c>
    </row>
    <row r="1068" spans="1:14">
      <c r="A1068" s="29">
        <v>43146</v>
      </c>
      <c r="B1068" s="22" t="s">
        <v>28</v>
      </c>
      <c r="C1068" s="22" t="s">
        <v>271</v>
      </c>
      <c r="D1068" s="48" t="s">
        <v>5</v>
      </c>
      <c r="E1068" t="s">
        <v>157</v>
      </c>
      <c r="F1068">
        <v>2017</v>
      </c>
      <c r="G1068" t="s">
        <v>507</v>
      </c>
      <c r="H1068" s="42">
        <v>123</v>
      </c>
      <c r="J1068" t="s">
        <v>248</v>
      </c>
      <c r="L1068" s="34">
        <v>3</v>
      </c>
      <c r="M1068" s="38">
        <v>0.75</v>
      </c>
      <c r="N1068" s="38">
        <f t="shared" si="16"/>
        <v>2.25</v>
      </c>
    </row>
    <row r="1069" spans="1:14">
      <c r="A1069" s="29">
        <v>43150</v>
      </c>
      <c r="B1069" s="22" t="s">
        <v>63</v>
      </c>
      <c r="C1069" s="22" t="s">
        <v>57</v>
      </c>
      <c r="D1069" s="48" t="s">
        <v>5</v>
      </c>
      <c r="E1069" t="s">
        <v>159</v>
      </c>
      <c r="F1069">
        <v>2017</v>
      </c>
      <c r="G1069" t="s">
        <v>326</v>
      </c>
      <c r="H1069" s="42">
        <v>37</v>
      </c>
      <c r="J1069" t="s">
        <v>248</v>
      </c>
      <c r="L1069" s="34">
        <v>1</v>
      </c>
      <c r="M1069" s="38">
        <v>0.75</v>
      </c>
      <c r="N1069" s="38">
        <f t="shared" si="16"/>
        <v>0.75</v>
      </c>
    </row>
    <row r="1070" spans="1:14">
      <c r="A1070" s="29">
        <v>43150</v>
      </c>
      <c r="B1070" s="22" t="s">
        <v>63</v>
      </c>
      <c r="C1070" s="22" t="s">
        <v>57</v>
      </c>
      <c r="D1070" s="48" t="s">
        <v>5</v>
      </c>
      <c r="E1070" t="s">
        <v>159</v>
      </c>
      <c r="F1070">
        <v>2017</v>
      </c>
      <c r="G1070" t="s">
        <v>247</v>
      </c>
      <c r="H1070" s="42">
        <v>11</v>
      </c>
      <c r="J1070" t="s">
        <v>248</v>
      </c>
      <c r="L1070" s="34">
        <v>1</v>
      </c>
      <c r="M1070" s="38">
        <v>0.75</v>
      </c>
      <c r="N1070" s="38">
        <f t="shared" si="16"/>
        <v>0.75</v>
      </c>
    </row>
    <row r="1071" spans="1:14">
      <c r="A1071" s="29">
        <v>43151</v>
      </c>
      <c r="B1071" s="22" t="s">
        <v>113</v>
      </c>
      <c r="C1071" s="22" t="s">
        <v>271</v>
      </c>
      <c r="D1071" s="48" t="s">
        <v>5</v>
      </c>
      <c r="E1071" t="s">
        <v>262</v>
      </c>
      <c r="F1071">
        <v>2017</v>
      </c>
      <c r="G1071" t="s">
        <v>404</v>
      </c>
      <c r="H1071" s="42">
        <v>81</v>
      </c>
      <c r="J1071" t="s">
        <v>248</v>
      </c>
      <c r="L1071" s="34">
        <v>3</v>
      </c>
      <c r="M1071" s="38">
        <v>0.75</v>
      </c>
      <c r="N1071" s="38">
        <f t="shared" si="16"/>
        <v>2.25</v>
      </c>
    </row>
    <row r="1072" spans="1:14">
      <c r="A1072" s="29">
        <v>43151</v>
      </c>
      <c r="B1072" s="22" t="s">
        <v>57</v>
      </c>
      <c r="C1072" s="22" t="s">
        <v>271</v>
      </c>
      <c r="D1072" s="48" t="s">
        <v>5</v>
      </c>
      <c r="E1072" t="s">
        <v>159</v>
      </c>
      <c r="F1072">
        <v>2017</v>
      </c>
      <c r="G1072" t="s">
        <v>247</v>
      </c>
      <c r="H1072" s="42">
        <v>11</v>
      </c>
      <c r="J1072" t="s">
        <v>248</v>
      </c>
      <c r="L1072" s="34">
        <v>1</v>
      </c>
      <c r="M1072" s="38">
        <v>0.75</v>
      </c>
      <c r="N1072" s="38">
        <f t="shared" si="16"/>
        <v>0.75</v>
      </c>
    </row>
    <row r="1073" spans="1:14">
      <c r="A1073" s="29">
        <v>43153</v>
      </c>
      <c r="B1073" s="22" t="s">
        <v>28</v>
      </c>
      <c r="C1073" s="22" t="s">
        <v>271</v>
      </c>
      <c r="D1073" s="48" t="s">
        <v>5</v>
      </c>
      <c r="E1073" t="s">
        <v>157</v>
      </c>
      <c r="F1073">
        <v>2017</v>
      </c>
      <c r="G1073" t="s">
        <v>305</v>
      </c>
      <c r="H1073" s="42">
        <v>7</v>
      </c>
      <c r="J1073" t="s">
        <v>248</v>
      </c>
      <c r="L1073" s="34">
        <v>3</v>
      </c>
      <c r="M1073" s="38">
        <v>0.75</v>
      </c>
      <c r="N1073" s="38">
        <f t="shared" si="16"/>
        <v>2.25</v>
      </c>
    </row>
    <row r="1074" spans="1:14">
      <c r="A1074" s="29">
        <v>43153</v>
      </c>
      <c r="B1074" s="22" t="s">
        <v>28</v>
      </c>
      <c r="C1074" s="22" t="s">
        <v>271</v>
      </c>
      <c r="D1074" s="48" t="s">
        <v>5</v>
      </c>
      <c r="E1074" t="s">
        <v>157</v>
      </c>
      <c r="F1074">
        <v>2017</v>
      </c>
      <c r="G1074" t="s">
        <v>427</v>
      </c>
      <c r="H1074" s="42" t="s">
        <v>57</v>
      </c>
      <c r="J1074" t="s">
        <v>248</v>
      </c>
      <c r="K1074" t="s">
        <v>519</v>
      </c>
      <c r="L1074" s="34">
        <v>6</v>
      </c>
      <c r="M1074" s="38">
        <v>0.75</v>
      </c>
      <c r="N1074" s="38">
        <f t="shared" si="16"/>
        <v>4.5</v>
      </c>
    </row>
    <row r="1075" spans="1:14">
      <c r="A1075" s="29">
        <v>43153</v>
      </c>
      <c r="B1075" s="22" t="s">
        <v>13</v>
      </c>
      <c r="C1075" s="22" t="s">
        <v>57</v>
      </c>
      <c r="D1075" s="48" t="s">
        <v>5</v>
      </c>
      <c r="E1075" t="s">
        <v>157</v>
      </c>
      <c r="F1075">
        <v>2017</v>
      </c>
      <c r="G1075" t="s">
        <v>326</v>
      </c>
      <c r="H1075" s="42">
        <v>403</v>
      </c>
      <c r="J1075" t="s">
        <v>248</v>
      </c>
      <c r="L1075" s="34">
        <v>1</v>
      </c>
      <c r="M1075" s="38">
        <v>0.75</v>
      </c>
      <c r="N1075" s="38">
        <f t="shared" si="16"/>
        <v>0.75</v>
      </c>
    </row>
    <row r="1076" spans="1:14">
      <c r="A1076" s="29">
        <v>43153</v>
      </c>
      <c r="B1076" s="22" t="s">
        <v>13</v>
      </c>
      <c r="C1076" s="22" t="s">
        <v>57</v>
      </c>
      <c r="D1076" s="48" t="s">
        <v>5</v>
      </c>
      <c r="E1076" t="s">
        <v>157</v>
      </c>
      <c r="F1076">
        <v>2017</v>
      </c>
      <c r="G1076" t="s">
        <v>247</v>
      </c>
      <c r="H1076" s="42">
        <v>8</v>
      </c>
      <c r="J1076" t="s">
        <v>248</v>
      </c>
      <c r="L1076" s="34">
        <v>1</v>
      </c>
      <c r="M1076" s="38">
        <v>0.75</v>
      </c>
      <c r="N1076" s="38">
        <f t="shared" si="16"/>
        <v>0.75</v>
      </c>
    </row>
    <row r="1077" spans="1:14">
      <c r="A1077" s="29">
        <v>43153</v>
      </c>
      <c r="B1077" s="22" t="s">
        <v>13</v>
      </c>
      <c r="C1077" s="22" t="s">
        <v>57</v>
      </c>
      <c r="D1077" s="48" t="s">
        <v>11</v>
      </c>
      <c r="E1077" t="s">
        <v>177</v>
      </c>
      <c r="F1077">
        <v>2017</v>
      </c>
      <c r="G1077" t="s">
        <v>338</v>
      </c>
      <c r="H1077" s="42">
        <v>94</v>
      </c>
      <c r="J1077" t="s">
        <v>248</v>
      </c>
      <c r="L1077" s="34">
        <v>3</v>
      </c>
      <c r="M1077" s="38">
        <v>0.75</v>
      </c>
      <c r="N1077" s="38">
        <f t="shared" si="16"/>
        <v>2.25</v>
      </c>
    </row>
    <row r="1078" spans="1:14">
      <c r="A1078" s="29">
        <v>43153</v>
      </c>
      <c r="B1078" s="22" t="s">
        <v>13</v>
      </c>
      <c r="C1078" s="22" t="s">
        <v>57</v>
      </c>
      <c r="D1078" s="48" t="s">
        <v>11</v>
      </c>
      <c r="E1078" t="s">
        <v>179</v>
      </c>
      <c r="F1078">
        <v>2017</v>
      </c>
      <c r="G1078" t="s">
        <v>338</v>
      </c>
      <c r="H1078" s="42" t="s">
        <v>508</v>
      </c>
      <c r="J1078" t="s">
        <v>248</v>
      </c>
      <c r="L1078" s="34">
        <v>6</v>
      </c>
      <c r="M1078" s="38">
        <v>0.75</v>
      </c>
      <c r="N1078" s="38">
        <f t="shared" si="16"/>
        <v>4.5</v>
      </c>
    </row>
    <row r="1079" spans="1:14">
      <c r="A1079" s="29">
        <v>43153</v>
      </c>
      <c r="B1079" s="22" t="s">
        <v>13</v>
      </c>
      <c r="C1079" s="22" t="s">
        <v>57</v>
      </c>
      <c r="D1079" s="48" t="s">
        <v>8</v>
      </c>
      <c r="E1079" t="s">
        <v>367</v>
      </c>
      <c r="F1079">
        <v>2017</v>
      </c>
      <c r="G1079" t="s">
        <v>338</v>
      </c>
      <c r="H1079" s="42" t="s">
        <v>57</v>
      </c>
      <c r="J1079" t="s">
        <v>248</v>
      </c>
      <c r="L1079" s="34">
        <v>6</v>
      </c>
      <c r="M1079" s="38">
        <v>0.75</v>
      </c>
      <c r="N1079" s="38">
        <f t="shared" si="16"/>
        <v>4.5</v>
      </c>
    </row>
    <row r="1080" spans="1:14">
      <c r="A1080" s="29">
        <v>43153</v>
      </c>
      <c r="B1080" s="22" t="s">
        <v>13</v>
      </c>
      <c r="C1080" s="22" t="s">
        <v>57</v>
      </c>
      <c r="D1080" s="48" t="s">
        <v>5</v>
      </c>
      <c r="E1080" t="s">
        <v>157</v>
      </c>
      <c r="F1080">
        <v>2017</v>
      </c>
      <c r="G1080" t="s">
        <v>500</v>
      </c>
      <c r="H1080" s="42" t="s">
        <v>57</v>
      </c>
      <c r="J1080" t="s">
        <v>248</v>
      </c>
      <c r="L1080" s="34">
        <v>6</v>
      </c>
      <c r="M1080" s="38">
        <v>0.75</v>
      </c>
      <c r="N1080" s="38">
        <f t="shared" si="16"/>
        <v>4.5</v>
      </c>
    </row>
    <row r="1081" spans="1:14">
      <c r="A1081" s="29">
        <v>43153</v>
      </c>
      <c r="B1081" s="22" t="s">
        <v>13</v>
      </c>
      <c r="C1081" s="22" t="s">
        <v>57</v>
      </c>
      <c r="D1081" s="48" t="s">
        <v>5</v>
      </c>
      <c r="E1081" t="s">
        <v>159</v>
      </c>
      <c r="F1081">
        <v>2017</v>
      </c>
      <c r="G1081" t="s">
        <v>338</v>
      </c>
      <c r="H1081" s="42" t="s">
        <v>57</v>
      </c>
      <c r="J1081" t="s">
        <v>248</v>
      </c>
      <c r="L1081" s="34">
        <v>6</v>
      </c>
      <c r="M1081" s="38">
        <v>0.75</v>
      </c>
      <c r="N1081" s="38">
        <f t="shared" si="16"/>
        <v>4.5</v>
      </c>
    </row>
    <row r="1082" spans="1:14">
      <c r="A1082" s="29">
        <v>43153</v>
      </c>
      <c r="B1082" s="22" t="s">
        <v>13</v>
      </c>
      <c r="C1082" s="22" t="s">
        <v>57</v>
      </c>
      <c r="D1082" s="48" t="s">
        <v>5</v>
      </c>
      <c r="E1082" t="s">
        <v>158</v>
      </c>
      <c r="F1082">
        <v>2017</v>
      </c>
      <c r="G1082" t="s">
        <v>338</v>
      </c>
      <c r="H1082" s="42" t="s">
        <v>57</v>
      </c>
      <c r="J1082" t="s">
        <v>248</v>
      </c>
      <c r="L1082" s="34">
        <v>6</v>
      </c>
      <c r="M1082" s="38">
        <v>0.75</v>
      </c>
      <c r="N1082" s="38">
        <f t="shared" si="16"/>
        <v>4.5</v>
      </c>
    </row>
    <row r="1083" spans="1:14">
      <c r="A1083" s="29">
        <v>43158</v>
      </c>
      <c r="B1083" s="22" t="s">
        <v>28</v>
      </c>
      <c r="C1083" s="22" t="s">
        <v>271</v>
      </c>
      <c r="D1083" s="48" t="s">
        <v>8</v>
      </c>
      <c r="E1083" t="s">
        <v>179</v>
      </c>
      <c r="F1083">
        <v>2017</v>
      </c>
      <c r="G1083" t="s">
        <v>318</v>
      </c>
      <c r="H1083" s="42">
        <v>326</v>
      </c>
      <c r="J1083" t="s">
        <v>248</v>
      </c>
      <c r="L1083" s="34">
        <v>4</v>
      </c>
      <c r="M1083" s="38">
        <v>0.75</v>
      </c>
      <c r="N1083" s="38">
        <f t="shared" si="16"/>
        <v>3</v>
      </c>
    </row>
    <row r="1084" spans="1:14">
      <c r="A1084" s="29">
        <v>43158</v>
      </c>
      <c r="B1084" s="22" t="s">
        <v>109</v>
      </c>
      <c r="C1084" s="22" t="s">
        <v>57</v>
      </c>
      <c r="D1084" s="48" t="s">
        <v>5</v>
      </c>
      <c r="E1084" t="s">
        <v>308</v>
      </c>
      <c r="F1084">
        <v>2017</v>
      </c>
      <c r="G1084" t="s">
        <v>494</v>
      </c>
      <c r="H1084" s="42">
        <v>198</v>
      </c>
      <c r="J1084" t="s">
        <v>248</v>
      </c>
      <c r="L1084" s="34">
        <v>7</v>
      </c>
      <c r="M1084" s="38">
        <v>0.75</v>
      </c>
      <c r="N1084" s="38">
        <f t="shared" si="16"/>
        <v>5.25</v>
      </c>
    </row>
    <row r="1085" spans="1:14">
      <c r="A1085" s="29">
        <v>43158</v>
      </c>
      <c r="B1085" s="22" t="s">
        <v>109</v>
      </c>
      <c r="C1085" s="22" t="s">
        <v>57</v>
      </c>
      <c r="D1085" s="48" t="s">
        <v>8</v>
      </c>
      <c r="E1085" t="s">
        <v>369</v>
      </c>
      <c r="F1085">
        <v>2017</v>
      </c>
      <c r="G1085" t="s">
        <v>500</v>
      </c>
      <c r="H1085" s="42" t="s">
        <v>57</v>
      </c>
      <c r="J1085" t="s">
        <v>248</v>
      </c>
      <c r="L1085" s="34">
        <v>2</v>
      </c>
      <c r="M1085" s="38">
        <v>0.75</v>
      </c>
      <c r="N1085" s="38">
        <f t="shared" si="16"/>
        <v>1.5</v>
      </c>
    </row>
    <row r="1086" spans="1:14">
      <c r="A1086" s="29">
        <v>43158</v>
      </c>
      <c r="B1086" s="22" t="s">
        <v>109</v>
      </c>
      <c r="C1086" s="22" t="s">
        <v>57</v>
      </c>
      <c r="D1086" s="48" t="s">
        <v>8</v>
      </c>
      <c r="E1086" t="s">
        <v>520</v>
      </c>
      <c r="F1086">
        <v>2017</v>
      </c>
      <c r="G1086" t="s">
        <v>500</v>
      </c>
      <c r="H1086" s="42" t="s">
        <v>57</v>
      </c>
      <c r="J1086" t="s">
        <v>248</v>
      </c>
      <c r="L1086" s="34">
        <v>2</v>
      </c>
      <c r="M1086" s="38">
        <v>0.75</v>
      </c>
      <c r="N1086" s="38">
        <f t="shared" si="16"/>
        <v>1.5</v>
      </c>
    </row>
    <row r="1087" spans="1:14">
      <c r="A1087" s="29">
        <v>43158</v>
      </c>
      <c r="B1087" s="22" t="s">
        <v>109</v>
      </c>
      <c r="C1087" s="22" t="s">
        <v>57</v>
      </c>
      <c r="D1087" s="48" t="s">
        <v>8</v>
      </c>
      <c r="E1087" t="s">
        <v>513</v>
      </c>
      <c r="F1087">
        <v>2017</v>
      </c>
      <c r="G1087" t="s">
        <v>500</v>
      </c>
      <c r="H1087" s="42" t="s">
        <v>57</v>
      </c>
      <c r="J1087" t="s">
        <v>248</v>
      </c>
      <c r="L1087" s="34">
        <v>2</v>
      </c>
      <c r="M1087" s="38">
        <v>0.75</v>
      </c>
      <c r="N1087" s="38">
        <f t="shared" si="16"/>
        <v>1.5</v>
      </c>
    </row>
    <row r="1088" spans="1:14">
      <c r="A1088" s="29">
        <v>43158</v>
      </c>
      <c r="B1088" s="22" t="s">
        <v>65</v>
      </c>
      <c r="C1088" s="22" t="s">
        <v>22</v>
      </c>
      <c r="D1088" s="48" t="s">
        <v>5</v>
      </c>
      <c r="E1088" t="s">
        <v>157</v>
      </c>
      <c r="F1088">
        <v>2017</v>
      </c>
      <c r="G1088" t="s">
        <v>253</v>
      </c>
      <c r="H1088" s="42">
        <v>8</v>
      </c>
      <c r="J1088" t="s">
        <v>248</v>
      </c>
      <c r="L1088" s="34">
        <v>2</v>
      </c>
      <c r="M1088" s="38">
        <v>0.75</v>
      </c>
      <c r="N1088" s="38">
        <f t="shared" si="16"/>
        <v>1.5</v>
      </c>
    </row>
    <row r="1089" spans="1:14">
      <c r="A1089" s="29">
        <v>43158</v>
      </c>
      <c r="B1089" s="22" t="s">
        <v>63</v>
      </c>
      <c r="C1089" s="22" t="s">
        <v>57</v>
      </c>
      <c r="D1089" s="48" t="s">
        <v>5</v>
      </c>
      <c r="E1089" t="s">
        <v>159</v>
      </c>
      <c r="F1089">
        <v>2017</v>
      </c>
      <c r="G1089" t="s">
        <v>326</v>
      </c>
      <c r="H1089" s="42">
        <v>31</v>
      </c>
      <c r="J1089" t="s">
        <v>248</v>
      </c>
      <c r="L1089" s="34">
        <v>2</v>
      </c>
      <c r="M1089" s="38">
        <v>0.75</v>
      </c>
      <c r="N1089" s="38">
        <f t="shared" si="16"/>
        <v>1.5</v>
      </c>
    </row>
    <row r="1090" spans="1:14">
      <c r="A1090" s="29">
        <v>43158</v>
      </c>
      <c r="B1090" s="22" t="s">
        <v>63</v>
      </c>
      <c r="C1090" s="22" t="s">
        <v>57</v>
      </c>
      <c r="D1090" s="48" t="s">
        <v>5</v>
      </c>
      <c r="E1090" t="s">
        <v>159</v>
      </c>
      <c r="F1090">
        <v>2017</v>
      </c>
      <c r="G1090" t="s">
        <v>247</v>
      </c>
      <c r="H1090" s="42">
        <v>33</v>
      </c>
      <c r="J1090" t="s">
        <v>248</v>
      </c>
      <c r="L1090" s="34">
        <v>2</v>
      </c>
      <c r="M1090" s="38">
        <v>0.75</v>
      </c>
      <c r="N1090" s="38">
        <f t="shared" si="16"/>
        <v>1.5</v>
      </c>
    </row>
    <row r="1091" spans="1:14">
      <c r="A1091" s="29">
        <v>43164</v>
      </c>
      <c r="B1091" s="22" t="s">
        <v>109</v>
      </c>
      <c r="C1091" s="22" t="s">
        <v>57</v>
      </c>
      <c r="D1091" s="48" t="s">
        <v>5</v>
      </c>
      <c r="E1091" t="s">
        <v>308</v>
      </c>
      <c r="F1091">
        <v>2017</v>
      </c>
      <c r="G1091" t="s">
        <v>494</v>
      </c>
      <c r="H1091" s="42">
        <v>409</v>
      </c>
      <c r="J1091" t="s">
        <v>248</v>
      </c>
      <c r="L1091" s="34">
        <v>3</v>
      </c>
      <c r="M1091" s="38">
        <v>0.75</v>
      </c>
      <c r="N1091" s="38">
        <f t="shared" ref="N1091:N1154" si="17">M1091*L1091</f>
        <v>2.25</v>
      </c>
    </row>
    <row r="1092" spans="1:14">
      <c r="A1092" s="29">
        <v>43164</v>
      </c>
      <c r="B1092" s="22" t="s">
        <v>60</v>
      </c>
      <c r="C1092" s="22" t="s">
        <v>53</v>
      </c>
      <c r="D1092" s="48" t="s">
        <v>11</v>
      </c>
      <c r="E1092" t="s">
        <v>177</v>
      </c>
      <c r="F1092">
        <v>2017</v>
      </c>
      <c r="G1092" t="s">
        <v>317</v>
      </c>
      <c r="H1092" s="42">
        <v>201</v>
      </c>
      <c r="J1092" t="s">
        <v>248</v>
      </c>
      <c r="L1092" s="34">
        <v>2</v>
      </c>
      <c r="M1092" s="38">
        <v>0.75</v>
      </c>
      <c r="N1092" s="38">
        <f t="shared" si="17"/>
        <v>1.5</v>
      </c>
    </row>
    <row r="1093" spans="1:14">
      <c r="A1093" s="29">
        <v>43164</v>
      </c>
      <c r="B1093" s="22" t="s">
        <v>46</v>
      </c>
      <c r="C1093" s="22" t="s">
        <v>53</v>
      </c>
      <c r="D1093" s="48" t="s">
        <v>11</v>
      </c>
      <c r="E1093" t="s">
        <v>179</v>
      </c>
      <c r="F1093">
        <v>2017</v>
      </c>
      <c r="G1093" t="s">
        <v>521</v>
      </c>
      <c r="H1093" s="42">
        <v>405</v>
      </c>
      <c r="J1093" t="s">
        <v>248</v>
      </c>
      <c r="L1093" s="34">
        <v>2</v>
      </c>
      <c r="M1093" s="38">
        <v>0.75</v>
      </c>
      <c r="N1093" s="38">
        <f t="shared" si="17"/>
        <v>1.5</v>
      </c>
    </row>
    <row r="1094" spans="1:14">
      <c r="A1094" s="29">
        <v>43165</v>
      </c>
      <c r="B1094" s="22" t="s">
        <v>63</v>
      </c>
      <c r="C1094" s="22" t="s">
        <v>57</v>
      </c>
      <c r="D1094" s="48" t="s">
        <v>5</v>
      </c>
      <c r="E1094" t="s">
        <v>381</v>
      </c>
      <c r="F1094">
        <v>2017</v>
      </c>
      <c r="G1094" t="s">
        <v>404</v>
      </c>
      <c r="H1094" s="42">
        <v>81</v>
      </c>
      <c r="J1094" t="s">
        <v>248</v>
      </c>
      <c r="L1094" s="34">
        <v>2</v>
      </c>
      <c r="M1094" s="38">
        <v>0.75</v>
      </c>
      <c r="N1094" s="38">
        <f t="shared" si="17"/>
        <v>1.5</v>
      </c>
    </row>
    <row r="1095" spans="1:14">
      <c r="A1095" s="29">
        <v>43165</v>
      </c>
      <c r="B1095" s="22" t="s">
        <v>63</v>
      </c>
      <c r="C1095" s="22" t="s">
        <v>57</v>
      </c>
      <c r="D1095" s="48" t="s">
        <v>5</v>
      </c>
      <c r="E1095" t="s">
        <v>255</v>
      </c>
      <c r="F1095">
        <v>2017</v>
      </c>
      <c r="G1095" t="s">
        <v>57</v>
      </c>
      <c r="H1095" s="42">
        <v>97</v>
      </c>
      <c r="J1095" t="s">
        <v>248</v>
      </c>
      <c r="L1095" s="34">
        <v>2</v>
      </c>
      <c r="M1095" s="38">
        <v>0.75</v>
      </c>
      <c r="N1095" s="38">
        <f t="shared" si="17"/>
        <v>1.5</v>
      </c>
    </row>
    <row r="1096" spans="1:14">
      <c r="A1096" s="29">
        <v>43165</v>
      </c>
      <c r="B1096" s="22" t="s">
        <v>6</v>
      </c>
      <c r="C1096" s="22" t="s">
        <v>41</v>
      </c>
      <c r="D1096" s="48" t="s">
        <v>11</v>
      </c>
      <c r="E1096" t="s">
        <v>177</v>
      </c>
      <c r="F1096">
        <v>2017</v>
      </c>
      <c r="G1096" t="s">
        <v>317</v>
      </c>
      <c r="H1096" s="42">
        <v>201</v>
      </c>
      <c r="J1096" t="s">
        <v>248</v>
      </c>
      <c r="L1096" s="34">
        <v>2</v>
      </c>
      <c r="M1096" s="38">
        <v>0.75</v>
      </c>
      <c r="N1096" s="38">
        <f t="shared" si="17"/>
        <v>1.5</v>
      </c>
    </row>
    <row r="1097" spans="1:14">
      <c r="A1097" s="29">
        <v>43168</v>
      </c>
      <c r="B1097" s="22" t="s">
        <v>57</v>
      </c>
      <c r="C1097" s="22" t="s">
        <v>34</v>
      </c>
      <c r="D1097" s="48" t="s">
        <v>11</v>
      </c>
      <c r="E1097" t="s">
        <v>177</v>
      </c>
      <c r="F1097">
        <v>2017</v>
      </c>
      <c r="G1097" t="s">
        <v>317</v>
      </c>
      <c r="H1097" s="42">
        <v>201</v>
      </c>
      <c r="J1097" t="s">
        <v>248</v>
      </c>
      <c r="L1097" s="34">
        <v>2</v>
      </c>
      <c r="M1097" s="38">
        <v>0.75</v>
      </c>
      <c r="N1097" s="38">
        <f t="shared" si="17"/>
        <v>1.5</v>
      </c>
    </row>
    <row r="1098" spans="1:14">
      <c r="A1098" s="29">
        <v>43171</v>
      </c>
      <c r="B1098" s="22" t="s">
        <v>79</v>
      </c>
      <c r="C1098" s="22" t="s">
        <v>57</v>
      </c>
      <c r="D1098" s="48" t="s">
        <v>5</v>
      </c>
      <c r="E1098" t="s">
        <v>262</v>
      </c>
      <c r="F1098">
        <v>2017</v>
      </c>
      <c r="G1098" t="s">
        <v>494</v>
      </c>
      <c r="H1098" s="42">
        <v>409</v>
      </c>
      <c r="J1098" t="s">
        <v>248</v>
      </c>
      <c r="L1098" s="34">
        <v>2</v>
      </c>
      <c r="M1098" s="38">
        <v>0.75</v>
      </c>
      <c r="N1098" s="38">
        <f t="shared" si="17"/>
        <v>1.5</v>
      </c>
    </row>
    <row r="1099" spans="1:14">
      <c r="A1099" s="29">
        <v>43172</v>
      </c>
      <c r="B1099" s="22" t="s">
        <v>13</v>
      </c>
      <c r="C1099" s="22" t="s">
        <v>57</v>
      </c>
      <c r="D1099" s="48" t="s">
        <v>5</v>
      </c>
      <c r="E1099" t="s">
        <v>157</v>
      </c>
      <c r="F1099">
        <v>2017</v>
      </c>
      <c r="G1099" t="s">
        <v>252</v>
      </c>
      <c r="H1099" s="42">
        <v>403</v>
      </c>
      <c r="J1099" t="s">
        <v>248</v>
      </c>
      <c r="L1099" s="34">
        <v>3</v>
      </c>
      <c r="M1099" s="38">
        <v>0.75</v>
      </c>
      <c r="N1099" s="38">
        <f t="shared" si="17"/>
        <v>2.25</v>
      </c>
    </row>
    <row r="1100" spans="1:14">
      <c r="A1100" s="29">
        <v>43172</v>
      </c>
      <c r="B1100" s="22" t="s">
        <v>13</v>
      </c>
      <c r="C1100" s="22" t="s">
        <v>57</v>
      </c>
      <c r="D1100" s="48" t="s">
        <v>5</v>
      </c>
      <c r="E1100" t="s">
        <v>157</v>
      </c>
      <c r="F1100">
        <v>2017</v>
      </c>
      <c r="G1100" t="s">
        <v>500</v>
      </c>
      <c r="H1100" s="42" t="s">
        <v>57</v>
      </c>
      <c r="J1100" t="s">
        <v>248</v>
      </c>
      <c r="L1100" s="34">
        <v>6</v>
      </c>
      <c r="M1100" s="38">
        <v>0.75</v>
      </c>
      <c r="N1100" s="38">
        <f t="shared" si="17"/>
        <v>4.5</v>
      </c>
    </row>
    <row r="1101" spans="1:14">
      <c r="A1101" s="29">
        <v>43172</v>
      </c>
      <c r="B1101" s="22" t="s">
        <v>13</v>
      </c>
      <c r="C1101" s="22" t="s">
        <v>57</v>
      </c>
      <c r="D1101" s="48" t="s">
        <v>5</v>
      </c>
      <c r="E1101" t="s">
        <v>159</v>
      </c>
      <c r="F1101">
        <v>2017</v>
      </c>
      <c r="G1101" t="s">
        <v>500</v>
      </c>
      <c r="H1101" s="42" t="s">
        <v>57</v>
      </c>
      <c r="J1101" t="s">
        <v>248</v>
      </c>
      <c r="L1101" s="34">
        <v>6</v>
      </c>
      <c r="M1101" s="38">
        <v>0.75</v>
      </c>
      <c r="N1101" s="38">
        <f t="shared" si="17"/>
        <v>4.5</v>
      </c>
    </row>
    <row r="1102" spans="1:14">
      <c r="A1102" s="29">
        <v>43172</v>
      </c>
      <c r="B1102" s="22" t="s">
        <v>13</v>
      </c>
      <c r="C1102" s="22" t="s">
        <v>57</v>
      </c>
      <c r="D1102" s="48" t="s">
        <v>8</v>
      </c>
      <c r="E1102" t="s">
        <v>367</v>
      </c>
      <c r="F1102">
        <v>2017</v>
      </c>
      <c r="G1102" t="s">
        <v>500</v>
      </c>
      <c r="H1102" s="42">
        <v>82</v>
      </c>
      <c r="J1102" t="s">
        <v>248</v>
      </c>
      <c r="K1102" t="s">
        <v>522</v>
      </c>
      <c r="L1102" s="34">
        <v>2</v>
      </c>
      <c r="M1102" s="38">
        <v>0.75</v>
      </c>
      <c r="N1102" s="38">
        <f t="shared" si="17"/>
        <v>1.5</v>
      </c>
    </row>
    <row r="1103" spans="1:14">
      <c r="A1103" s="29">
        <v>43172</v>
      </c>
      <c r="B1103" s="22" t="s">
        <v>13</v>
      </c>
      <c r="C1103" s="22" t="s">
        <v>57</v>
      </c>
      <c r="D1103" s="48" t="s">
        <v>8</v>
      </c>
      <c r="E1103" t="s">
        <v>259</v>
      </c>
      <c r="F1103">
        <v>2017</v>
      </c>
      <c r="G1103" t="s">
        <v>57</v>
      </c>
      <c r="H1103" s="42" t="s">
        <v>57</v>
      </c>
      <c r="J1103" t="s">
        <v>248</v>
      </c>
      <c r="K1103" t="s">
        <v>523</v>
      </c>
      <c r="L1103" s="34">
        <v>2</v>
      </c>
      <c r="M1103" s="38">
        <v>0.75</v>
      </c>
      <c r="N1103" s="38">
        <f t="shared" si="17"/>
        <v>1.5</v>
      </c>
    </row>
    <row r="1104" spans="1:14">
      <c r="A1104" s="29">
        <v>43172</v>
      </c>
      <c r="B1104" s="22" t="s">
        <v>13</v>
      </c>
      <c r="C1104" s="22" t="s">
        <v>57</v>
      </c>
      <c r="D1104" s="48" t="s">
        <v>11</v>
      </c>
      <c r="E1104" t="s">
        <v>524</v>
      </c>
      <c r="F1104">
        <v>2016</v>
      </c>
      <c r="G1104" t="s">
        <v>57</v>
      </c>
      <c r="H1104" s="42" t="s">
        <v>57</v>
      </c>
      <c r="J1104" t="s">
        <v>248</v>
      </c>
      <c r="K1104" t="s">
        <v>525</v>
      </c>
      <c r="L1104" s="34">
        <v>2</v>
      </c>
      <c r="M1104" s="38">
        <v>0.75</v>
      </c>
      <c r="N1104" s="38">
        <f t="shared" si="17"/>
        <v>1.5</v>
      </c>
    </row>
    <row r="1105" spans="1:14">
      <c r="A1105" s="29">
        <v>43174</v>
      </c>
      <c r="B1105" s="22" t="s">
        <v>63</v>
      </c>
      <c r="C1105" s="22" t="s">
        <v>57</v>
      </c>
      <c r="D1105" s="48" t="s">
        <v>5</v>
      </c>
      <c r="E1105" t="s">
        <v>255</v>
      </c>
      <c r="F1105">
        <v>2017</v>
      </c>
      <c r="G1105" t="s">
        <v>507</v>
      </c>
      <c r="H1105" s="42">
        <v>318</v>
      </c>
      <c r="J1105" t="s">
        <v>248</v>
      </c>
      <c r="L1105" s="34">
        <v>2</v>
      </c>
      <c r="M1105" s="38">
        <v>0.75</v>
      </c>
      <c r="N1105" s="38">
        <f t="shared" si="17"/>
        <v>1.5</v>
      </c>
    </row>
    <row r="1106" spans="1:14">
      <c r="A1106" s="29">
        <v>43180</v>
      </c>
      <c r="B1106" s="22" t="s">
        <v>63</v>
      </c>
      <c r="C1106" s="22" t="s">
        <v>57</v>
      </c>
      <c r="D1106" s="48" t="s">
        <v>5</v>
      </c>
      <c r="E1106" t="s">
        <v>157</v>
      </c>
      <c r="F1106">
        <v>2017</v>
      </c>
      <c r="G1106" t="s">
        <v>448</v>
      </c>
      <c r="H1106" s="42">
        <v>417</v>
      </c>
      <c r="J1106" t="s">
        <v>248</v>
      </c>
      <c r="L1106" s="34">
        <v>3</v>
      </c>
      <c r="M1106" s="38">
        <v>0.75</v>
      </c>
      <c r="N1106" s="38">
        <f t="shared" si="17"/>
        <v>2.25</v>
      </c>
    </row>
    <row r="1107" spans="1:14">
      <c r="A1107" s="29">
        <v>43181</v>
      </c>
      <c r="B1107" s="22" t="s">
        <v>74</v>
      </c>
      <c r="C1107" s="22" t="s">
        <v>57</v>
      </c>
      <c r="D1107" s="48" t="s">
        <v>5</v>
      </c>
      <c r="E1107" t="s">
        <v>262</v>
      </c>
      <c r="F1107">
        <v>2017</v>
      </c>
      <c r="G1107" t="s">
        <v>494</v>
      </c>
      <c r="H1107" s="42">
        <v>409</v>
      </c>
      <c r="J1107" t="s">
        <v>248</v>
      </c>
      <c r="L1107" s="34">
        <v>1</v>
      </c>
      <c r="M1107" s="38">
        <v>0.75</v>
      </c>
      <c r="N1107" s="38">
        <f t="shared" si="17"/>
        <v>0.75</v>
      </c>
    </row>
    <row r="1108" spans="1:14">
      <c r="A1108" s="29">
        <v>43181</v>
      </c>
      <c r="B1108" s="22" t="s">
        <v>9</v>
      </c>
      <c r="C1108" s="22" t="s">
        <v>57</v>
      </c>
      <c r="D1108" s="48" t="s">
        <v>5</v>
      </c>
      <c r="E1108" t="s">
        <v>157</v>
      </c>
      <c r="F1108">
        <v>2017</v>
      </c>
      <c r="G1108" t="s">
        <v>326</v>
      </c>
      <c r="H1108" s="42">
        <v>403</v>
      </c>
      <c r="J1108" t="s">
        <v>248</v>
      </c>
      <c r="L1108" s="34">
        <v>1</v>
      </c>
      <c r="M1108" s="38">
        <v>0.75</v>
      </c>
      <c r="N1108" s="38">
        <f t="shared" si="17"/>
        <v>0.75</v>
      </c>
    </row>
    <row r="1109" spans="1:14">
      <c r="A1109" s="29">
        <v>43181</v>
      </c>
      <c r="B1109" s="22" t="s">
        <v>73</v>
      </c>
      <c r="C1109" s="22" t="s">
        <v>57</v>
      </c>
      <c r="D1109" s="48" t="s">
        <v>8</v>
      </c>
      <c r="E1109" t="s">
        <v>272</v>
      </c>
      <c r="F1109">
        <v>2017</v>
      </c>
      <c r="G1109" t="s">
        <v>359</v>
      </c>
      <c r="H1109" s="42">
        <v>416</v>
      </c>
      <c r="J1109" t="s">
        <v>248</v>
      </c>
      <c r="L1109" s="34">
        <v>1</v>
      </c>
      <c r="M1109" s="38">
        <v>0.75</v>
      </c>
      <c r="N1109" s="38">
        <f t="shared" si="17"/>
        <v>0.75</v>
      </c>
    </row>
    <row r="1110" spans="1:14">
      <c r="A1110" s="29">
        <v>43187</v>
      </c>
      <c r="B1110" s="22" t="s">
        <v>29</v>
      </c>
      <c r="C1110" s="22" t="s">
        <v>45</v>
      </c>
      <c r="D1110" s="48" t="s">
        <v>5</v>
      </c>
      <c r="E1110" t="s">
        <v>157</v>
      </c>
      <c r="F1110">
        <v>2016</v>
      </c>
      <c r="G1110" t="s">
        <v>391</v>
      </c>
      <c r="H1110" s="42">
        <v>81</v>
      </c>
      <c r="J1110" t="s">
        <v>248</v>
      </c>
      <c r="L1110" s="34">
        <v>2</v>
      </c>
      <c r="M1110" s="38">
        <v>0.75</v>
      </c>
      <c r="N1110" s="38">
        <f t="shared" si="17"/>
        <v>1.5</v>
      </c>
    </row>
    <row r="1111" spans="1:14">
      <c r="A1111" s="29">
        <v>43187</v>
      </c>
      <c r="B1111" s="22" t="s">
        <v>60</v>
      </c>
      <c r="C1111" s="22" t="s">
        <v>57</v>
      </c>
      <c r="D1111" s="48" t="s">
        <v>5</v>
      </c>
      <c r="E1111" t="s">
        <v>157</v>
      </c>
      <c r="F1111">
        <v>2017</v>
      </c>
      <c r="G1111" t="s">
        <v>500</v>
      </c>
      <c r="H1111" s="42">
        <v>70</v>
      </c>
      <c r="J1111" t="s">
        <v>248</v>
      </c>
      <c r="L1111" s="34">
        <v>2</v>
      </c>
      <c r="M1111" s="38">
        <v>0.75</v>
      </c>
      <c r="N1111" s="38">
        <f t="shared" si="17"/>
        <v>1.5</v>
      </c>
    </row>
    <row r="1112" spans="1:14">
      <c r="A1112" s="29">
        <v>43187</v>
      </c>
      <c r="B1112" s="22" t="s">
        <v>6</v>
      </c>
      <c r="C1112" s="22" t="s">
        <v>41</v>
      </c>
      <c r="D1112" s="48" t="s">
        <v>8</v>
      </c>
      <c r="E1112" t="s">
        <v>479</v>
      </c>
      <c r="F1112">
        <v>2017</v>
      </c>
      <c r="G1112" t="s">
        <v>357</v>
      </c>
      <c r="H1112" s="42">
        <v>76</v>
      </c>
      <c r="J1112" t="s">
        <v>248</v>
      </c>
      <c r="L1112" s="34">
        <v>3</v>
      </c>
      <c r="M1112" s="38">
        <v>0.75</v>
      </c>
      <c r="N1112" s="38">
        <f t="shared" si="17"/>
        <v>2.25</v>
      </c>
    </row>
    <row r="1113" spans="1:14">
      <c r="A1113" s="29">
        <v>43194</v>
      </c>
      <c r="B1113" s="22" t="s">
        <v>13</v>
      </c>
      <c r="C1113" s="22" t="s">
        <v>57</v>
      </c>
      <c r="D1113" s="48" t="s">
        <v>5</v>
      </c>
      <c r="E1113" t="s">
        <v>157</v>
      </c>
      <c r="F1113">
        <v>2017</v>
      </c>
      <c r="G1113" t="s">
        <v>326</v>
      </c>
      <c r="H1113" s="42">
        <v>27</v>
      </c>
      <c r="J1113" t="s">
        <v>248</v>
      </c>
      <c r="L1113" s="34">
        <v>3</v>
      </c>
      <c r="M1113" s="38">
        <v>0.75</v>
      </c>
      <c r="N1113" s="38">
        <f t="shared" si="17"/>
        <v>2.25</v>
      </c>
    </row>
    <row r="1114" spans="1:14">
      <c r="A1114" s="29">
        <v>43195</v>
      </c>
      <c r="B1114" s="22" t="s">
        <v>9</v>
      </c>
      <c r="C1114" s="22" t="s">
        <v>41</v>
      </c>
      <c r="D1114" s="48" t="s">
        <v>5</v>
      </c>
      <c r="E1114" t="s">
        <v>262</v>
      </c>
      <c r="F1114">
        <v>2017</v>
      </c>
      <c r="G1114" t="s">
        <v>526</v>
      </c>
      <c r="H1114" s="42">
        <v>69</v>
      </c>
      <c r="J1114" t="s">
        <v>248</v>
      </c>
      <c r="L1114" s="34">
        <v>1</v>
      </c>
      <c r="M1114" s="38">
        <v>0.75</v>
      </c>
      <c r="N1114" s="38">
        <f t="shared" si="17"/>
        <v>0.75</v>
      </c>
    </row>
    <row r="1115" spans="1:14">
      <c r="A1115" s="29">
        <v>43195</v>
      </c>
      <c r="B1115" s="22" t="s">
        <v>9</v>
      </c>
      <c r="C1115" s="22" t="s">
        <v>41</v>
      </c>
      <c r="D1115" s="48" t="s">
        <v>5</v>
      </c>
      <c r="E1115" t="s">
        <v>527</v>
      </c>
      <c r="F1115">
        <v>2017</v>
      </c>
      <c r="G1115" t="s">
        <v>528</v>
      </c>
      <c r="H1115" s="42" t="s">
        <v>529</v>
      </c>
      <c r="J1115" t="s">
        <v>248</v>
      </c>
      <c r="L1115" s="34">
        <v>1</v>
      </c>
      <c r="M1115" s="38">
        <v>0.75</v>
      </c>
      <c r="N1115" s="38">
        <f t="shared" si="17"/>
        <v>0.75</v>
      </c>
    </row>
    <row r="1116" spans="1:14">
      <c r="A1116" s="29">
        <v>43195</v>
      </c>
      <c r="B1116" s="22" t="s">
        <v>9</v>
      </c>
      <c r="C1116" s="22" t="s">
        <v>41</v>
      </c>
      <c r="D1116" s="48" t="s">
        <v>11</v>
      </c>
      <c r="E1116" t="s">
        <v>179</v>
      </c>
      <c r="F1116">
        <v>2017</v>
      </c>
      <c r="G1116" t="s">
        <v>500</v>
      </c>
      <c r="H1116" s="42" t="s">
        <v>530</v>
      </c>
      <c r="J1116" t="s">
        <v>248</v>
      </c>
      <c r="L1116" s="34">
        <v>1</v>
      </c>
      <c r="M1116" s="38">
        <v>0.75</v>
      </c>
      <c r="N1116" s="38">
        <f t="shared" si="17"/>
        <v>0.75</v>
      </c>
    </row>
    <row r="1117" spans="1:14">
      <c r="A1117" s="29">
        <v>43195</v>
      </c>
      <c r="B1117" s="22" t="s">
        <v>9</v>
      </c>
      <c r="C1117" s="22" t="s">
        <v>41</v>
      </c>
      <c r="D1117" s="48" t="s">
        <v>11</v>
      </c>
      <c r="E1117" t="s">
        <v>180</v>
      </c>
      <c r="F1117">
        <v>2017</v>
      </c>
      <c r="G1117" t="s">
        <v>500</v>
      </c>
      <c r="H1117" s="42" t="s">
        <v>531</v>
      </c>
      <c r="J1117" t="s">
        <v>248</v>
      </c>
      <c r="L1117" s="34">
        <v>1</v>
      </c>
      <c r="M1117" s="38">
        <v>0.75</v>
      </c>
      <c r="N1117" s="38">
        <f t="shared" si="17"/>
        <v>0.75</v>
      </c>
    </row>
    <row r="1118" spans="1:14">
      <c r="A1118" s="29">
        <v>43195</v>
      </c>
      <c r="B1118" s="22" t="s">
        <v>113</v>
      </c>
      <c r="C1118" s="22" t="s">
        <v>271</v>
      </c>
      <c r="D1118" s="48" t="s">
        <v>5</v>
      </c>
      <c r="E1118" t="s">
        <v>157</v>
      </c>
      <c r="F1118">
        <v>2017</v>
      </c>
      <c r="G1118" t="s">
        <v>257</v>
      </c>
      <c r="H1118" s="42">
        <v>25</v>
      </c>
      <c r="J1118" t="s">
        <v>248</v>
      </c>
      <c r="L1118" s="34">
        <v>4</v>
      </c>
      <c r="M1118" s="38">
        <v>0.75</v>
      </c>
      <c r="N1118" s="38">
        <f t="shared" si="17"/>
        <v>3</v>
      </c>
    </row>
    <row r="1119" spans="1:14">
      <c r="A1119" s="29">
        <v>43201</v>
      </c>
      <c r="B1119" s="22" t="s">
        <v>63</v>
      </c>
      <c r="C1119" s="22" t="s">
        <v>57</v>
      </c>
      <c r="D1119" s="48" t="s">
        <v>5</v>
      </c>
      <c r="E1119" t="s">
        <v>255</v>
      </c>
      <c r="F1119">
        <v>2017</v>
      </c>
      <c r="G1119" t="s">
        <v>440</v>
      </c>
      <c r="H1119" s="42" t="s">
        <v>532</v>
      </c>
      <c r="J1119" t="s">
        <v>248</v>
      </c>
      <c r="L1119" s="34">
        <v>2</v>
      </c>
      <c r="M1119" s="38">
        <v>0.75</v>
      </c>
      <c r="N1119" s="38">
        <f t="shared" si="17"/>
        <v>1.5</v>
      </c>
    </row>
    <row r="1120" spans="1:14">
      <c r="A1120" s="29">
        <v>43201</v>
      </c>
      <c r="B1120" s="22" t="s">
        <v>79</v>
      </c>
      <c r="C1120" s="22" t="s">
        <v>57</v>
      </c>
      <c r="D1120" s="48" t="s">
        <v>5</v>
      </c>
      <c r="E1120" t="s">
        <v>157</v>
      </c>
      <c r="F1120">
        <v>2017</v>
      </c>
      <c r="G1120" t="s">
        <v>326</v>
      </c>
      <c r="H1120" s="42">
        <v>38</v>
      </c>
      <c r="J1120" t="s">
        <v>248</v>
      </c>
      <c r="L1120" s="34">
        <v>1</v>
      </c>
      <c r="M1120" s="38">
        <v>0.75</v>
      </c>
      <c r="N1120" s="38">
        <f t="shared" si="17"/>
        <v>0.75</v>
      </c>
    </row>
    <row r="1121" spans="1:14">
      <c r="A1121" s="29">
        <v>43201</v>
      </c>
      <c r="B1121" s="22" t="s">
        <v>79</v>
      </c>
      <c r="C1121" s="22" t="s">
        <v>57</v>
      </c>
      <c r="D1121" s="48" t="s">
        <v>5</v>
      </c>
      <c r="E1121" t="s">
        <v>159</v>
      </c>
      <c r="F1121">
        <v>2017</v>
      </c>
      <c r="G1121" t="s">
        <v>326</v>
      </c>
      <c r="H1121" s="42">
        <v>78</v>
      </c>
      <c r="J1121" t="s">
        <v>248</v>
      </c>
      <c r="L1121" s="34">
        <v>1</v>
      </c>
      <c r="M1121" s="38">
        <v>0.75</v>
      </c>
      <c r="N1121" s="38">
        <f t="shared" si="17"/>
        <v>0.75</v>
      </c>
    </row>
    <row r="1122" spans="1:14">
      <c r="A1122" s="29">
        <v>43201</v>
      </c>
      <c r="B1122" s="22" t="s">
        <v>79</v>
      </c>
      <c r="C1122" s="22" t="s">
        <v>57</v>
      </c>
      <c r="D1122" s="48" t="s">
        <v>5</v>
      </c>
      <c r="E1122" t="s">
        <v>262</v>
      </c>
      <c r="F1122">
        <v>2017</v>
      </c>
      <c r="G1122" t="s">
        <v>494</v>
      </c>
      <c r="H1122" s="42">
        <v>409</v>
      </c>
      <c r="J1122" t="s">
        <v>248</v>
      </c>
      <c r="L1122" s="34">
        <v>1</v>
      </c>
      <c r="M1122" s="38">
        <v>0.75</v>
      </c>
      <c r="N1122" s="38">
        <f t="shared" si="17"/>
        <v>0.75</v>
      </c>
    </row>
    <row r="1123" spans="1:14">
      <c r="A1123" s="29">
        <v>43201</v>
      </c>
      <c r="B1123" s="22" t="s">
        <v>79</v>
      </c>
      <c r="C1123" s="22" t="s">
        <v>57</v>
      </c>
      <c r="D1123" s="48" t="s">
        <v>8</v>
      </c>
      <c r="E1123" t="s">
        <v>179</v>
      </c>
      <c r="F1123">
        <v>2017</v>
      </c>
      <c r="G1123" t="s">
        <v>318</v>
      </c>
      <c r="H1123" s="42">
        <v>326</v>
      </c>
      <c r="J1123" t="s">
        <v>248</v>
      </c>
      <c r="L1123" s="34">
        <v>1</v>
      </c>
      <c r="M1123" s="38">
        <v>0.75</v>
      </c>
      <c r="N1123" s="38">
        <f t="shared" si="17"/>
        <v>0.75</v>
      </c>
    </row>
    <row r="1124" spans="1:14">
      <c r="A1124" s="29">
        <v>43202</v>
      </c>
      <c r="B1124" s="22" t="s">
        <v>28</v>
      </c>
      <c r="C1124" s="22" t="s">
        <v>271</v>
      </c>
      <c r="D1124" s="48" t="s">
        <v>5</v>
      </c>
      <c r="E1124" t="s">
        <v>157</v>
      </c>
      <c r="F1124">
        <v>2016</v>
      </c>
      <c r="G1124" t="s">
        <v>305</v>
      </c>
      <c r="H1124" s="42">
        <v>84</v>
      </c>
      <c r="J1124" t="s">
        <v>248</v>
      </c>
      <c r="L1124" s="34">
        <v>3</v>
      </c>
      <c r="M1124" s="38">
        <v>0.75</v>
      </c>
      <c r="N1124" s="38">
        <f t="shared" si="17"/>
        <v>2.25</v>
      </c>
    </row>
    <row r="1125" spans="1:14">
      <c r="A1125" s="29">
        <v>43202</v>
      </c>
      <c r="B1125" s="22" t="s">
        <v>63</v>
      </c>
      <c r="C1125" s="22" t="s">
        <v>57</v>
      </c>
      <c r="D1125" s="48" t="s">
        <v>5</v>
      </c>
      <c r="E1125" t="s">
        <v>255</v>
      </c>
      <c r="F1125">
        <v>2017</v>
      </c>
      <c r="G1125" t="s">
        <v>507</v>
      </c>
      <c r="H1125" s="42">
        <v>318</v>
      </c>
      <c r="J1125" t="s">
        <v>248</v>
      </c>
      <c r="L1125" s="34">
        <v>3</v>
      </c>
      <c r="M1125" s="38">
        <v>0.75</v>
      </c>
      <c r="N1125" s="38">
        <f t="shared" si="17"/>
        <v>2.25</v>
      </c>
    </row>
    <row r="1126" spans="1:14">
      <c r="A1126" s="29">
        <v>43203</v>
      </c>
      <c r="B1126" s="22" t="s">
        <v>63</v>
      </c>
      <c r="C1126" s="22" t="s">
        <v>57</v>
      </c>
      <c r="D1126" s="48" t="s">
        <v>5</v>
      </c>
      <c r="E1126" t="s">
        <v>255</v>
      </c>
      <c r="F1126">
        <v>2017</v>
      </c>
      <c r="G1126" t="s">
        <v>507</v>
      </c>
      <c r="H1126" s="42">
        <v>318</v>
      </c>
      <c r="J1126" t="s">
        <v>248</v>
      </c>
      <c r="L1126" s="34">
        <v>2</v>
      </c>
      <c r="M1126" s="38">
        <v>0.75</v>
      </c>
      <c r="N1126" s="38">
        <f t="shared" si="17"/>
        <v>1.5</v>
      </c>
    </row>
    <row r="1127" spans="1:14">
      <c r="A1127" s="29">
        <v>43203</v>
      </c>
      <c r="B1127" s="22" t="s">
        <v>109</v>
      </c>
      <c r="C1127" s="22" t="s">
        <v>57</v>
      </c>
      <c r="D1127" s="48" t="s">
        <v>5</v>
      </c>
      <c r="E1127" t="s">
        <v>308</v>
      </c>
      <c r="F1127">
        <v>2017</v>
      </c>
      <c r="G1127" t="s">
        <v>533</v>
      </c>
      <c r="H1127" s="42" t="s">
        <v>57</v>
      </c>
      <c r="J1127" t="s">
        <v>248</v>
      </c>
      <c r="K1127" t="s">
        <v>534</v>
      </c>
      <c r="L1127" s="34">
        <v>2</v>
      </c>
      <c r="M1127" s="38">
        <v>0.75</v>
      </c>
      <c r="N1127" s="38">
        <f t="shared" si="17"/>
        <v>1.5</v>
      </c>
    </row>
    <row r="1128" spans="1:14">
      <c r="A1128" s="29">
        <v>43217</v>
      </c>
      <c r="B1128" s="22" t="s">
        <v>125</v>
      </c>
      <c r="C1128" s="22" t="s">
        <v>249</v>
      </c>
      <c r="D1128" s="48" t="s">
        <v>5</v>
      </c>
      <c r="E1128" t="s">
        <v>157</v>
      </c>
      <c r="F1128">
        <v>2017</v>
      </c>
      <c r="G1128" t="s">
        <v>507</v>
      </c>
      <c r="H1128" s="42" t="s">
        <v>535</v>
      </c>
      <c r="J1128" t="s">
        <v>248</v>
      </c>
      <c r="K1128" t="s">
        <v>536</v>
      </c>
      <c r="L1128" s="34">
        <v>1</v>
      </c>
      <c r="M1128" s="38">
        <v>0.75</v>
      </c>
      <c r="N1128" s="38">
        <f t="shared" si="17"/>
        <v>0.75</v>
      </c>
    </row>
    <row r="1129" spans="1:14">
      <c r="A1129" s="29">
        <v>43217</v>
      </c>
      <c r="B1129" s="22" t="s">
        <v>125</v>
      </c>
      <c r="C1129" s="22" t="s">
        <v>249</v>
      </c>
      <c r="D1129" s="48" t="s">
        <v>5</v>
      </c>
      <c r="E1129" t="s">
        <v>157</v>
      </c>
      <c r="F1129">
        <v>2017</v>
      </c>
      <c r="G1129" t="s">
        <v>507</v>
      </c>
      <c r="H1129" s="42" t="s">
        <v>57</v>
      </c>
      <c r="J1129" t="s">
        <v>248</v>
      </c>
      <c r="K1129" t="s">
        <v>537</v>
      </c>
      <c r="L1129" s="34">
        <v>1</v>
      </c>
      <c r="M1129" s="38">
        <v>0.75</v>
      </c>
      <c r="N1129" s="38">
        <f t="shared" si="17"/>
        <v>0.75</v>
      </c>
    </row>
    <row r="1130" spans="1:14">
      <c r="A1130" s="29">
        <v>43217</v>
      </c>
      <c r="B1130" s="22" t="s">
        <v>65</v>
      </c>
      <c r="C1130" s="22" t="s">
        <v>22</v>
      </c>
      <c r="D1130" s="48" t="s">
        <v>5</v>
      </c>
      <c r="E1130" t="s">
        <v>157</v>
      </c>
      <c r="F1130">
        <v>2017</v>
      </c>
      <c r="G1130" t="s">
        <v>500</v>
      </c>
      <c r="H1130" s="42">
        <v>44</v>
      </c>
      <c r="J1130" t="s">
        <v>248</v>
      </c>
      <c r="L1130" s="34">
        <v>2</v>
      </c>
      <c r="M1130" s="38">
        <v>0.75</v>
      </c>
      <c r="N1130" s="38">
        <f t="shared" si="17"/>
        <v>1.5</v>
      </c>
    </row>
    <row r="1131" spans="1:14">
      <c r="A1131" s="29">
        <v>43234</v>
      </c>
      <c r="B1131" s="22" t="s">
        <v>113</v>
      </c>
      <c r="C1131" s="22" t="s">
        <v>271</v>
      </c>
      <c r="D1131" s="48" t="s">
        <v>5</v>
      </c>
      <c r="E1131" t="s">
        <v>157</v>
      </c>
      <c r="F1131">
        <v>2017</v>
      </c>
      <c r="G1131" t="s">
        <v>305</v>
      </c>
      <c r="H1131" s="42">
        <v>7</v>
      </c>
      <c r="J1131" t="s">
        <v>248</v>
      </c>
      <c r="L1131" s="34">
        <v>3</v>
      </c>
      <c r="M1131" s="38">
        <v>0.75</v>
      </c>
      <c r="N1131" s="38">
        <f t="shared" si="17"/>
        <v>2.25</v>
      </c>
    </row>
    <row r="1132" spans="1:14">
      <c r="A1132" s="29">
        <v>43234</v>
      </c>
      <c r="B1132" s="22" t="s">
        <v>113</v>
      </c>
      <c r="C1132" s="22" t="s">
        <v>271</v>
      </c>
      <c r="D1132" s="48" t="s">
        <v>5</v>
      </c>
      <c r="E1132" t="s">
        <v>157</v>
      </c>
      <c r="F1132">
        <v>2017</v>
      </c>
      <c r="G1132" t="s">
        <v>257</v>
      </c>
      <c r="H1132" s="42">
        <v>71</v>
      </c>
      <c r="J1132" t="s">
        <v>248</v>
      </c>
      <c r="L1132" s="34">
        <v>3</v>
      </c>
      <c r="M1132" s="38">
        <v>0.75</v>
      </c>
      <c r="N1132" s="38">
        <f t="shared" si="17"/>
        <v>2.25</v>
      </c>
    </row>
    <row r="1133" spans="1:14">
      <c r="A1133" s="29">
        <v>43236</v>
      </c>
      <c r="B1133" s="22" t="s">
        <v>9</v>
      </c>
      <c r="C1133" s="22" t="s">
        <v>41</v>
      </c>
      <c r="D1133" s="48" t="s">
        <v>5</v>
      </c>
      <c r="E1133" t="s">
        <v>157</v>
      </c>
      <c r="F1133">
        <v>2017</v>
      </c>
      <c r="G1133" t="s">
        <v>252</v>
      </c>
      <c r="H1133" s="42">
        <v>38</v>
      </c>
      <c r="J1133" t="s">
        <v>248</v>
      </c>
      <c r="L1133" s="34">
        <v>2</v>
      </c>
      <c r="M1133" s="38">
        <v>0.75</v>
      </c>
      <c r="N1133" s="38">
        <f t="shared" si="17"/>
        <v>1.5</v>
      </c>
    </row>
    <row r="1134" spans="1:14">
      <c r="A1134" s="29">
        <v>43265</v>
      </c>
      <c r="B1134" s="22" t="s">
        <v>109</v>
      </c>
      <c r="C1134" s="22" t="s">
        <v>57</v>
      </c>
      <c r="D1134" s="48" t="s">
        <v>5</v>
      </c>
      <c r="E1134" t="s">
        <v>159</v>
      </c>
      <c r="F1134">
        <v>2017</v>
      </c>
      <c r="G1134" t="s">
        <v>251</v>
      </c>
      <c r="H1134" s="42">
        <v>310</v>
      </c>
      <c r="J1134" t="s">
        <v>248</v>
      </c>
      <c r="L1134" s="34">
        <v>4</v>
      </c>
      <c r="M1134" s="38">
        <v>0.75</v>
      </c>
      <c r="N1134" s="38">
        <f t="shared" si="17"/>
        <v>3</v>
      </c>
    </row>
    <row r="1135" spans="1:14">
      <c r="A1135" s="29">
        <v>43266</v>
      </c>
      <c r="B1135" s="22" t="s">
        <v>113</v>
      </c>
      <c r="C1135" s="22" t="s">
        <v>271</v>
      </c>
      <c r="D1135" s="48" t="s">
        <v>5</v>
      </c>
      <c r="E1135" t="s">
        <v>157</v>
      </c>
      <c r="F1135">
        <v>2017</v>
      </c>
      <c r="G1135" t="s">
        <v>257</v>
      </c>
      <c r="H1135" s="42">
        <v>71</v>
      </c>
      <c r="J1135" t="s">
        <v>248</v>
      </c>
      <c r="L1135" s="34">
        <v>3</v>
      </c>
      <c r="M1135" s="38">
        <v>0.75</v>
      </c>
      <c r="N1135" s="38">
        <f t="shared" si="17"/>
        <v>2.25</v>
      </c>
    </row>
    <row r="1136" spans="1:14">
      <c r="A1136" s="29">
        <v>43272</v>
      </c>
      <c r="B1136" s="22" t="s">
        <v>63</v>
      </c>
      <c r="C1136" s="22" t="s">
        <v>57</v>
      </c>
      <c r="D1136" s="48" t="s">
        <v>5</v>
      </c>
      <c r="E1136" t="s">
        <v>157</v>
      </c>
      <c r="F1136">
        <v>2017</v>
      </c>
      <c r="G1136" t="s">
        <v>538</v>
      </c>
      <c r="H1136" s="42">
        <v>417</v>
      </c>
      <c r="J1136" t="s">
        <v>248</v>
      </c>
      <c r="L1136" s="34">
        <v>3</v>
      </c>
      <c r="M1136" s="38">
        <v>0.75</v>
      </c>
      <c r="N1136" s="38">
        <f t="shared" si="17"/>
        <v>2.25</v>
      </c>
    </row>
    <row r="1137" spans="1:14">
      <c r="A1137" s="29">
        <v>43277</v>
      </c>
      <c r="B1137" s="22" t="s">
        <v>122</v>
      </c>
      <c r="C1137" s="22" t="s">
        <v>24</v>
      </c>
      <c r="D1137" s="48" t="s">
        <v>5</v>
      </c>
      <c r="E1137" t="s">
        <v>157</v>
      </c>
      <c r="F1137">
        <v>2017</v>
      </c>
      <c r="G1137" t="s">
        <v>57</v>
      </c>
      <c r="H1137" s="42" t="s">
        <v>57</v>
      </c>
      <c r="J1137" t="s">
        <v>248</v>
      </c>
      <c r="K1137" t="s">
        <v>539</v>
      </c>
      <c r="L1137" s="34">
        <v>2</v>
      </c>
      <c r="M1137" s="38">
        <v>0.75</v>
      </c>
      <c r="N1137" s="38">
        <f t="shared" si="17"/>
        <v>1.5</v>
      </c>
    </row>
    <row r="1138" spans="1:14">
      <c r="A1138" s="29">
        <v>43284</v>
      </c>
      <c r="B1138" s="22" t="s">
        <v>28</v>
      </c>
      <c r="C1138" s="22" t="s">
        <v>271</v>
      </c>
      <c r="D1138" s="48" t="s">
        <v>5</v>
      </c>
      <c r="E1138" t="s">
        <v>157</v>
      </c>
      <c r="F1138">
        <v>2017</v>
      </c>
      <c r="G1138" t="s">
        <v>305</v>
      </c>
      <c r="H1138" s="42">
        <v>308</v>
      </c>
      <c r="J1138" t="s">
        <v>248</v>
      </c>
      <c r="L1138" s="34">
        <v>4</v>
      </c>
      <c r="M1138" s="38">
        <v>0.75</v>
      </c>
      <c r="N1138" s="38">
        <f t="shared" si="17"/>
        <v>3</v>
      </c>
    </row>
    <row r="1139" spans="1:14">
      <c r="A1139" s="29">
        <v>43284</v>
      </c>
      <c r="B1139" s="22" t="s">
        <v>121</v>
      </c>
      <c r="C1139" s="22" t="s">
        <v>57</v>
      </c>
      <c r="D1139" s="48" t="s">
        <v>8</v>
      </c>
      <c r="E1139" t="s">
        <v>367</v>
      </c>
      <c r="F1139">
        <v>2017</v>
      </c>
      <c r="G1139" t="s">
        <v>500</v>
      </c>
      <c r="H1139" s="42">
        <v>12</v>
      </c>
      <c r="J1139" t="s">
        <v>248</v>
      </c>
      <c r="L1139" s="34">
        <v>2</v>
      </c>
      <c r="M1139" s="38">
        <v>0.75</v>
      </c>
      <c r="N1139" s="38">
        <f t="shared" si="17"/>
        <v>1.5</v>
      </c>
    </row>
    <row r="1140" spans="1:14">
      <c r="A1140" s="29">
        <v>43286</v>
      </c>
      <c r="B1140" s="22" t="s">
        <v>28</v>
      </c>
      <c r="C1140" s="22" t="s">
        <v>271</v>
      </c>
      <c r="D1140" s="48" t="s">
        <v>5</v>
      </c>
      <c r="E1140" t="s">
        <v>157</v>
      </c>
      <c r="F1140">
        <v>2017</v>
      </c>
      <c r="G1140" t="s">
        <v>305</v>
      </c>
      <c r="H1140" s="42">
        <v>308</v>
      </c>
      <c r="J1140" t="s">
        <v>248</v>
      </c>
      <c r="L1140" s="34">
        <v>5</v>
      </c>
      <c r="M1140" s="38">
        <v>0.75</v>
      </c>
      <c r="N1140" s="38">
        <f t="shared" si="17"/>
        <v>3.75</v>
      </c>
    </row>
    <row r="1141" spans="1:14">
      <c r="A1141" s="29">
        <v>43290</v>
      </c>
      <c r="B1141" s="22" t="s">
        <v>57</v>
      </c>
      <c r="C1141" s="22" t="s">
        <v>249</v>
      </c>
      <c r="D1141" s="48" t="s">
        <v>5</v>
      </c>
      <c r="E1141" t="s">
        <v>157</v>
      </c>
      <c r="F1141">
        <v>2017</v>
      </c>
      <c r="G1141" t="s">
        <v>540</v>
      </c>
      <c r="H1141" s="42">
        <v>317</v>
      </c>
      <c r="J1141" t="s">
        <v>248</v>
      </c>
      <c r="L1141" s="34">
        <v>3</v>
      </c>
      <c r="M1141" s="38">
        <v>0.75</v>
      </c>
      <c r="N1141" s="38">
        <f t="shared" si="17"/>
        <v>2.25</v>
      </c>
    </row>
    <row r="1142" spans="1:14">
      <c r="A1142" s="29">
        <v>43290</v>
      </c>
      <c r="B1142" s="22" t="s">
        <v>57</v>
      </c>
      <c r="C1142" s="22" t="s">
        <v>249</v>
      </c>
      <c r="D1142" s="48" t="s">
        <v>11</v>
      </c>
      <c r="E1142" t="s">
        <v>259</v>
      </c>
      <c r="F1142">
        <v>2017</v>
      </c>
      <c r="G1142" t="s">
        <v>541</v>
      </c>
      <c r="H1142" s="42" t="s">
        <v>57</v>
      </c>
      <c r="J1142" t="s">
        <v>248</v>
      </c>
      <c r="K1142" t="s">
        <v>542</v>
      </c>
      <c r="L1142" s="34">
        <v>3</v>
      </c>
      <c r="M1142" s="38">
        <v>0.75</v>
      </c>
      <c r="N1142" s="38">
        <f t="shared" si="17"/>
        <v>2.25</v>
      </c>
    </row>
    <row r="1143" spans="1:14">
      <c r="A1143" s="29">
        <v>43290</v>
      </c>
      <c r="B1143" s="22" t="s">
        <v>57</v>
      </c>
      <c r="C1143" s="22" t="s">
        <v>24</v>
      </c>
      <c r="D1143" s="48" t="s">
        <v>5</v>
      </c>
      <c r="E1143" t="s">
        <v>157</v>
      </c>
      <c r="F1143">
        <v>2017</v>
      </c>
      <c r="G1143" t="s">
        <v>57</v>
      </c>
      <c r="H1143" s="42" t="s">
        <v>57</v>
      </c>
      <c r="J1143" t="s">
        <v>248</v>
      </c>
      <c r="K1143" t="s">
        <v>539</v>
      </c>
      <c r="L1143" s="34">
        <v>3</v>
      </c>
      <c r="M1143" s="38">
        <v>0.75</v>
      </c>
      <c r="N1143" s="38">
        <f t="shared" si="17"/>
        <v>2.25</v>
      </c>
    </row>
    <row r="1144" spans="1:14">
      <c r="A1144" s="29">
        <v>43290</v>
      </c>
      <c r="B1144" s="22" t="s">
        <v>57</v>
      </c>
      <c r="C1144" s="22" t="s">
        <v>24</v>
      </c>
      <c r="D1144" s="48" t="s">
        <v>11</v>
      </c>
      <c r="E1144" t="s">
        <v>177</v>
      </c>
      <c r="F1144">
        <v>2017</v>
      </c>
      <c r="G1144" t="s">
        <v>543</v>
      </c>
      <c r="H1144" s="42">
        <v>302</v>
      </c>
      <c r="J1144" t="s">
        <v>248</v>
      </c>
      <c r="L1144" s="34">
        <v>3</v>
      </c>
      <c r="M1144" s="38">
        <v>0.75</v>
      </c>
      <c r="N1144" s="38">
        <f t="shared" si="17"/>
        <v>2.25</v>
      </c>
    </row>
    <row r="1145" spans="1:14">
      <c r="A1145" s="29">
        <v>43297</v>
      </c>
      <c r="B1145" s="22" t="s">
        <v>63</v>
      </c>
      <c r="C1145" s="22" t="s">
        <v>57</v>
      </c>
      <c r="D1145" s="48" t="s">
        <v>5</v>
      </c>
      <c r="E1145" t="s">
        <v>157</v>
      </c>
      <c r="F1145">
        <v>2017</v>
      </c>
      <c r="G1145" t="s">
        <v>448</v>
      </c>
      <c r="H1145" s="42">
        <v>332</v>
      </c>
      <c r="J1145" t="s">
        <v>248</v>
      </c>
      <c r="L1145" s="34">
        <v>2</v>
      </c>
      <c r="M1145" s="38">
        <v>0.75</v>
      </c>
      <c r="N1145" s="38">
        <f t="shared" si="17"/>
        <v>1.5</v>
      </c>
    </row>
    <row r="1146" spans="1:14">
      <c r="A1146" s="29">
        <v>43305</v>
      </c>
      <c r="B1146" s="22" t="s">
        <v>63</v>
      </c>
      <c r="C1146" s="22" t="s">
        <v>57</v>
      </c>
      <c r="D1146" s="48" t="s">
        <v>5</v>
      </c>
      <c r="E1146" t="s">
        <v>157</v>
      </c>
      <c r="F1146">
        <v>2017</v>
      </c>
      <c r="G1146" t="s">
        <v>448</v>
      </c>
      <c r="H1146" s="42">
        <v>9</v>
      </c>
      <c r="J1146" t="s">
        <v>248</v>
      </c>
      <c r="L1146" s="34">
        <v>2</v>
      </c>
      <c r="M1146" s="38">
        <v>0.75</v>
      </c>
      <c r="N1146" s="38">
        <f t="shared" si="17"/>
        <v>1.5</v>
      </c>
    </row>
    <row r="1147" spans="1:14">
      <c r="A1147" s="29">
        <v>43319</v>
      </c>
      <c r="B1147" s="22" t="s">
        <v>6</v>
      </c>
      <c r="C1147" s="22" t="s">
        <v>41</v>
      </c>
      <c r="D1147" s="48" t="s">
        <v>8</v>
      </c>
      <c r="E1147" t="s">
        <v>177</v>
      </c>
      <c r="F1147">
        <v>2017</v>
      </c>
      <c r="G1147" t="s">
        <v>317</v>
      </c>
      <c r="H1147" s="42">
        <v>87</v>
      </c>
      <c r="J1147" t="s">
        <v>248</v>
      </c>
      <c r="L1147" s="34">
        <v>2</v>
      </c>
      <c r="M1147" s="38">
        <v>0.75</v>
      </c>
      <c r="N1147" s="38">
        <f t="shared" si="17"/>
        <v>1.5</v>
      </c>
    </row>
    <row r="1148" spans="1:14">
      <c r="A1148" s="29">
        <v>43319</v>
      </c>
      <c r="B1148" s="22" t="s">
        <v>6</v>
      </c>
      <c r="C1148" s="22" t="s">
        <v>41</v>
      </c>
      <c r="D1148" s="48" t="s">
        <v>8</v>
      </c>
      <c r="E1148" t="s">
        <v>179</v>
      </c>
      <c r="F1148">
        <v>2017</v>
      </c>
      <c r="G1148" t="s">
        <v>318</v>
      </c>
      <c r="H1148" s="42">
        <v>28</v>
      </c>
      <c r="J1148" t="s">
        <v>248</v>
      </c>
      <c r="L1148" s="34">
        <v>2</v>
      </c>
      <c r="M1148" s="38">
        <v>0.75</v>
      </c>
      <c r="N1148" s="38">
        <f t="shared" si="17"/>
        <v>1.5</v>
      </c>
    </row>
    <row r="1149" spans="1:14">
      <c r="A1149" s="29">
        <v>43319</v>
      </c>
      <c r="B1149" s="22" t="s">
        <v>6</v>
      </c>
      <c r="C1149" s="22" t="s">
        <v>41</v>
      </c>
      <c r="D1149" s="48" t="s">
        <v>8</v>
      </c>
      <c r="E1149" t="s">
        <v>178</v>
      </c>
      <c r="F1149">
        <v>2017</v>
      </c>
      <c r="G1149" t="s">
        <v>337</v>
      </c>
      <c r="H1149" s="42">
        <v>306</v>
      </c>
      <c r="J1149" t="s">
        <v>248</v>
      </c>
      <c r="L1149" s="34">
        <v>2</v>
      </c>
      <c r="M1149" s="38">
        <v>0.75</v>
      </c>
      <c r="N1149" s="38">
        <f t="shared" si="17"/>
        <v>1.5</v>
      </c>
    </row>
    <row r="1150" spans="1:14">
      <c r="A1150" s="29">
        <v>43319</v>
      </c>
      <c r="B1150" s="22" t="s">
        <v>9</v>
      </c>
      <c r="C1150" s="22" t="s">
        <v>41</v>
      </c>
      <c r="D1150" s="48" t="s">
        <v>5</v>
      </c>
      <c r="E1150" t="s">
        <v>157</v>
      </c>
      <c r="F1150">
        <v>2017</v>
      </c>
      <c r="G1150" t="s">
        <v>326</v>
      </c>
      <c r="H1150" s="42">
        <v>310</v>
      </c>
      <c r="J1150" t="s">
        <v>248</v>
      </c>
      <c r="L1150" s="34">
        <v>2</v>
      </c>
      <c r="M1150" s="38">
        <v>0.75</v>
      </c>
      <c r="N1150" s="38">
        <f t="shared" si="17"/>
        <v>1.5</v>
      </c>
    </row>
    <row r="1151" spans="1:14">
      <c r="A1151" s="29">
        <v>43335</v>
      </c>
      <c r="B1151" s="22" t="s">
        <v>109</v>
      </c>
      <c r="C1151" s="22" t="s">
        <v>57</v>
      </c>
      <c r="D1151" s="48" t="s">
        <v>8</v>
      </c>
      <c r="E1151" t="s">
        <v>369</v>
      </c>
      <c r="F1151">
        <v>2017</v>
      </c>
      <c r="G1151" t="s">
        <v>500</v>
      </c>
      <c r="H1151" s="42" t="s">
        <v>57</v>
      </c>
      <c r="J1151" t="s">
        <v>248</v>
      </c>
      <c r="L1151" s="34">
        <v>3</v>
      </c>
      <c r="M1151" s="38">
        <v>0.75</v>
      </c>
      <c r="N1151" s="38">
        <f t="shared" si="17"/>
        <v>2.25</v>
      </c>
    </row>
    <row r="1152" spans="1:14">
      <c r="A1152" s="29">
        <v>43335</v>
      </c>
      <c r="B1152" s="22" t="s">
        <v>109</v>
      </c>
      <c r="C1152" s="22" t="s">
        <v>57</v>
      </c>
      <c r="D1152" s="48" t="s">
        <v>8</v>
      </c>
      <c r="E1152" t="s">
        <v>520</v>
      </c>
      <c r="F1152">
        <v>2017</v>
      </c>
      <c r="G1152" t="s">
        <v>500</v>
      </c>
      <c r="H1152" s="42" t="s">
        <v>57</v>
      </c>
      <c r="J1152" t="s">
        <v>248</v>
      </c>
      <c r="L1152" s="34">
        <v>3</v>
      </c>
      <c r="M1152" s="38">
        <v>0.75</v>
      </c>
      <c r="N1152" s="38">
        <f t="shared" si="17"/>
        <v>2.25</v>
      </c>
    </row>
    <row r="1153" spans="1:14">
      <c r="A1153" s="29">
        <v>43335</v>
      </c>
      <c r="B1153" s="22" t="s">
        <v>109</v>
      </c>
      <c r="C1153" s="22" t="s">
        <v>57</v>
      </c>
      <c r="D1153" s="48" t="s">
        <v>8</v>
      </c>
      <c r="E1153" t="s">
        <v>513</v>
      </c>
      <c r="F1153">
        <v>2017</v>
      </c>
      <c r="G1153" t="s">
        <v>500</v>
      </c>
      <c r="H1153" s="42" t="s">
        <v>57</v>
      </c>
      <c r="J1153" t="s">
        <v>248</v>
      </c>
      <c r="L1153" s="34">
        <v>3</v>
      </c>
      <c r="M1153" s="38">
        <v>0.75</v>
      </c>
      <c r="N1153" s="38">
        <f t="shared" si="17"/>
        <v>2.25</v>
      </c>
    </row>
    <row r="1154" spans="1:14">
      <c r="A1154" s="29">
        <v>43335</v>
      </c>
      <c r="B1154" s="22" t="s">
        <v>109</v>
      </c>
      <c r="C1154" s="22" t="s">
        <v>57</v>
      </c>
      <c r="D1154" s="48" t="s">
        <v>5</v>
      </c>
      <c r="E1154" t="s">
        <v>308</v>
      </c>
      <c r="F1154">
        <v>2017</v>
      </c>
      <c r="G1154" t="s">
        <v>494</v>
      </c>
      <c r="H1154" s="42">
        <v>414</v>
      </c>
      <c r="J1154" t="s">
        <v>248</v>
      </c>
      <c r="L1154" s="34">
        <v>3</v>
      </c>
      <c r="M1154" s="38">
        <v>0.75</v>
      </c>
      <c r="N1154" s="38">
        <f t="shared" si="17"/>
        <v>2.25</v>
      </c>
    </row>
    <row r="1155" spans="1:14">
      <c r="A1155" s="29">
        <v>43375</v>
      </c>
      <c r="B1155" s="22" t="s">
        <v>63</v>
      </c>
      <c r="C1155" s="22" t="s">
        <v>57</v>
      </c>
      <c r="D1155" s="48" t="s">
        <v>5</v>
      </c>
      <c r="E1155" t="s">
        <v>255</v>
      </c>
      <c r="F1155">
        <v>2018</v>
      </c>
      <c r="G1155" t="s">
        <v>57</v>
      </c>
      <c r="H1155" s="42">
        <v>206</v>
      </c>
      <c r="J1155" t="s">
        <v>248</v>
      </c>
      <c r="L1155" s="34">
        <v>2</v>
      </c>
      <c r="M1155" s="38">
        <v>0.75</v>
      </c>
      <c r="N1155" s="38">
        <f t="shared" ref="N1155:N1218" si="18">M1155*L1155</f>
        <v>1.5</v>
      </c>
    </row>
    <row r="1156" spans="1:14">
      <c r="A1156" s="29">
        <v>43375</v>
      </c>
      <c r="B1156" s="22" t="s">
        <v>63</v>
      </c>
      <c r="C1156" s="22" t="s">
        <v>57</v>
      </c>
      <c r="D1156" s="48" t="s">
        <v>5</v>
      </c>
      <c r="E1156" t="s">
        <v>488</v>
      </c>
      <c r="F1156">
        <v>2018</v>
      </c>
      <c r="G1156" t="s">
        <v>57</v>
      </c>
      <c r="H1156" s="42">
        <v>307</v>
      </c>
      <c r="J1156" t="s">
        <v>248</v>
      </c>
      <c r="L1156" s="34">
        <v>2</v>
      </c>
      <c r="M1156" s="38">
        <v>0.75</v>
      </c>
      <c r="N1156" s="38">
        <f t="shared" si="18"/>
        <v>1.5</v>
      </c>
    </row>
    <row r="1157" spans="1:14">
      <c r="A1157" s="29">
        <v>43375</v>
      </c>
      <c r="B1157" s="22" t="s">
        <v>63</v>
      </c>
      <c r="C1157" s="22" t="s">
        <v>57</v>
      </c>
      <c r="D1157" s="48" t="s">
        <v>5</v>
      </c>
      <c r="E1157" t="s">
        <v>255</v>
      </c>
      <c r="F1157">
        <v>2018</v>
      </c>
      <c r="G1157" t="s">
        <v>57</v>
      </c>
      <c r="H1157" s="42">
        <v>309</v>
      </c>
      <c r="J1157" t="s">
        <v>248</v>
      </c>
      <c r="L1157" s="34">
        <v>2</v>
      </c>
      <c r="M1157" s="38">
        <v>0.75</v>
      </c>
      <c r="N1157" s="38">
        <f t="shared" si="18"/>
        <v>1.5</v>
      </c>
    </row>
    <row r="1158" spans="1:14">
      <c r="A1158" s="29">
        <v>43375</v>
      </c>
      <c r="B1158" s="22" t="s">
        <v>63</v>
      </c>
      <c r="C1158" s="22" t="s">
        <v>57</v>
      </c>
      <c r="D1158" s="48" t="s">
        <v>5</v>
      </c>
      <c r="E1158" t="s">
        <v>255</v>
      </c>
      <c r="F1158">
        <v>2018</v>
      </c>
      <c r="G1158" t="s">
        <v>57</v>
      </c>
      <c r="H1158" s="42">
        <v>37</v>
      </c>
      <c r="J1158" t="s">
        <v>248</v>
      </c>
      <c r="L1158" s="34">
        <v>2</v>
      </c>
      <c r="M1158" s="38">
        <v>0.75</v>
      </c>
      <c r="N1158" s="38">
        <f t="shared" si="18"/>
        <v>1.5</v>
      </c>
    </row>
    <row r="1159" spans="1:14">
      <c r="A1159" s="29">
        <v>43381</v>
      </c>
      <c r="B1159" s="22" t="s">
        <v>63</v>
      </c>
      <c r="C1159" s="22" t="s">
        <v>57</v>
      </c>
      <c r="D1159" s="48" t="s">
        <v>5</v>
      </c>
      <c r="E1159" t="s">
        <v>157</v>
      </c>
      <c r="F1159">
        <v>2018</v>
      </c>
      <c r="G1159" t="s">
        <v>319</v>
      </c>
      <c r="H1159" s="42" t="s">
        <v>544</v>
      </c>
      <c r="J1159" t="s">
        <v>248</v>
      </c>
      <c r="L1159" s="34">
        <v>5</v>
      </c>
      <c r="M1159" s="38">
        <v>0.75</v>
      </c>
      <c r="N1159" s="38">
        <f t="shared" si="18"/>
        <v>3.75</v>
      </c>
    </row>
    <row r="1160" spans="1:14">
      <c r="A1160" s="29">
        <v>43381</v>
      </c>
      <c r="B1160" s="22" t="s">
        <v>63</v>
      </c>
      <c r="C1160" s="22" t="s">
        <v>57</v>
      </c>
      <c r="D1160" s="48" t="s">
        <v>5</v>
      </c>
      <c r="E1160" t="s">
        <v>157</v>
      </c>
      <c r="F1160">
        <v>2018</v>
      </c>
      <c r="G1160" t="s">
        <v>326</v>
      </c>
      <c r="H1160" s="42" t="s">
        <v>57</v>
      </c>
      <c r="J1160" t="s">
        <v>248</v>
      </c>
      <c r="L1160" s="34">
        <v>5</v>
      </c>
      <c r="M1160" s="38">
        <v>0.75</v>
      </c>
      <c r="N1160" s="38">
        <f t="shared" si="18"/>
        <v>3.75</v>
      </c>
    </row>
    <row r="1161" spans="1:14">
      <c r="A1161" s="29">
        <v>43381</v>
      </c>
      <c r="B1161" s="22" t="s">
        <v>63</v>
      </c>
      <c r="C1161" s="22" t="s">
        <v>57</v>
      </c>
      <c r="D1161" s="48" t="s">
        <v>5</v>
      </c>
      <c r="E1161" t="s">
        <v>157</v>
      </c>
      <c r="F1161">
        <v>2018</v>
      </c>
      <c r="G1161" t="s">
        <v>247</v>
      </c>
      <c r="H1161" s="42" t="s">
        <v>545</v>
      </c>
      <c r="J1161" t="s">
        <v>248</v>
      </c>
      <c r="L1161" s="34">
        <v>5</v>
      </c>
      <c r="M1161" s="38">
        <v>0.75</v>
      </c>
      <c r="N1161" s="38">
        <f t="shared" si="18"/>
        <v>3.75</v>
      </c>
    </row>
    <row r="1162" spans="1:14">
      <c r="A1162" s="29">
        <v>43381</v>
      </c>
      <c r="B1162" s="22" t="s">
        <v>63</v>
      </c>
      <c r="C1162" s="22" t="s">
        <v>57</v>
      </c>
      <c r="D1162" s="48" t="s">
        <v>5</v>
      </c>
      <c r="E1162" t="s">
        <v>159</v>
      </c>
      <c r="F1162">
        <v>2018</v>
      </c>
      <c r="G1162" t="s">
        <v>319</v>
      </c>
      <c r="H1162" s="42" t="s">
        <v>57</v>
      </c>
      <c r="J1162" t="s">
        <v>248</v>
      </c>
      <c r="L1162" s="34">
        <v>5</v>
      </c>
      <c r="M1162" s="38">
        <v>0.75</v>
      </c>
      <c r="N1162" s="38">
        <f t="shared" si="18"/>
        <v>3.75</v>
      </c>
    </row>
    <row r="1163" spans="1:14">
      <c r="A1163" s="29">
        <v>43381</v>
      </c>
      <c r="B1163" s="22" t="s">
        <v>63</v>
      </c>
      <c r="C1163" s="22" t="s">
        <v>57</v>
      </c>
      <c r="D1163" s="48" t="s">
        <v>5</v>
      </c>
      <c r="E1163" t="s">
        <v>159</v>
      </c>
      <c r="F1163">
        <v>2018</v>
      </c>
      <c r="G1163" t="s">
        <v>326</v>
      </c>
      <c r="H1163" s="42" t="s">
        <v>57</v>
      </c>
      <c r="J1163" t="s">
        <v>248</v>
      </c>
      <c r="L1163" s="34">
        <v>5</v>
      </c>
      <c r="M1163" s="38">
        <v>0.75</v>
      </c>
      <c r="N1163" s="38">
        <f t="shared" si="18"/>
        <v>3.75</v>
      </c>
    </row>
    <row r="1164" spans="1:14">
      <c r="A1164" s="29">
        <v>43381</v>
      </c>
      <c r="B1164" s="22" t="s">
        <v>63</v>
      </c>
      <c r="C1164" s="22" t="s">
        <v>57</v>
      </c>
      <c r="D1164" s="48" t="s">
        <v>5</v>
      </c>
      <c r="E1164" t="s">
        <v>159</v>
      </c>
      <c r="F1164">
        <v>2018</v>
      </c>
      <c r="G1164" t="s">
        <v>247</v>
      </c>
      <c r="H1164" s="42" t="s">
        <v>57</v>
      </c>
      <c r="J1164" t="s">
        <v>248</v>
      </c>
      <c r="L1164" s="34">
        <v>5</v>
      </c>
      <c r="M1164" s="38">
        <v>0.75</v>
      </c>
      <c r="N1164" s="38">
        <f t="shared" si="18"/>
        <v>3.75</v>
      </c>
    </row>
    <row r="1165" spans="1:14">
      <c r="A1165" s="29">
        <v>43381</v>
      </c>
      <c r="B1165" s="22" t="s">
        <v>63</v>
      </c>
      <c r="C1165" s="22" t="s">
        <v>57</v>
      </c>
      <c r="D1165" s="48" t="s">
        <v>5</v>
      </c>
      <c r="E1165" t="s">
        <v>255</v>
      </c>
      <c r="F1165">
        <v>2018</v>
      </c>
      <c r="G1165" t="s">
        <v>57</v>
      </c>
      <c r="H1165" s="42">
        <v>307</v>
      </c>
      <c r="J1165" t="s">
        <v>248</v>
      </c>
      <c r="L1165" s="34">
        <v>5</v>
      </c>
      <c r="M1165" s="38">
        <v>0.75</v>
      </c>
      <c r="N1165" s="38">
        <f t="shared" si="18"/>
        <v>3.75</v>
      </c>
    </row>
    <row r="1166" spans="1:14">
      <c r="A1166" s="29">
        <v>43381</v>
      </c>
      <c r="B1166" s="22" t="s">
        <v>63</v>
      </c>
      <c r="C1166" s="22" t="s">
        <v>57</v>
      </c>
      <c r="D1166" s="48" t="s">
        <v>5</v>
      </c>
      <c r="E1166" t="s">
        <v>255</v>
      </c>
      <c r="F1166">
        <v>2018</v>
      </c>
      <c r="G1166" t="s">
        <v>57</v>
      </c>
      <c r="H1166" s="42">
        <v>309</v>
      </c>
      <c r="J1166" t="s">
        <v>248</v>
      </c>
      <c r="L1166" s="34">
        <v>5</v>
      </c>
      <c r="M1166" s="38">
        <v>0.75</v>
      </c>
      <c r="N1166" s="38">
        <f t="shared" si="18"/>
        <v>3.75</v>
      </c>
    </row>
    <row r="1167" spans="1:14">
      <c r="A1167" s="29">
        <v>43381</v>
      </c>
      <c r="B1167" s="22" t="s">
        <v>63</v>
      </c>
      <c r="C1167" s="22" t="s">
        <v>57</v>
      </c>
      <c r="D1167" s="48" t="s">
        <v>5</v>
      </c>
      <c r="E1167" t="s">
        <v>255</v>
      </c>
      <c r="F1167">
        <v>2018</v>
      </c>
      <c r="G1167" t="s">
        <v>57</v>
      </c>
      <c r="H1167" s="42">
        <v>37</v>
      </c>
      <c r="J1167" t="s">
        <v>248</v>
      </c>
      <c r="L1167" s="34">
        <v>5</v>
      </c>
      <c r="M1167" s="38">
        <v>0.75</v>
      </c>
      <c r="N1167" s="38">
        <f t="shared" si="18"/>
        <v>3.75</v>
      </c>
    </row>
    <row r="1168" spans="1:14">
      <c r="A1168" s="29">
        <v>43383</v>
      </c>
      <c r="B1168" s="22" t="s">
        <v>63</v>
      </c>
      <c r="C1168" s="22" t="s">
        <v>57</v>
      </c>
      <c r="D1168" s="48" t="s">
        <v>5</v>
      </c>
      <c r="E1168" t="s">
        <v>158</v>
      </c>
      <c r="F1168">
        <v>2018</v>
      </c>
      <c r="G1168" t="s">
        <v>57</v>
      </c>
      <c r="H1168" s="42">
        <v>14</v>
      </c>
      <c r="J1168" t="s">
        <v>248</v>
      </c>
      <c r="L1168" s="34">
        <v>2</v>
      </c>
      <c r="M1168" s="38">
        <v>0.75</v>
      </c>
      <c r="N1168" s="38">
        <f t="shared" si="18"/>
        <v>1.5</v>
      </c>
    </row>
    <row r="1169" spans="1:14">
      <c r="A1169" s="29">
        <v>43383</v>
      </c>
      <c r="B1169" s="22" t="s">
        <v>63</v>
      </c>
      <c r="C1169" s="22" t="s">
        <v>57</v>
      </c>
      <c r="D1169" s="48" t="s">
        <v>5</v>
      </c>
      <c r="E1169" t="s">
        <v>158</v>
      </c>
      <c r="F1169">
        <v>2018</v>
      </c>
      <c r="G1169" t="s">
        <v>57</v>
      </c>
      <c r="H1169" s="42">
        <v>33</v>
      </c>
      <c r="J1169" t="s">
        <v>248</v>
      </c>
      <c r="L1169" s="34">
        <v>4</v>
      </c>
      <c r="M1169" s="38">
        <v>0.75</v>
      </c>
      <c r="N1169" s="38">
        <f t="shared" si="18"/>
        <v>3</v>
      </c>
    </row>
    <row r="1170" spans="1:14">
      <c r="A1170" s="29">
        <v>43383</v>
      </c>
      <c r="B1170" s="22" t="s">
        <v>63</v>
      </c>
      <c r="C1170" s="22" t="s">
        <v>57</v>
      </c>
      <c r="D1170" s="48" t="s">
        <v>5</v>
      </c>
      <c r="E1170" t="s">
        <v>158</v>
      </c>
      <c r="F1170">
        <v>2018</v>
      </c>
      <c r="G1170" t="s">
        <v>57</v>
      </c>
      <c r="H1170" s="42">
        <v>302</v>
      </c>
      <c r="J1170" t="s">
        <v>248</v>
      </c>
      <c r="L1170" s="34">
        <v>4</v>
      </c>
      <c r="M1170" s="38">
        <v>0.75</v>
      </c>
      <c r="N1170" s="38">
        <f t="shared" si="18"/>
        <v>3</v>
      </c>
    </row>
    <row r="1171" spans="1:14">
      <c r="A1171" s="29">
        <v>43383</v>
      </c>
      <c r="B1171" s="22" t="s">
        <v>12</v>
      </c>
      <c r="C1171" s="22" t="s">
        <v>249</v>
      </c>
      <c r="D1171" s="48" t="s">
        <v>5</v>
      </c>
      <c r="E1171" t="s">
        <v>255</v>
      </c>
      <c r="F1171">
        <v>2018</v>
      </c>
      <c r="G1171" t="s">
        <v>247</v>
      </c>
      <c r="H1171" s="42" t="s">
        <v>57</v>
      </c>
      <c r="J1171" t="s">
        <v>248</v>
      </c>
      <c r="L1171" s="34">
        <v>2</v>
      </c>
      <c r="M1171" s="38">
        <v>0.75</v>
      </c>
      <c r="N1171" s="38">
        <f t="shared" si="18"/>
        <v>1.5</v>
      </c>
    </row>
    <row r="1172" spans="1:14">
      <c r="A1172" s="29">
        <v>43383</v>
      </c>
      <c r="B1172" s="22" t="s">
        <v>12</v>
      </c>
      <c r="C1172" s="22" t="s">
        <v>249</v>
      </c>
      <c r="D1172" s="48" t="s">
        <v>5</v>
      </c>
      <c r="E1172" t="s">
        <v>488</v>
      </c>
      <c r="F1172">
        <v>2018</v>
      </c>
      <c r="G1172" t="s">
        <v>546</v>
      </c>
      <c r="H1172" s="42" t="s">
        <v>57</v>
      </c>
      <c r="J1172" t="s">
        <v>248</v>
      </c>
      <c r="L1172" s="34">
        <v>2</v>
      </c>
      <c r="M1172" s="38">
        <v>0.75</v>
      </c>
      <c r="N1172" s="38">
        <f t="shared" si="18"/>
        <v>1.5</v>
      </c>
    </row>
    <row r="1173" spans="1:14">
      <c r="A1173" s="29">
        <v>43383</v>
      </c>
      <c r="B1173" s="22" t="s">
        <v>12</v>
      </c>
      <c r="C1173" s="22" t="s">
        <v>249</v>
      </c>
      <c r="D1173" s="48" t="s">
        <v>5</v>
      </c>
      <c r="E1173" t="s">
        <v>157</v>
      </c>
      <c r="F1173">
        <v>2018</v>
      </c>
      <c r="G1173" t="s">
        <v>247</v>
      </c>
      <c r="H1173" s="42" t="s">
        <v>545</v>
      </c>
      <c r="J1173" t="s">
        <v>248</v>
      </c>
      <c r="L1173" s="34">
        <v>2</v>
      </c>
      <c r="M1173" s="38">
        <v>0.75</v>
      </c>
      <c r="N1173" s="38">
        <f t="shared" si="18"/>
        <v>1.5</v>
      </c>
    </row>
    <row r="1174" spans="1:14">
      <c r="A1174" s="29">
        <v>43383</v>
      </c>
      <c r="B1174" s="22" t="s">
        <v>12</v>
      </c>
      <c r="C1174" s="22" t="s">
        <v>249</v>
      </c>
      <c r="D1174" s="48" t="s">
        <v>5</v>
      </c>
      <c r="E1174" t="s">
        <v>157</v>
      </c>
      <c r="F1174">
        <v>2018</v>
      </c>
      <c r="G1174" t="s">
        <v>326</v>
      </c>
      <c r="H1174" s="42" t="s">
        <v>57</v>
      </c>
      <c r="J1174" t="s">
        <v>248</v>
      </c>
      <c r="L1174" s="34">
        <v>2</v>
      </c>
      <c r="M1174" s="38">
        <v>0.75</v>
      </c>
      <c r="N1174" s="38">
        <f t="shared" si="18"/>
        <v>1.5</v>
      </c>
    </row>
    <row r="1175" spans="1:14">
      <c r="A1175" s="29">
        <v>43383</v>
      </c>
      <c r="B1175" s="22" t="s">
        <v>57</v>
      </c>
      <c r="C1175" s="22" t="s">
        <v>249</v>
      </c>
      <c r="D1175" s="48" t="s">
        <v>5</v>
      </c>
      <c r="E1175" t="s">
        <v>157</v>
      </c>
      <c r="F1175">
        <v>2018</v>
      </c>
      <c r="G1175" t="s">
        <v>57</v>
      </c>
      <c r="H1175" s="42">
        <v>204</v>
      </c>
      <c r="J1175" t="s">
        <v>248</v>
      </c>
      <c r="K1175" t="s">
        <v>547</v>
      </c>
      <c r="L1175" s="34">
        <v>2</v>
      </c>
      <c r="M1175" s="38">
        <v>0.75</v>
      </c>
      <c r="N1175" s="38">
        <f t="shared" si="18"/>
        <v>1.5</v>
      </c>
    </row>
    <row r="1176" spans="1:14">
      <c r="A1176" s="29">
        <v>43383</v>
      </c>
      <c r="B1176" s="22" t="s">
        <v>12</v>
      </c>
      <c r="C1176" s="22" t="s">
        <v>249</v>
      </c>
      <c r="D1176" s="48" t="s">
        <v>8</v>
      </c>
      <c r="E1176" t="s">
        <v>272</v>
      </c>
      <c r="F1176">
        <v>2018</v>
      </c>
      <c r="G1176" t="s">
        <v>479</v>
      </c>
      <c r="H1176" s="42" t="s">
        <v>57</v>
      </c>
      <c r="J1176" t="s">
        <v>248</v>
      </c>
      <c r="L1176" s="34">
        <v>2</v>
      </c>
      <c r="M1176" s="38">
        <v>0.75</v>
      </c>
      <c r="N1176" s="38">
        <f t="shared" si="18"/>
        <v>1.5</v>
      </c>
    </row>
    <row r="1177" spans="1:14">
      <c r="A1177" s="29">
        <v>43384</v>
      </c>
      <c r="B1177" s="22" t="s">
        <v>81</v>
      </c>
      <c r="C1177" s="22" t="s">
        <v>57</v>
      </c>
      <c r="D1177" s="48" t="s">
        <v>5</v>
      </c>
      <c r="E1177" t="s">
        <v>159</v>
      </c>
      <c r="F1177">
        <v>2018</v>
      </c>
      <c r="G1177" t="s">
        <v>247</v>
      </c>
      <c r="H1177" s="42" t="s">
        <v>57</v>
      </c>
      <c r="J1177" t="s">
        <v>248</v>
      </c>
      <c r="L1177" s="34">
        <v>4</v>
      </c>
      <c r="M1177" s="38">
        <v>0.75</v>
      </c>
      <c r="N1177" s="38">
        <f t="shared" si="18"/>
        <v>3</v>
      </c>
    </row>
    <row r="1178" spans="1:14">
      <c r="A1178" s="29">
        <v>43384</v>
      </c>
      <c r="B1178" s="22" t="s">
        <v>81</v>
      </c>
      <c r="C1178" s="22" t="s">
        <v>57</v>
      </c>
      <c r="D1178" s="48" t="s">
        <v>5</v>
      </c>
      <c r="E1178" t="s">
        <v>159</v>
      </c>
      <c r="F1178">
        <v>2018</v>
      </c>
      <c r="G1178" t="s">
        <v>326</v>
      </c>
      <c r="H1178" s="42" t="s">
        <v>57</v>
      </c>
      <c r="J1178" t="s">
        <v>248</v>
      </c>
      <c r="L1178" s="34">
        <v>4</v>
      </c>
      <c r="M1178" s="38">
        <v>0.75</v>
      </c>
      <c r="N1178" s="38">
        <f t="shared" si="18"/>
        <v>3</v>
      </c>
    </row>
    <row r="1179" spans="1:14">
      <c r="A1179" s="30">
        <v>43384</v>
      </c>
      <c r="B1179" s="26" t="s">
        <v>81</v>
      </c>
      <c r="C1179" s="26" t="s">
        <v>57</v>
      </c>
      <c r="D1179" s="48" t="s">
        <v>5</v>
      </c>
      <c r="E1179" t="s">
        <v>157</v>
      </c>
      <c r="F1179">
        <v>2018</v>
      </c>
      <c r="G1179" t="s">
        <v>319</v>
      </c>
      <c r="H1179" s="42" t="s">
        <v>544</v>
      </c>
      <c r="J1179" s="7" t="s">
        <v>248</v>
      </c>
      <c r="L1179" s="34">
        <v>3</v>
      </c>
      <c r="M1179" s="38">
        <v>0.75</v>
      </c>
      <c r="N1179" s="38">
        <f t="shared" si="18"/>
        <v>2.25</v>
      </c>
    </row>
    <row r="1180" spans="1:14">
      <c r="A1180" s="30">
        <v>43384</v>
      </c>
      <c r="B1180" s="26" t="s">
        <v>81</v>
      </c>
      <c r="C1180" s="26" t="s">
        <v>57</v>
      </c>
      <c r="D1180" s="48" t="s">
        <v>5</v>
      </c>
      <c r="E1180" t="s">
        <v>157</v>
      </c>
      <c r="F1180">
        <v>2018</v>
      </c>
      <c r="G1180" t="s">
        <v>253</v>
      </c>
      <c r="H1180" s="42" t="s">
        <v>545</v>
      </c>
      <c r="J1180" s="7" t="s">
        <v>248</v>
      </c>
      <c r="L1180" s="34">
        <v>1</v>
      </c>
      <c r="M1180" s="38">
        <v>0.75</v>
      </c>
      <c r="N1180" s="38">
        <f t="shared" si="18"/>
        <v>0.75</v>
      </c>
    </row>
    <row r="1181" spans="1:14">
      <c r="A1181" s="29">
        <v>43384</v>
      </c>
      <c r="B1181" s="22" t="s">
        <v>81</v>
      </c>
      <c r="C1181" s="22" t="s">
        <v>57</v>
      </c>
      <c r="D1181" s="48" t="s">
        <v>5</v>
      </c>
      <c r="E1181" t="s">
        <v>157</v>
      </c>
      <c r="F1181">
        <v>2018</v>
      </c>
      <c r="G1181" t="s">
        <v>326</v>
      </c>
      <c r="H1181" s="42" t="s">
        <v>57</v>
      </c>
      <c r="J1181" t="s">
        <v>248</v>
      </c>
      <c r="L1181" s="34">
        <v>2</v>
      </c>
      <c r="M1181" s="38">
        <v>0.75</v>
      </c>
      <c r="N1181" s="38">
        <f t="shared" si="18"/>
        <v>1.5</v>
      </c>
    </row>
    <row r="1182" spans="1:14">
      <c r="A1182" s="29">
        <v>43384</v>
      </c>
      <c r="B1182" s="22" t="s">
        <v>81</v>
      </c>
      <c r="C1182" s="22" t="s">
        <v>57</v>
      </c>
      <c r="D1182" s="48" t="s">
        <v>5</v>
      </c>
      <c r="E1182" t="s">
        <v>255</v>
      </c>
      <c r="F1182">
        <v>2018</v>
      </c>
      <c r="G1182" t="s">
        <v>253</v>
      </c>
      <c r="H1182" s="42" t="s">
        <v>57</v>
      </c>
      <c r="J1182" t="s">
        <v>248</v>
      </c>
      <c r="L1182" s="34">
        <v>2</v>
      </c>
      <c r="M1182" s="38">
        <v>0.75</v>
      </c>
      <c r="N1182" s="38">
        <f t="shared" si="18"/>
        <v>1.5</v>
      </c>
    </row>
    <row r="1183" spans="1:14">
      <c r="A1183" s="29">
        <v>43384</v>
      </c>
      <c r="B1183" s="22" t="s">
        <v>81</v>
      </c>
      <c r="C1183" s="22" t="s">
        <v>57</v>
      </c>
      <c r="D1183" s="48" t="s">
        <v>5</v>
      </c>
      <c r="E1183" t="s">
        <v>158</v>
      </c>
      <c r="F1183">
        <v>2018</v>
      </c>
      <c r="G1183" t="s">
        <v>57</v>
      </c>
      <c r="H1183" s="42">
        <v>14</v>
      </c>
      <c r="J1183" t="s">
        <v>248</v>
      </c>
      <c r="L1183" s="34">
        <v>2</v>
      </c>
      <c r="M1183" s="38">
        <v>0.75</v>
      </c>
      <c r="N1183" s="38">
        <f t="shared" si="18"/>
        <v>1.5</v>
      </c>
    </row>
    <row r="1184" spans="1:14">
      <c r="A1184" s="29">
        <v>43384</v>
      </c>
      <c r="B1184" s="22" t="s">
        <v>57</v>
      </c>
      <c r="C1184" s="22" t="s">
        <v>38</v>
      </c>
      <c r="D1184" s="48" t="s">
        <v>5</v>
      </c>
      <c r="E1184" t="s">
        <v>159</v>
      </c>
      <c r="F1184">
        <v>2018</v>
      </c>
      <c r="G1184" t="s">
        <v>253</v>
      </c>
      <c r="H1184" s="42" t="s">
        <v>57</v>
      </c>
      <c r="J1184" t="s">
        <v>248</v>
      </c>
      <c r="L1184" s="34">
        <v>1</v>
      </c>
      <c r="M1184" s="38">
        <v>0.75</v>
      </c>
      <c r="N1184" s="38">
        <f t="shared" si="18"/>
        <v>0.75</v>
      </c>
    </row>
    <row r="1185" spans="1:14">
      <c r="A1185" s="29">
        <v>43384</v>
      </c>
      <c r="B1185" s="22" t="s">
        <v>57</v>
      </c>
      <c r="C1185" s="22" t="s">
        <v>38</v>
      </c>
      <c r="D1185" s="48" t="s">
        <v>5</v>
      </c>
      <c r="E1185" t="s">
        <v>159</v>
      </c>
      <c r="F1185">
        <v>2018</v>
      </c>
      <c r="G1185" t="s">
        <v>319</v>
      </c>
      <c r="H1185" s="42" t="s">
        <v>57</v>
      </c>
      <c r="J1185" t="s">
        <v>248</v>
      </c>
      <c r="L1185" s="34">
        <v>3</v>
      </c>
      <c r="M1185" s="38">
        <v>0.75</v>
      </c>
      <c r="N1185" s="38">
        <f t="shared" si="18"/>
        <v>2.25</v>
      </c>
    </row>
    <row r="1186" spans="1:14">
      <c r="A1186" s="29">
        <v>43384</v>
      </c>
      <c r="B1186" s="22" t="s">
        <v>57</v>
      </c>
      <c r="C1186" s="22" t="s">
        <v>38</v>
      </c>
      <c r="D1186" s="48" t="s">
        <v>8</v>
      </c>
      <c r="E1186" t="s">
        <v>272</v>
      </c>
      <c r="F1186">
        <v>2018</v>
      </c>
      <c r="G1186" t="s">
        <v>479</v>
      </c>
      <c r="H1186" s="42" t="s">
        <v>57</v>
      </c>
      <c r="J1186" t="s">
        <v>248</v>
      </c>
      <c r="L1186" s="34">
        <v>3</v>
      </c>
      <c r="M1186" s="38">
        <v>0.75</v>
      </c>
      <c r="N1186" s="38">
        <f t="shared" si="18"/>
        <v>2.25</v>
      </c>
    </row>
    <row r="1187" spans="1:14">
      <c r="A1187" s="29">
        <v>43384</v>
      </c>
      <c r="B1187" s="22" t="s">
        <v>110</v>
      </c>
      <c r="C1187" s="22" t="s">
        <v>57</v>
      </c>
      <c r="D1187" s="48" t="s">
        <v>5</v>
      </c>
      <c r="E1187" t="s">
        <v>157</v>
      </c>
      <c r="F1187">
        <v>2018</v>
      </c>
      <c r="G1187" t="s">
        <v>319</v>
      </c>
      <c r="H1187" s="42" t="s">
        <v>544</v>
      </c>
      <c r="J1187" t="s">
        <v>248</v>
      </c>
      <c r="L1187" s="34">
        <v>3</v>
      </c>
      <c r="M1187" s="38">
        <v>0.75</v>
      </c>
      <c r="N1187" s="38">
        <f t="shared" si="18"/>
        <v>2.25</v>
      </c>
    </row>
    <row r="1188" spans="1:14">
      <c r="A1188" s="29">
        <v>43384</v>
      </c>
      <c r="B1188" s="22" t="s">
        <v>110</v>
      </c>
      <c r="C1188" s="22" t="s">
        <v>57</v>
      </c>
      <c r="D1188" s="48" t="s">
        <v>5</v>
      </c>
      <c r="E1188" t="s">
        <v>157</v>
      </c>
      <c r="F1188">
        <v>2018</v>
      </c>
      <c r="G1188" t="s">
        <v>326</v>
      </c>
      <c r="H1188" s="42" t="s">
        <v>57</v>
      </c>
      <c r="J1188" t="s">
        <v>248</v>
      </c>
      <c r="L1188" s="34">
        <v>3</v>
      </c>
      <c r="M1188" s="38">
        <v>0.75</v>
      </c>
      <c r="N1188" s="38">
        <f t="shared" si="18"/>
        <v>2.25</v>
      </c>
    </row>
    <row r="1189" spans="1:14">
      <c r="A1189" s="29">
        <v>43384</v>
      </c>
      <c r="B1189" s="22" t="s">
        <v>110</v>
      </c>
      <c r="C1189" s="22" t="s">
        <v>57</v>
      </c>
      <c r="D1189" s="48" t="s">
        <v>5</v>
      </c>
      <c r="E1189" t="s">
        <v>157</v>
      </c>
      <c r="F1189">
        <v>2018</v>
      </c>
      <c r="G1189" t="s">
        <v>247</v>
      </c>
      <c r="H1189" s="42" t="s">
        <v>545</v>
      </c>
      <c r="J1189" t="s">
        <v>248</v>
      </c>
      <c r="L1189" s="34">
        <v>3</v>
      </c>
      <c r="M1189" s="38">
        <v>0.75</v>
      </c>
      <c r="N1189" s="38">
        <f t="shared" si="18"/>
        <v>2.25</v>
      </c>
    </row>
    <row r="1190" spans="1:14">
      <c r="A1190" s="29">
        <v>43384</v>
      </c>
      <c r="B1190" s="22" t="s">
        <v>110</v>
      </c>
      <c r="C1190" s="22" t="s">
        <v>57</v>
      </c>
      <c r="D1190" s="48" t="s">
        <v>5</v>
      </c>
      <c r="E1190" t="s">
        <v>159</v>
      </c>
      <c r="F1190">
        <v>2018</v>
      </c>
      <c r="G1190" t="s">
        <v>319</v>
      </c>
      <c r="H1190" s="42" t="s">
        <v>57</v>
      </c>
      <c r="J1190" t="s">
        <v>248</v>
      </c>
      <c r="L1190" s="34">
        <v>3</v>
      </c>
      <c r="M1190" s="38">
        <v>0.75</v>
      </c>
      <c r="N1190" s="38">
        <f t="shared" si="18"/>
        <v>2.25</v>
      </c>
    </row>
    <row r="1191" spans="1:14">
      <c r="A1191" s="29">
        <v>43384</v>
      </c>
      <c r="B1191" s="22" t="s">
        <v>110</v>
      </c>
      <c r="C1191" s="22" t="s">
        <v>57</v>
      </c>
      <c r="D1191" s="48" t="s">
        <v>5</v>
      </c>
      <c r="E1191" t="s">
        <v>159</v>
      </c>
      <c r="F1191">
        <v>2018</v>
      </c>
      <c r="G1191" t="s">
        <v>326</v>
      </c>
      <c r="H1191" s="42" t="s">
        <v>57</v>
      </c>
      <c r="J1191" t="s">
        <v>248</v>
      </c>
      <c r="L1191" s="34">
        <v>3</v>
      </c>
      <c r="M1191" s="38">
        <v>0.75</v>
      </c>
      <c r="N1191" s="38">
        <f t="shared" si="18"/>
        <v>2.25</v>
      </c>
    </row>
    <row r="1192" spans="1:14">
      <c r="A1192" s="29">
        <v>43384</v>
      </c>
      <c r="B1192" s="22" t="s">
        <v>110</v>
      </c>
      <c r="C1192" s="22" t="s">
        <v>57</v>
      </c>
      <c r="D1192" s="48" t="s">
        <v>5</v>
      </c>
      <c r="E1192" t="s">
        <v>159</v>
      </c>
      <c r="F1192">
        <v>2018</v>
      </c>
      <c r="G1192" t="s">
        <v>247</v>
      </c>
      <c r="H1192" s="42" t="s">
        <v>57</v>
      </c>
      <c r="J1192" t="s">
        <v>248</v>
      </c>
      <c r="L1192" s="34">
        <v>3</v>
      </c>
      <c r="M1192" s="38">
        <v>0.75</v>
      </c>
      <c r="N1192" s="38">
        <f t="shared" si="18"/>
        <v>2.25</v>
      </c>
    </row>
    <row r="1193" spans="1:14">
      <c r="A1193" s="29">
        <v>43384</v>
      </c>
      <c r="B1193" s="22" t="s">
        <v>110</v>
      </c>
      <c r="C1193" s="22" t="s">
        <v>57</v>
      </c>
      <c r="D1193" s="48" t="s">
        <v>5</v>
      </c>
      <c r="E1193" t="s">
        <v>255</v>
      </c>
      <c r="F1193">
        <v>2018</v>
      </c>
      <c r="G1193" t="s">
        <v>247</v>
      </c>
      <c r="H1193" s="42" t="s">
        <v>57</v>
      </c>
      <c r="J1193" t="s">
        <v>248</v>
      </c>
      <c r="L1193" s="34">
        <v>3</v>
      </c>
      <c r="M1193" s="38">
        <v>0.75</v>
      </c>
      <c r="N1193" s="38">
        <f t="shared" si="18"/>
        <v>2.25</v>
      </c>
    </row>
    <row r="1194" spans="1:14">
      <c r="A1194" s="29">
        <v>43384</v>
      </c>
      <c r="B1194" s="22" t="s">
        <v>110</v>
      </c>
      <c r="C1194" s="22" t="s">
        <v>57</v>
      </c>
      <c r="D1194" s="48" t="s">
        <v>5</v>
      </c>
      <c r="E1194" t="s">
        <v>255</v>
      </c>
      <c r="F1194">
        <v>2018</v>
      </c>
      <c r="G1194" t="s">
        <v>319</v>
      </c>
      <c r="H1194" s="42" t="s">
        <v>57</v>
      </c>
      <c r="J1194" t="s">
        <v>248</v>
      </c>
      <c r="L1194" s="34">
        <v>3</v>
      </c>
      <c r="M1194" s="38">
        <v>0.75</v>
      </c>
      <c r="N1194" s="38">
        <f t="shared" si="18"/>
        <v>2.25</v>
      </c>
    </row>
    <row r="1195" spans="1:14">
      <c r="A1195" s="29">
        <v>43388</v>
      </c>
      <c r="B1195" s="22" t="s">
        <v>63</v>
      </c>
      <c r="C1195" s="22" t="s">
        <v>57</v>
      </c>
      <c r="D1195" s="48" t="s">
        <v>5</v>
      </c>
      <c r="E1195" t="s">
        <v>157</v>
      </c>
      <c r="F1195">
        <v>2018</v>
      </c>
      <c r="G1195" t="s">
        <v>319</v>
      </c>
      <c r="H1195" s="42" t="s">
        <v>544</v>
      </c>
      <c r="J1195" t="s">
        <v>248</v>
      </c>
      <c r="L1195" s="34">
        <v>6</v>
      </c>
      <c r="M1195" s="38">
        <v>0.75</v>
      </c>
      <c r="N1195" s="38">
        <f t="shared" si="18"/>
        <v>4.5</v>
      </c>
    </row>
    <row r="1196" spans="1:14">
      <c r="A1196" s="29">
        <v>43388</v>
      </c>
      <c r="B1196" s="22" t="s">
        <v>63</v>
      </c>
      <c r="C1196" s="22" t="s">
        <v>57</v>
      </c>
      <c r="D1196" s="48" t="s">
        <v>5</v>
      </c>
      <c r="E1196" t="s">
        <v>157</v>
      </c>
      <c r="F1196">
        <v>2018</v>
      </c>
      <c r="G1196" t="s">
        <v>326</v>
      </c>
      <c r="H1196" s="42" t="s">
        <v>57</v>
      </c>
      <c r="J1196" t="s">
        <v>248</v>
      </c>
      <c r="L1196" s="34">
        <v>6</v>
      </c>
      <c r="M1196" s="38">
        <v>0.75</v>
      </c>
      <c r="N1196" s="38">
        <f t="shared" si="18"/>
        <v>4.5</v>
      </c>
    </row>
    <row r="1197" spans="1:14">
      <c r="A1197" s="29">
        <v>43388</v>
      </c>
      <c r="B1197" s="22" t="s">
        <v>63</v>
      </c>
      <c r="C1197" s="22" t="s">
        <v>57</v>
      </c>
      <c r="D1197" s="48" t="s">
        <v>5</v>
      </c>
      <c r="E1197" t="s">
        <v>157</v>
      </c>
      <c r="F1197">
        <v>2018</v>
      </c>
      <c r="G1197" t="s">
        <v>247</v>
      </c>
      <c r="H1197" s="42" t="s">
        <v>545</v>
      </c>
      <c r="J1197" t="s">
        <v>248</v>
      </c>
      <c r="L1197" s="34">
        <v>6</v>
      </c>
      <c r="M1197" s="38">
        <v>0.75</v>
      </c>
      <c r="N1197" s="38">
        <f t="shared" si="18"/>
        <v>4.5</v>
      </c>
    </row>
    <row r="1198" spans="1:14">
      <c r="A1198" s="29">
        <v>43388</v>
      </c>
      <c r="B1198" s="22" t="s">
        <v>63</v>
      </c>
      <c r="C1198" s="22" t="s">
        <v>57</v>
      </c>
      <c r="D1198" s="48" t="s">
        <v>5</v>
      </c>
      <c r="E1198" t="s">
        <v>159</v>
      </c>
      <c r="F1198">
        <v>2018</v>
      </c>
      <c r="G1198" t="s">
        <v>319</v>
      </c>
      <c r="H1198" s="42" t="s">
        <v>57</v>
      </c>
      <c r="J1198" t="s">
        <v>248</v>
      </c>
      <c r="L1198" s="34">
        <v>6</v>
      </c>
      <c r="M1198" s="38">
        <v>0.75</v>
      </c>
      <c r="N1198" s="38">
        <f t="shared" si="18"/>
        <v>4.5</v>
      </c>
    </row>
    <row r="1199" spans="1:14">
      <c r="A1199" s="29">
        <v>43388</v>
      </c>
      <c r="B1199" s="22" t="s">
        <v>63</v>
      </c>
      <c r="C1199" s="22" t="s">
        <v>57</v>
      </c>
      <c r="D1199" s="48" t="s">
        <v>5</v>
      </c>
      <c r="E1199" t="s">
        <v>159</v>
      </c>
      <c r="F1199">
        <v>2018</v>
      </c>
      <c r="G1199" t="s">
        <v>326</v>
      </c>
      <c r="H1199" s="42" t="s">
        <v>57</v>
      </c>
      <c r="J1199" t="s">
        <v>248</v>
      </c>
      <c r="L1199" s="34">
        <v>6</v>
      </c>
      <c r="M1199" s="38">
        <v>0.75</v>
      </c>
      <c r="N1199" s="38">
        <f t="shared" si="18"/>
        <v>4.5</v>
      </c>
    </row>
    <row r="1200" spans="1:14">
      <c r="A1200" s="29">
        <v>43388</v>
      </c>
      <c r="B1200" s="22" t="s">
        <v>63</v>
      </c>
      <c r="C1200" s="22" t="s">
        <v>57</v>
      </c>
      <c r="D1200" s="48" t="s">
        <v>5</v>
      </c>
      <c r="E1200" t="s">
        <v>159</v>
      </c>
      <c r="F1200">
        <v>2018</v>
      </c>
      <c r="G1200" t="s">
        <v>247</v>
      </c>
      <c r="H1200" s="42" t="s">
        <v>57</v>
      </c>
      <c r="J1200" t="s">
        <v>248</v>
      </c>
      <c r="L1200" s="34">
        <v>6</v>
      </c>
      <c r="M1200" s="38">
        <v>0.75</v>
      </c>
      <c r="N1200" s="38">
        <f t="shared" si="18"/>
        <v>4.5</v>
      </c>
    </row>
    <row r="1201" spans="1:14">
      <c r="A1201" s="29">
        <v>43388</v>
      </c>
      <c r="B1201" s="22" t="s">
        <v>63</v>
      </c>
      <c r="C1201" s="22" t="s">
        <v>57</v>
      </c>
      <c r="D1201" s="48" t="s">
        <v>8</v>
      </c>
      <c r="E1201" t="s">
        <v>272</v>
      </c>
      <c r="F1201">
        <v>2018</v>
      </c>
      <c r="G1201" t="s">
        <v>374</v>
      </c>
      <c r="H1201" s="42" t="s">
        <v>57</v>
      </c>
      <c r="J1201" t="s">
        <v>248</v>
      </c>
      <c r="L1201" s="34">
        <v>6</v>
      </c>
      <c r="M1201" s="38">
        <v>0.75</v>
      </c>
      <c r="N1201" s="38">
        <f t="shared" si="18"/>
        <v>4.5</v>
      </c>
    </row>
    <row r="1202" spans="1:14">
      <c r="A1202" s="29">
        <v>43388</v>
      </c>
      <c r="B1202" s="22" t="s">
        <v>63</v>
      </c>
      <c r="C1202" s="22" t="s">
        <v>57</v>
      </c>
      <c r="D1202" s="48" t="s">
        <v>8</v>
      </c>
      <c r="E1202" t="s">
        <v>272</v>
      </c>
      <c r="F1202">
        <v>2018</v>
      </c>
      <c r="G1202" t="s">
        <v>548</v>
      </c>
      <c r="H1202" s="42">
        <v>412</v>
      </c>
      <c r="J1202" t="s">
        <v>248</v>
      </c>
      <c r="L1202" s="34">
        <v>6</v>
      </c>
      <c r="M1202" s="38">
        <v>0.75</v>
      </c>
      <c r="N1202" s="38">
        <f t="shared" si="18"/>
        <v>4.5</v>
      </c>
    </row>
    <row r="1203" spans="1:14">
      <c r="A1203" s="29">
        <v>43389</v>
      </c>
      <c r="B1203" s="22" t="s">
        <v>63</v>
      </c>
      <c r="C1203" s="22" t="s">
        <v>57</v>
      </c>
      <c r="D1203" s="48" t="s">
        <v>5</v>
      </c>
      <c r="E1203" t="s">
        <v>255</v>
      </c>
      <c r="F1203">
        <v>2018</v>
      </c>
      <c r="G1203" t="s">
        <v>549</v>
      </c>
      <c r="H1203" s="42" t="s">
        <v>57</v>
      </c>
      <c r="J1203" t="s">
        <v>248</v>
      </c>
      <c r="L1203" s="34">
        <v>2</v>
      </c>
      <c r="M1203" s="38">
        <v>0.75</v>
      </c>
      <c r="N1203" s="38">
        <f t="shared" si="18"/>
        <v>1.5</v>
      </c>
    </row>
    <row r="1204" spans="1:14">
      <c r="A1204" s="29">
        <v>43389</v>
      </c>
      <c r="B1204" s="22" t="s">
        <v>63</v>
      </c>
      <c r="C1204" s="22" t="s">
        <v>57</v>
      </c>
      <c r="D1204" s="48" t="s">
        <v>5</v>
      </c>
      <c r="E1204" t="s">
        <v>158</v>
      </c>
      <c r="F1204">
        <v>2018</v>
      </c>
      <c r="G1204" t="s">
        <v>57</v>
      </c>
      <c r="H1204" s="42">
        <v>33</v>
      </c>
      <c r="J1204" t="s">
        <v>248</v>
      </c>
      <c r="L1204" s="34">
        <v>1</v>
      </c>
      <c r="M1204" s="38">
        <v>0.75</v>
      </c>
      <c r="N1204" s="38">
        <f t="shared" si="18"/>
        <v>0.75</v>
      </c>
    </row>
    <row r="1205" spans="1:14">
      <c r="A1205" s="29">
        <v>43389</v>
      </c>
      <c r="B1205" s="22" t="s">
        <v>63</v>
      </c>
      <c r="C1205" s="22" t="s">
        <v>57</v>
      </c>
      <c r="D1205" s="48" t="s">
        <v>5</v>
      </c>
      <c r="E1205" t="s">
        <v>158</v>
      </c>
      <c r="F1205">
        <v>2018</v>
      </c>
      <c r="G1205" t="s">
        <v>57</v>
      </c>
      <c r="H1205" s="42">
        <v>14</v>
      </c>
      <c r="J1205" t="s">
        <v>248</v>
      </c>
      <c r="L1205" s="34">
        <v>1</v>
      </c>
      <c r="M1205" s="38">
        <v>0.75</v>
      </c>
      <c r="N1205" s="38">
        <f t="shared" si="18"/>
        <v>0.75</v>
      </c>
    </row>
    <row r="1206" spans="1:14">
      <c r="A1206" s="29">
        <v>43389</v>
      </c>
      <c r="B1206" s="22" t="s">
        <v>57</v>
      </c>
      <c r="C1206" s="22" t="s">
        <v>49</v>
      </c>
      <c r="D1206" s="48" t="s">
        <v>5</v>
      </c>
      <c r="E1206" t="s">
        <v>262</v>
      </c>
      <c r="F1206">
        <v>2018</v>
      </c>
      <c r="G1206" t="s">
        <v>57</v>
      </c>
      <c r="H1206" s="42">
        <v>201</v>
      </c>
      <c r="J1206" t="s">
        <v>248</v>
      </c>
      <c r="L1206" s="34">
        <v>3</v>
      </c>
      <c r="M1206" s="38">
        <v>0.75</v>
      </c>
      <c r="N1206" s="38">
        <f t="shared" si="18"/>
        <v>2.25</v>
      </c>
    </row>
    <row r="1207" spans="1:14">
      <c r="A1207" s="29">
        <v>43389</v>
      </c>
      <c r="B1207" s="22" t="s">
        <v>57</v>
      </c>
      <c r="C1207" s="22" t="s">
        <v>49</v>
      </c>
      <c r="D1207" s="48" t="s">
        <v>5</v>
      </c>
      <c r="E1207" t="s">
        <v>161</v>
      </c>
      <c r="F1207">
        <v>2018</v>
      </c>
      <c r="G1207" t="s">
        <v>57</v>
      </c>
      <c r="H1207" s="42">
        <v>29</v>
      </c>
      <c r="J1207" t="s">
        <v>248</v>
      </c>
      <c r="L1207" s="34">
        <v>3</v>
      </c>
      <c r="M1207" s="38">
        <v>0.75</v>
      </c>
      <c r="N1207" s="38">
        <f t="shared" si="18"/>
        <v>2.25</v>
      </c>
    </row>
    <row r="1208" spans="1:14">
      <c r="A1208" s="29">
        <v>43389</v>
      </c>
      <c r="B1208" s="22" t="s">
        <v>57</v>
      </c>
      <c r="C1208" s="22" t="s">
        <v>49</v>
      </c>
      <c r="D1208" s="48" t="s">
        <v>5</v>
      </c>
      <c r="E1208" t="s">
        <v>267</v>
      </c>
      <c r="F1208">
        <v>2018</v>
      </c>
      <c r="G1208" t="s">
        <v>57</v>
      </c>
      <c r="H1208" s="42">
        <v>91</v>
      </c>
      <c r="J1208" t="s">
        <v>248</v>
      </c>
      <c r="L1208" s="34">
        <v>3</v>
      </c>
      <c r="M1208" s="38">
        <v>0.75</v>
      </c>
      <c r="N1208" s="38">
        <f t="shared" si="18"/>
        <v>2.25</v>
      </c>
    </row>
    <row r="1209" spans="1:14">
      <c r="A1209" s="29">
        <v>43389</v>
      </c>
      <c r="B1209" s="22" t="s">
        <v>57</v>
      </c>
      <c r="C1209" s="22" t="s">
        <v>49</v>
      </c>
      <c r="D1209" s="48" t="s">
        <v>5</v>
      </c>
      <c r="E1209" t="s">
        <v>287</v>
      </c>
      <c r="F1209">
        <v>2018</v>
      </c>
      <c r="G1209" t="s">
        <v>57</v>
      </c>
      <c r="H1209" s="42">
        <v>87</v>
      </c>
      <c r="J1209" t="s">
        <v>248</v>
      </c>
      <c r="L1209" s="34">
        <v>3</v>
      </c>
      <c r="M1209" s="38">
        <v>0.75</v>
      </c>
      <c r="N1209" s="38">
        <f t="shared" si="18"/>
        <v>2.25</v>
      </c>
    </row>
    <row r="1210" spans="1:14">
      <c r="A1210" s="29">
        <v>43389</v>
      </c>
      <c r="B1210" s="22" t="s">
        <v>57</v>
      </c>
      <c r="C1210" s="22" t="s">
        <v>49</v>
      </c>
      <c r="D1210" s="48" t="s">
        <v>5</v>
      </c>
      <c r="E1210" t="s">
        <v>158</v>
      </c>
      <c r="F1210">
        <v>2018</v>
      </c>
      <c r="G1210" t="s">
        <v>57</v>
      </c>
      <c r="H1210" s="42">
        <v>14</v>
      </c>
      <c r="J1210" t="s">
        <v>248</v>
      </c>
      <c r="L1210" s="34">
        <v>3</v>
      </c>
      <c r="M1210" s="38">
        <v>0.75</v>
      </c>
      <c r="N1210" s="38">
        <f t="shared" si="18"/>
        <v>2.25</v>
      </c>
    </row>
    <row r="1211" spans="1:14">
      <c r="A1211" s="29">
        <v>43389</v>
      </c>
      <c r="B1211" s="22" t="s">
        <v>57</v>
      </c>
      <c r="C1211" s="22" t="s">
        <v>49</v>
      </c>
      <c r="D1211" s="48" t="s">
        <v>5</v>
      </c>
      <c r="E1211" t="s">
        <v>158</v>
      </c>
      <c r="F1211">
        <v>2018</v>
      </c>
      <c r="G1211" t="s">
        <v>57</v>
      </c>
      <c r="H1211" s="42">
        <v>33</v>
      </c>
      <c r="J1211" t="s">
        <v>248</v>
      </c>
      <c r="L1211" s="34">
        <v>3</v>
      </c>
      <c r="M1211" s="38">
        <v>0.75</v>
      </c>
      <c r="N1211" s="38">
        <f t="shared" si="18"/>
        <v>2.25</v>
      </c>
    </row>
    <row r="1212" spans="1:14">
      <c r="A1212" s="29">
        <v>43389</v>
      </c>
      <c r="B1212" s="22" t="s">
        <v>57</v>
      </c>
      <c r="C1212" s="22" t="s">
        <v>49</v>
      </c>
      <c r="D1212" s="48" t="s">
        <v>5</v>
      </c>
      <c r="E1212" t="s">
        <v>255</v>
      </c>
      <c r="F1212">
        <v>2018</v>
      </c>
      <c r="G1212" t="s">
        <v>247</v>
      </c>
      <c r="H1212" s="42" t="s">
        <v>57</v>
      </c>
      <c r="J1212" t="s">
        <v>248</v>
      </c>
      <c r="L1212" s="34">
        <v>3</v>
      </c>
      <c r="M1212" s="38">
        <v>0.75</v>
      </c>
      <c r="N1212" s="38">
        <f t="shared" si="18"/>
        <v>2.25</v>
      </c>
    </row>
    <row r="1213" spans="1:14">
      <c r="A1213" s="29">
        <v>43389</v>
      </c>
      <c r="B1213" s="22" t="s">
        <v>57</v>
      </c>
      <c r="C1213" s="22" t="s">
        <v>49</v>
      </c>
      <c r="D1213" s="48" t="s">
        <v>5</v>
      </c>
      <c r="E1213" t="s">
        <v>157</v>
      </c>
      <c r="F1213">
        <v>2018</v>
      </c>
      <c r="G1213" t="s">
        <v>247</v>
      </c>
      <c r="H1213" s="42" t="s">
        <v>545</v>
      </c>
      <c r="J1213" t="s">
        <v>248</v>
      </c>
      <c r="L1213" s="34">
        <v>3</v>
      </c>
      <c r="M1213" s="38">
        <v>0.75</v>
      </c>
      <c r="N1213" s="38">
        <f t="shared" si="18"/>
        <v>2.25</v>
      </c>
    </row>
    <row r="1214" spans="1:14">
      <c r="A1214" s="29">
        <v>43389</v>
      </c>
      <c r="B1214" s="22" t="s">
        <v>57</v>
      </c>
      <c r="C1214" s="22" t="s">
        <v>49</v>
      </c>
      <c r="D1214" s="48" t="s">
        <v>5</v>
      </c>
      <c r="E1214" t="s">
        <v>157</v>
      </c>
      <c r="F1214">
        <v>2018</v>
      </c>
      <c r="G1214" t="s">
        <v>326</v>
      </c>
      <c r="H1214" s="42" t="s">
        <v>57</v>
      </c>
      <c r="J1214" t="s">
        <v>248</v>
      </c>
      <c r="L1214" s="34">
        <v>3</v>
      </c>
      <c r="M1214" s="38">
        <v>0.75</v>
      </c>
      <c r="N1214" s="38">
        <f t="shared" si="18"/>
        <v>2.25</v>
      </c>
    </row>
    <row r="1215" spans="1:14">
      <c r="A1215" s="29">
        <v>43389</v>
      </c>
      <c r="B1215" s="22" t="s">
        <v>57</v>
      </c>
      <c r="C1215" s="22" t="s">
        <v>49</v>
      </c>
      <c r="D1215" s="48" t="s">
        <v>5</v>
      </c>
      <c r="E1215" t="s">
        <v>157</v>
      </c>
      <c r="F1215">
        <v>2018</v>
      </c>
      <c r="G1215" t="s">
        <v>319</v>
      </c>
      <c r="H1215" s="42" t="s">
        <v>57</v>
      </c>
      <c r="J1215" t="s">
        <v>248</v>
      </c>
      <c r="L1215" s="34">
        <v>3</v>
      </c>
      <c r="M1215" s="38">
        <v>0.75</v>
      </c>
      <c r="N1215" s="38">
        <f t="shared" si="18"/>
        <v>2.25</v>
      </c>
    </row>
    <row r="1216" spans="1:14">
      <c r="A1216" s="29">
        <v>43389</v>
      </c>
      <c r="B1216" s="22" t="s">
        <v>19</v>
      </c>
      <c r="C1216" s="22" t="s">
        <v>47</v>
      </c>
      <c r="D1216" s="48" t="s">
        <v>5</v>
      </c>
      <c r="E1216" t="s">
        <v>161</v>
      </c>
      <c r="F1216">
        <v>2018</v>
      </c>
      <c r="G1216" t="s">
        <v>57</v>
      </c>
      <c r="H1216" s="42">
        <v>25</v>
      </c>
      <c r="J1216" t="s">
        <v>248</v>
      </c>
      <c r="L1216" s="34">
        <v>1</v>
      </c>
      <c r="M1216" s="38">
        <v>0.75</v>
      </c>
      <c r="N1216" s="38">
        <f t="shared" si="18"/>
        <v>0.75</v>
      </c>
    </row>
    <row r="1217" spans="1:14">
      <c r="A1217" s="29">
        <v>43389</v>
      </c>
      <c r="B1217" s="22" t="s">
        <v>19</v>
      </c>
      <c r="C1217" s="22" t="s">
        <v>47</v>
      </c>
      <c r="D1217" s="48" t="s">
        <v>5</v>
      </c>
      <c r="E1217" t="s">
        <v>161</v>
      </c>
      <c r="F1217">
        <v>2018</v>
      </c>
      <c r="G1217" t="s">
        <v>57</v>
      </c>
      <c r="H1217" s="42">
        <v>29</v>
      </c>
      <c r="J1217" t="s">
        <v>248</v>
      </c>
      <c r="L1217" s="34">
        <v>1</v>
      </c>
      <c r="M1217" s="38">
        <v>0.75</v>
      </c>
      <c r="N1217" s="38">
        <f t="shared" si="18"/>
        <v>0.75</v>
      </c>
    </row>
    <row r="1218" spans="1:14">
      <c r="A1218" s="29">
        <v>43389</v>
      </c>
      <c r="B1218" s="22" t="s">
        <v>19</v>
      </c>
      <c r="C1218" s="22" t="s">
        <v>47</v>
      </c>
      <c r="D1218" s="48" t="s">
        <v>5</v>
      </c>
      <c r="E1218" t="s">
        <v>255</v>
      </c>
      <c r="F1218">
        <v>2018</v>
      </c>
      <c r="G1218" t="s">
        <v>319</v>
      </c>
      <c r="H1218" s="42" t="s">
        <v>57</v>
      </c>
      <c r="J1218" t="s">
        <v>248</v>
      </c>
      <c r="L1218" s="34">
        <v>1</v>
      </c>
      <c r="M1218" s="38">
        <v>0.75</v>
      </c>
      <c r="N1218" s="38">
        <f t="shared" si="18"/>
        <v>0.75</v>
      </c>
    </row>
    <row r="1219" spans="1:14">
      <c r="A1219" s="29">
        <v>43389</v>
      </c>
      <c r="B1219" s="22" t="s">
        <v>19</v>
      </c>
      <c r="C1219" s="22" t="s">
        <v>47</v>
      </c>
      <c r="D1219" s="48" t="s">
        <v>5</v>
      </c>
      <c r="E1219" t="s">
        <v>255</v>
      </c>
      <c r="F1219">
        <v>2018</v>
      </c>
      <c r="G1219" t="s">
        <v>247</v>
      </c>
      <c r="H1219" s="42" t="s">
        <v>57</v>
      </c>
      <c r="J1219" t="s">
        <v>248</v>
      </c>
      <c r="L1219" s="34">
        <v>1</v>
      </c>
      <c r="M1219" s="38">
        <v>0.75</v>
      </c>
      <c r="N1219" s="38">
        <f t="shared" ref="N1219:N1282" si="19">M1219*L1219</f>
        <v>0.75</v>
      </c>
    </row>
    <row r="1220" spans="1:14">
      <c r="A1220" s="29">
        <v>43389</v>
      </c>
      <c r="B1220" s="22" t="s">
        <v>19</v>
      </c>
      <c r="C1220" s="22" t="s">
        <v>47</v>
      </c>
      <c r="D1220" s="48" t="s">
        <v>5</v>
      </c>
      <c r="E1220" t="s">
        <v>262</v>
      </c>
      <c r="F1220">
        <v>2018</v>
      </c>
      <c r="G1220" t="s">
        <v>57</v>
      </c>
      <c r="H1220" s="42">
        <v>201</v>
      </c>
      <c r="J1220" t="s">
        <v>248</v>
      </c>
      <c r="L1220" s="34">
        <v>1</v>
      </c>
      <c r="M1220" s="38">
        <v>0.75</v>
      </c>
      <c r="N1220" s="38">
        <f t="shared" si="19"/>
        <v>0.75</v>
      </c>
    </row>
    <row r="1221" spans="1:14">
      <c r="A1221" s="29">
        <v>43389</v>
      </c>
      <c r="B1221" s="22" t="s">
        <v>110</v>
      </c>
      <c r="C1221" s="22" t="s">
        <v>57</v>
      </c>
      <c r="D1221" s="48" t="s">
        <v>8</v>
      </c>
      <c r="E1221" t="s">
        <v>272</v>
      </c>
      <c r="F1221">
        <v>2018</v>
      </c>
      <c r="G1221" t="s">
        <v>374</v>
      </c>
      <c r="H1221" s="42" t="s">
        <v>57</v>
      </c>
      <c r="J1221" t="s">
        <v>248</v>
      </c>
      <c r="L1221" s="34">
        <v>3</v>
      </c>
      <c r="M1221" s="38">
        <v>0.75</v>
      </c>
      <c r="N1221" s="38">
        <f t="shared" si="19"/>
        <v>2.25</v>
      </c>
    </row>
    <row r="1222" spans="1:14">
      <c r="A1222" s="29">
        <v>43389</v>
      </c>
      <c r="B1222" s="22" t="s">
        <v>110</v>
      </c>
      <c r="C1222" s="22" t="s">
        <v>57</v>
      </c>
      <c r="D1222" s="48" t="s">
        <v>8</v>
      </c>
      <c r="E1222" t="s">
        <v>272</v>
      </c>
      <c r="F1222">
        <v>2018</v>
      </c>
      <c r="G1222" t="s">
        <v>550</v>
      </c>
      <c r="H1222" s="42">
        <v>412</v>
      </c>
      <c r="J1222" t="s">
        <v>248</v>
      </c>
      <c r="L1222" s="34">
        <v>3</v>
      </c>
      <c r="M1222" s="38">
        <v>0.75</v>
      </c>
      <c r="N1222" s="38">
        <f t="shared" si="19"/>
        <v>2.25</v>
      </c>
    </row>
    <row r="1223" spans="1:14">
      <c r="A1223" s="29">
        <v>43390</v>
      </c>
      <c r="B1223" s="22" t="s">
        <v>28</v>
      </c>
      <c r="C1223" s="22" t="s">
        <v>271</v>
      </c>
      <c r="D1223" s="48" t="s">
        <v>5</v>
      </c>
      <c r="E1223" t="s">
        <v>157</v>
      </c>
      <c r="F1223">
        <v>2018</v>
      </c>
      <c r="G1223" t="s">
        <v>319</v>
      </c>
      <c r="H1223" s="42" t="s">
        <v>544</v>
      </c>
      <c r="J1223" t="s">
        <v>248</v>
      </c>
      <c r="L1223" s="34">
        <v>6</v>
      </c>
      <c r="M1223" s="38">
        <v>0.75</v>
      </c>
      <c r="N1223" s="38">
        <f t="shared" si="19"/>
        <v>4.5</v>
      </c>
    </row>
    <row r="1224" spans="1:14">
      <c r="A1224" s="29">
        <v>43390</v>
      </c>
      <c r="B1224" s="22" t="s">
        <v>28</v>
      </c>
      <c r="C1224" s="22" t="s">
        <v>271</v>
      </c>
      <c r="D1224" s="48" t="s">
        <v>5</v>
      </c>
      <c r="E1224" t="s">
        <v>157</v>
      </c>
      <c r="F1224">
        <v>2018</v>
      </c>
      <c r="G1224" t="s">
        <v>326</v>
      </c>
      <c r="H1224" s="42" t="s">
        <v>57</v>
      </c>
      <c r="J1224" t="s">
        <v>248</v>
      </c>
      <c r="L1224" s="34">
        <v>6</v>
      </c>
      <c r="M1224" s="38">
        <v>0.75</v>
      </c>
      <c r="N1224" s="38">
        <f t="shared" si="19"/>
        <v>4.5</v>
      </c>
    </row>
    <row r="1225" spans="1:14">
      <c r="A1225" s="29">
        <v>43390</v>
      </c>
      <c r="B1225" s="22" t="s">
        <v>28</v>
      </c>
      <c r="C1225" s="22" t="s">
        <v>271</v>
      </c>
      <c r="D1225" s="48" t="s">
        <v>5</v>
      </c>
      <c r="E1225" t="s">
        <v>157</v>
      </c>
      <c r="F1225">
        <v>2018</v>
      </c>
      <c r="G1225" t="s">
        <v>247</v>
      </c>
      <c r="H1225" s="42" t="s">
        <v>545</v>
      </c>
      <c r="J1225" t="s">
        <v>248</v>
      </c>
      <c r="L1225" s="34">
        <v>6</v>
      </c>
      <c r="M1225" s="38">
        <v>0.75</v>
      </c>
      <c r="N1225" s="38">
        <f t="shared" si="19"/>
        <v>4.5</v>
      </c>
    </row>
    <row r="1226" spans="1:14">
      <c r="A1226" s="29">
        <v>43390</v>
      </c>
      <c r="B1226" s="22" t="s">
        <v>28</v>
      </c>
      <c r="C1226" s="22" t="s">
        <v>271</v>
      </c>
      <c r="D1226" s="48" t="s">
        <v>5</v>
      </c>
      <c r="E1226" t="s">
        <v>158</v>
      </c>
      <c r="F1226">
        <v>2018</v>
      </c>
      <c r="G1226" t="s">
        <v>551</v>
      </c>
      <c r="H1226" s="42" t="s">
        <v>57</v>
      </c>
      <c r="J1226" t="s">
        <v>248</v>
      </c>
      <c r="L1226" s="34">
        <v>6</v>
      </c>
      <c r="M1226" s="38">
        <v>0.75</v>
      </c>
      <c r="N1226" s="38">
        <f t="shared" si="19"/>
        <v>4.5</v>
      </c>
    </row>
    <row r="1227" spans="1:14">
      <c r="A1227" s="29">
        <v>43390</v>
      </c>
      <c r="B1227" s="22" t="s">
        <v>28</v>
      </c>
      <c r="C1227" s="22" t="s">
        <v>271</v>
      </c>
      <c r="D1227" s="48" t="s">
        <v>5</v>
      </c>
      <c r="E1227" t="s">
        <v>158</v>
      </c>
      <c r="F1227">
        <v>2018</v>
      </c>
      <c r="G1227" t="s">
        <v>257</v>
      </c>
      <c r="H1227" s="42" t="s">
        <v>57</v>
      </c>
      <c r="J1227" t="s">
        <v>248</v>
      </c>
      <c r="L1227" s="34">
        <v>6</v>
      </c>
      <c r="M1227" s="38">
        <v>0.75</v>
      </c>
      <c r="N1227" s="38">
        <f t="shared" si="19"/>
        <v>4.5</v>
      </c>
    </row>
    <row r="1228" spans="1:14">
      <c r="A1228" s="29">
        <v>43390</v>
      </c>
      <c r="B1228" s="22" t="s">
        <v>28</v>
      </c>
      <c r="C1228" s="22" t="s">
        <v>271</v>
      </c>
      <c r="D1228" s="48" t="s">
        <v>8</v>
      </c>
      <c r="E1228" t="s">
        <v>272</v>
      </c>
      <c r="F1228">
        <v>2018</v>
      </c>
      <c r="G1228" t="s">
        <v>357</v>
      </c>
      <c r="H1228" s="42" t="s">
        <v>57</v>
      </c>
      <c r="J1228" t="s">
        <v>248</v>
      </c>
      <c r="K1228" t="s">
        <v>552</v>
      </c>
      <c r="L1228" s="34">
        <v>6</v>
      </c>
      <c r="M1228" s="38">
        <v>0.75</v>
      </c>
      <c r="N1228" s="38">
        <f t="shared" si="19"/>
        <v>4.5</v>
      </c>
    </row>
    <row r="1229" spans="1:14">
      <c r="A1229" s="29">
        <v>43390</v>
      </c>
      <c r="B1229" s="22" t="s">
        <v>28</v>
      </c>
      <c r="C1229" s="22" t="s">
        <v>271</v>
      </c>
      <c r="D1229" s="48" t="s">
        <v>8</v>
      </c>
      <c r="E1229" t="s">
        <v>272</v>
      </c>
      <c r="F1229">
        <v>2018</v>
      </c>
      <c r="G1229" t="s">
        <v>359</v>
      </c>
      <c r="H1229" s="42">
        <v>412</v>
      </c>
      <c r="J1229" t="s">
        <v>248</v>
      </c>
      <c r="L1229" s="34">
        <v>6</v>
      </c>
      <c r="M1229" s="38">
        <v>0.75</v>
      </c>
      <c r="N1229" s="38">
        <f t="shared" si="19"/>
        <v>4.5</v>
      </c>
    </row>
    <row r="1230" spans="1:14">
      <c r="A1230" s="29">
        <v>43391</v>
      </c>
      <c r="B1230" s="22" t="s">
        <v>57</v>
      </c>
      <c r="C1230" s="22" t="s">
        <v>47</v>
      </c>
      <c r="D1230" s="48" t="s">
        <v>5</v>
      </c>
      <c r="E1230" t="s">
        <v>159</v>
      </c>
      <c r="F1230">
        <v>2018</v>
      </c>
      <c r="G1230" t="s">
        <v>251</v>
      </c>
      <c r="H1230" s="42" t="s">
        <v>57</v>
      </c>
      <c r="J1230" t="s">
        <v>248</v>
      </c>
      <c r="L1230" s="34">
        <v>1</v>
      </c>
      <c r="M1230" s="38">
        <v>0.75</v>
      </c>
      <c r="N1230" s="38">
        <f t="shared" si="19"/>
        <v>0.75</v>
      </c>
    </row>
    <row r="1231" spans="1:14">
      <c r="A1231" s="29">
        <v>43391</v>
      </c>
      <c r="B1231" s="22" t="s">
        <v>57</v>
      </c>
      <c r="C1231" s="22" t="s">
        <v>47</v>
      </c>
      <c r="D1231" s="48" t="s">
        <v>5</v>
      </c>
      <c r="E1231" t="s">
        <v>159</v>
      </c>
      <c r="F1231">
        <v>2018</v>
      </c>
      <c r="G1231" t="s">
        <v>252</v>
      </c>
      <c r="H1231" s="42" t="s">
        <v>57</v>
      </c>
      <c r="J1231" t="s">
        <v>248</v>
      </c>
      <c r="L1231" s="34">
        <v>1</v>
      </c>
      <c r="M1231" s="38">
        <v>0.75</v>
      </c>
      <c r="N1231" s="38">
        <f t="shared" si="19"/>
        <v>0.75</v>
      </c>
    </row>
    <row r="1232" spans="1:14">
      <c r="A1232" s="29">
        <v>43391</v>
      </c>
      <c r="B1232" s="22" t="s">
        <v>57</v>
      </c>
      <c r="C1232" s="22" t="s">
        <v>47</v>
      </c>
      <c r="D1232" s="48" t="s">
        <v>5</v>
      </c>
      <c r="E1232" t="s">
        <v>159</v>
      </c>
      <c r="F1232">
        <v>2018</v>
      </c>
      <c r="G1232" t="s">
        <v>247</v>
      </c>
      <c r="H1232" s="42" t="s">
        <v>57</v>
      </c>
      <c r="J1232" t="s">
        <v>248</v>
      </c>
      <c r="L1232" s="34">
        <v>1</v>
      </c>
      <c r="M1232" s="38">
        <v>0.75</v>
      </c>
      <c r="N1232" s="38">
        <f t="shared" si="19"/>
        <v>0.75</v>
      </c>
    </row>
    <row r="1233" spans="1:14">
      <c r="A1233" s="29">
        <v>43391</v>
      </c>
      <c r="B1233" s="22" t="s">
        <v>57</v>
      </c>
      <c r="C1233" s="22" t="s">
        <v>47</v>
      </c>
      <c r="D1233" s="48" t="s">
        <v>5</v>
      </c>
      <c r="E1233" t="s">
        <v>306</v>
      </c>
      <c r="F1233">
        <v>2018</v>
      </c>
      <c r="G1233" t="s">
        <v>57</v>
      </c>
      <c r="H1233" s="42">
        <v>201</v>
      </c>
      <c r="J1233" t="s">
        <v>248</v>
      </c>
      <c r="L1233" s="34">
        <v>2</v>
      </c>
      <c r="M1233" s="38">
        <v>0.75</v>
      </c>
      <c r="N1233" s="38">
        <f t="shared" si="19"/>
        <v>1.5</v>
      </c>
    </row>
    <row r="1234" spans="1:14">
      <c r="A1234" s="29">
        <v>43391</v>
      </c>
      <c r="B1234" s="22" t="s">
        <v>57</v>
      </c>
      <c r="C1234" s="22" t="s">
        <v>47</v>
      </c>
      <c r="D1234" s="48" t="s">
        <v>8</v>
      </c>
      <c r="E1234" t="s">
        <v>272</v>
      </c>
      <c r="F1234">
        <v>2018</v>
      </c>
      <c r="G1234" t="s">
        <v>357</v>
      </c>
      <c r="H1234" s="42" t="s">
        <v>57</v>
      </c>
      <c r="J1234" t="s">
        <v>248</v>
      </c>
      <c r="L1234" s="34">
        <v>1</v>
      </c>
      <c r="M1234" s="38">
        <v>0.75</v>
      </c>
      <c r="N1234" s="38">
        <f t="shared" si="19"/>
        <v>0.75</v>
      </c>
    </row>
    <row r="1235" spans="1:14">
      <c r="A1235" s="29">
        <v>43395</v>
      </c>
      <c r="B1235" s="22" t="s">
        <v>57</v>
      </c>
      <c r="C1235" s="22" t="s">
        <v>49</v>
      </c>
      <c r="D1235" s="48" t="s">
        <v>5</v>
      </c>
      <c r="E1235" t="s">
        <v>255</v>
      </c>
      <c r="F1235">
        <v>2018</v>
      </c>
      <c r="G1235" t="s">
        <v>247</v>
      </c>
      <c r="H1235" s="42" t="s">
        <v>57</v>
      </c>
      <c r="J1235" t="s">
        <v>248</v>
      </c>
      <c r="L1235" s="34">
        <v>6</v>
      </c>
      <c r="M1235" s="38">
        <v>0.75</v>
      </c>
      <c r="N1235" s="38">
        <f t="shared" si="19"/>
        <v>4.5</v>
      </c>
    </row>
    <row r="1236" spans="1:14">
      <c r="A1236" s="29">
        <v>43395</v>
      </c>
      <c r="B1236" s="22" t="s">
        <v>63</v>
      </c>
      <c r="C1236" s="22" t="s">
        <v>57</v>
      </c>
      <c r="D1236" s="48" t="s">
        <v>5</v>
      </c>
      <c r="E1236" t="s">
        <v>255</v>
      </c>
      <c r="F1236">
        <v>2018</v>
      </c>
      <c r="G1236" t="s">
        <v>247</v>
      </c>
      <c r="H1236" s="42" t="s">
        <v>57</v>
      </c>
      <c r="J1236" t="s">
        <v>248</v>
      </c>
      <c r="L1236" s="34">
        <v>4</v>
      </c>
      <c r="M1236" s="38">
        <v>0.75</v>
      </c>
      <c r="N1236" s="38">
        <f t="shared" si="19"/>
        <v>3</v>
      </c>
    </row>
    <row r="1237" spans="1:14">
      <c r="A1237" s="29">
        <v>43395</v>
      </c>
      <c r="B1237" s="22" t="s">
        <v>63</v>
      </c>
      <c r="C1237" s="22" t="s">
        <v>57</v>
      </c>
      <c r="D1237" s="48" t="s">
        <v>5</v>
      </c>
      <c r="E1237" t="s">
        <v>255</v>
      </c>
      <c r="F1237">
        <v>2018</v>
      </c>
      <c r="G1237" t="s">
        <v>326</v>
      </c>
      <c r="H1237" s="42" t="s">
        <v>57</v>
      </c>
      <c r="J1237" t="s">
        <v>248</v>
      </c>
      <c r="L1237" s="34">
        <v>4</v>
      </c>
      <c r="M1237" s="38">
        <v>0.75</v>
      </c>
      <c r="N1237" s="38">
        <f t="shared" si="19"/>
        <v>3</v>
      </c>
    </row>
    <row r="1238" spans="1:14">
      <c r="A1238" s="29">
        <v>43395</v>
      </c>
      <c r="B1238" s="22" t="s">
        <v>63</v>
      </c>
      <c r="C1238" s="22" t="s">
        <v>57</v>
      </c>
      <c r="D1238" s="48" t="s">
        <v>5</v>
      </c>
      <c r="E1238" t="s">
        <v>157</v>
      </c>
      <c r="F1238">
        <v>2018</v>
      </c>
      <c r="G1238" t="s">
        <v>247</v>
      </c>
      <c r="H1238" s="42" t="s">
        <v>545</v>
      </c>
      <c r="J1238" t="s">
        <v>248</v>
      </c>
      <c r="L1238" s="34">
        <v>3</v>
      </c>
      <c r="M1238" s="38">
        <v>0.75</v>
      </c>
      <c r="N1238" s="38">
        <f t="shared" si="19"/>
        <v>2.25</v>
      </c>
    </row>
    <row r="1239" spans="1:14">
      <c r="A1239" s="29">
        <v>43395</v>
      </c>
      <c r="B1239" s="22" t="s">
        <v>63</v>
      </c>
      <c r="C1239" s="22" t="s">
        <v>57</v>
      </c>
      <c r="D1239" s="48" t="s">
        <v>5</v>
      </c>
      <c r="E1239" t="s">
        <v>157</v>
      </c>
      <c r="F1239">
        <v>2018</v>
      </c>
      <c r="G1239" t="s">
        <v>326</v>
      </c>
      <c r="H1239" s="42" t="s">
        <v>57</v>
      </c>
      <c r="J1239" t="s">
        <v>248</v>
      </c>
      <c r="L1239" s="34">
        <v>3</v>
      </c>
      <c r="M1239" s="38">
        <v>0.75</v>
      </c>
      <c r="N1239" s="38">
        <f t="shared" si="19"/>
        <v>2.25</v>
      </c>
    </row>
    <row r="1240" spans="1:14">
      <c r="A1240" s="29">
        <v>43395</v>
      </c>
      <c r="B1240" s="22" t="s">
        <v>63</v>
      </c>
      <c r="C1240" s="22" t="s">
        <v>57</v>
      </c>
      <c r="D1240" s="48" t="s">
        <v>5</v>
      </c>
      <c r="E1240" t="s">
        <v>157</v>
      </c>
      <c r="F1240">
        <v>2018</v>
      </c>
      <c r="G1240" t="s">
        <v>319</v>
      </c>
      <c r="H1240" s="42" t="s">
        <v>544</v>
      </c>
      <c r="J1240" t="s">
        <v>248</v>
      </c>
      <c r="L1240" s="34">
        <v>3</v>
      </c>
      <c r="M1240" s="38">
        <v>0.75</v>
      </c>
      <c r="N1240" s="38">
        <f t="shared" si="19"/>
        <v>2.25</v>
      </c>
    </row>
    <row r="1241" spans="1:14">
      <c r="A1241" s="29">
        <v>43395</v>
      </c>
      <c r="B1241" s="22" t="s">
        <v>63</v>
      </c>
      <c r="C1241" s="22" t="s">
        <v>57</v>
      </c>
      <c r="D1241" s="48" t="s">
        <v>8</v>
      </c>
      <c r="E1241" t="s">
        <v>272</v>
      </c>
      <c r="F1241">
        <v>2018</v>
      </c>
      <c r="G1241" t="s">
        <v>548</v>
      </c>
      <c r="H1241" s="42">
        <v>412</v>
      </c>
      <c r="J1241" t="s">
        <v>248</v>
      </c>
      <c r="L1241" s="34">
        <v>4</v>
      </c>
      <c r="M1241" s="38">
        <v>0.75</v>
      </c>
      <c r="N1241" s="38">
        <f t="shared" si="19"/>
        <v>3</v>
      </c>
    </row>
    <row r="1242" spans="1:14">
      <c r="A1242" s="29">
        <v>43395</v>
      </c>
      <c r="B1242" s="22" t="s">
        <v>63</v>
      </c>
      <c r="C1242" s="22" t="s">
        <v>57</v>
      </c>
      <c r="D1242" s="48" t="s">
        <v>8</v>
      </c>
      <c r="E1242" t="s">
        <v>272</v>
      </c>
      <c r="F1242">
        <v>2018</v>
      </c>
      <c r="G1242" t="s">
        <v>479</v>
      </c>
      <c r="H1242" s="42" t="s">
        <v>57</v>
      </c>
      <c r="J1242" t="s">
        <v>248</v>
      </c>
      <c r="L1242" s="34">
        <v>4</v>
      </c>
      <c r="M1242" s="38">
        <v>0.75</v>
      </c>
      <c r="N1242" s="38">
        <f t="shared" si="19"/>
        <v>3</v>
      </c>
    </row>
    <row r="1243" spans="1:14">
      <c r="A1243" s="29">
        <v>43395</v>
      </c>
      <c r="B1243" s="22" t="s">
        <v>57</v>
      </c>
      <c r="C1243" s="22" t="s">
        <v>38</v>
      </c>
      <c r="D1243" s="48" t="s">
        <v>5</v>
      </c>
      <c r="E1243" t="s">
        <v>157</v>
      </c>
      <c r="F1243">
        <v>2018</v>
      </c>
      <c r="G1243" t="s">
        <v>326</v>
      </c>
      <c r="H1243" s="42" t="s">
        <v>57</v>
      </c>
      <c r="J1243" t="s">
        <v>248</v>
      </c>
      <c r="L1243" s="34">
        <v>3</v>
      </c>
      <c r="M1243" s="38">
        <v>0.75</v>
      </c>
      <c r="N1243" s="38">
        <f t="shared" si="19"/>
        <v>2.25</v>
      </c>
    </row>
    <row r="1244" spans="1:14">
      <c r="A1244" s="29">
        <v>43395</v>
      </c>
      <c r="B1244" s="22" t="s">
        <v>57</v>
      </c>
      <c r="C1244" s="22" t="s">
        <v>38</v>
      </c>
      <c r="D1244" s="48" t="s">
        <v>5</v>
      </c>
      <c r="E1244" t="s">
        <v>159</v>
      </c>
      <c r="F1244">
        <v>2018</v>
      </c>
      <c r="G1244" t="s">
        <v>247</v>
      </c>
      <c r="H1244" s="42" t="s">
        <v>57</v>
      </c>
      <c r="J1244" t="s">
        <v>248</v>
      </c>
      <c r="L1244" s="34">
        <v>3</v>
      </c>
      <c r="M1244" s="38">
        <v>0.75</v>
      </c>
      <c r="N1244" s="38">
        <f t="shared" si="19"/>
        <v>2.25</v>
      </c>
    </row>
    <row r="1245" spans="1:14">
      <c r="A1245" s="29">
        <v>43395</v>
      </c>
      <c r="B1245" s="22" t="s">
        <v>57</v>
      </c>
      <c r="C1245" s="22" t="s">
        <v>38</v>
      </c>
      <c r="D1245" s="48" t="s">
        <v>5</v>
      </c>
      <c r="E1245" t="s">
        <v>255</v>
      </c>
      <c r="F1245">
        <v>2018</v>
      </c>
      <c r="G1245" t="s">
        <v>247</v>
      </c>
      <c r="H1245" s="42" t="s">
        <v>57</v>
      </c>
      <c r="J1245" t="s">
        <v>248</v>
      </c>
      <c r="L1245" s="34">
        <v>3</v>
      </c>
      <c r="M1245" s="38">
        <v>0.75</v>
      </c>
      <c r="N1245" s="38">
        <f t="shared" si="19"/>
        <v>2.25</v>
      </c>
    </row>
    <row r="1246" spans="1:14">
      <c r="A1246" s="29">
        <v>43395</v>
      </c>
      <c r="B1246" s="22" t="s">
        <v>57</v>
      </c>
      <c r="C1246" s="22" t="s">
        <v>38</v>
      </c>
      <c r="D1246" s="48" t="s">
        <v>5</v>
      </c>
      <c r="E1246" t="s">
        <v>157</v>
      </c>
      <c r="F1246">
        <v>2018</v>
      </c>
      <c r="G1246" t="s">
        <v>247</v>
      </c>
      <c r="H1246" s="42" t="s">
        <v>57</v>
      </c>
      <c r="J1246" t="s">
        <v>248</v>
      </c>
      <c r="L1246" s="34">
        <v>3</v>
      </c>
      <c r="M1246" s="38">
        <v>0.75</v>
      </c>
      <c r="N1246" s="38">
        <f t="shared" si="19"/>
        <v>2.25</v>
      </c>
    </row>
    <row r="1247" spans="1:14">
      <c r="A1247" s="29">
        <v>43395</v>
      </c>
      <c r="B1247" s="22" t="s">
        <v>81</v>
      </c>
      <c r="C1247" s="22" t="s">
        <v>57</v>
      </c>
      <c r="D1247" s="48" t="s">
        <v>5</v>
      </c>
      <c r="E1247" t="s">
        <v>159</v>
      </c>
      <c r="F1247">
        <v>2018</v>
      </c>
      <c r="G1247" t="s">
        <v>247</v>
      </c>
      <c r="H1247" s="42" t="s">
        <v>57</v>
      </c>
      <c r="J1247" t="s">
        <v>248</v>
      </c>
      <c r="L1247" s="34">
        <v>3</v>
      </c>
      <c r="M1247" s="38">
        <v>0.75</v>
      </c>
      <c r="N1247" s="38">
        <f t="shared" si="19"/>
        <v>2.25</v>
      </c>
    </row>
    <row r="1248" spans="1:14">
      <c r="A1248" s="29">
        <v>43395</v>
      </c>
      <c r="B1248" s="22" t="s">
        <v>81</v>
      </c>
      <c r="C1248" s="22" t="s">
        <v>57</v>
      </c>
      <c r="D1248" s="48" t="s">
        <v>5</v>
      </c>
      <c r="E1248" t="s">
        <v>159</v>
      </c>
      <c r="F1248">
        <v>2018</v>
      </c>
      <c r="G1248" t="s">
        <v>326</v>
      </c>
      <c r="H1248" s="42">
        <v>408</v>
      </c>
      <c r="J1248" t="s">
        <v>248</v>
      </c>
      <c r="L1248" s="34">
        <v>1</v>
      </c>
      <c r="M1248" s="38">
        <v>10</v>
      </c>
      <c r="N1248" s="38">
        <f t="shared" si="19"/>
        <v>10</v>
      </c>
    </row>
    <row r="1249" spans="1:14">
      <c r="A1249" s="29">
        <v>43395</v>
      </c>
      <c r="B1249" s="22" t="s">
        <v>57</v>
      </c>
      <c r="C1249" s="22" t="s">
        <v>45</v>
      </c>
      <c r="D1249" s="48" t="s">
        <v>5</v>
      </c>
      <c r="E1249" t="s">
        <v>553</v>
      </c>
      <c r="F1249">
        <v>2018</v>
      </c>
      <c r="G1249" t="s">
        <v>554</v>
      </c>
      <c r="H1249" s="42" t="s">
        <v>57</v>
      </c>
      <c r="J1249" t="s">
        <v>248</v>
      </c>
      <c r="K1249" t="s">
        <v>555</v>
      </c>
      <c r="L1249" s="34">
        <v>4</v>
      </c>
      <c r="M1249" s="38">
        <v>0.75</v>
      </c>
      <c r="N1249" s="38">
        <f t="shared" si="19"/>
        <v>3</v>
      </c>
    </row>
    <row r="1250" spans="1:14">
      <c r="A1250" s="29">
        <v>43395</v>
      </c>
      <c r="B1250" s="22" t="s">
        <v>57</v>
      </c>
      <c r="C1250" s="22" t="s">
        <v>45</v>
      </c>
      <c r="D1250" s="48" t="s">
        <v>5</v>
      </c>
      <c r="E1250" t="s">
        <v>553</v>
      </c>
      <c r="F1250">
        <v>2018</v>
      </c>
      <c r="G1250" t="s">
        <v>556</v>
      </c>
      <c r="H1250" s="42" t="s">
        <v>57</v>
      </c>
      <c r="J1250" t="s">
        <v>248</v>
      </c>
      <c r="K1250" t="s">
        <v>557</v>
      </c>
      <c r="L1250" s="34">
        <v>4</v>
      </c>
      <c r="M1250" s="38">
        <v>0.75</v>
      </c>
      <c r="N1250" s="38">
        <f t="shared" si="19"/>
        <v>3</v>
      </c>
    </row>
    <row r="1251" spans="1:14">
      <c r="A1251" s="29">
        <v>43395</v>
      </c>
      <c r="B1251" s="22" t="s">
        <v>57</v>
      </c>
      <c r="C1251" s="22" t="s">
        <v>45</v>
      </c>
      <c r="D1251" s="48" t="s">
        <v>5</v>
      </c>
      <c r="E1251" t="s">
        <v>157</v>
      </c>
      <c r="F1251">
        <v>2018</v>
      </c>
      <c r="G1251" t="s">
        <v>326</v>
      </c>
      <c r="H1251" s="42" t="s">
        <v>57</v>
      </c>
      <c r="J1251" t="s">
        <v>248</v>
      </c>
      <c r="L1251" s="34">
        <v>4</v>
      </c>
      <c r="M1251" s="38">
        <v>0.75</v>
      </c>
      <c r="N1251" s="38">
        <f t="shared" si="19"/>
        <v>3</v>
      </c>
    </row>
    <row r="1252" spans="1:14">
      <c r="A1252" s="29">
        <v>43395</v>
      </c>
      <c r="B1252" s="22" t="s">
        <v>57</v>
      </c>
      <c r="C1252" s="22" t="s">
        <v>45</v>
      </c>
      <c r="D1252" s="48" t="s">
        <v>5</v>
      </c>
      <c r="E1252" t="s">
        <v>381</v>
      </c>
      <c r="F1252">
        <v>2018</v>
      </c>
      <c r="G1252" t="s">
        <v>558</v>
      </c>
      <c r="H1252" s="42" t="s">
        <v>57</v>
      </c>
      <c r="J1252" t="s">
        <v>248</v>
      </c>
      <c r="L1252" s="34">
        <v>4</v>
      </c>
      <c r="M1252" s="38">
        <v>0.75</v>
      </c>
      <c r="N1252" s="38">
        <f t="shared" si="19"/>
        <v>3</v>
      </c>
    </row>
    <row r="1253" spans="1:14">
      <c r="A1253" s="29">
        <v>43395</v>
      </c>
      <c r="B1253" s="22" t="s">
        <v>123</v>
      </c>
      <c r="C1253" s="22" t="s">
        <v>45</v>
      </c>
      <c r="D1253" s="48" t="s">
        <v>8</v>
      </c>
      <c r="E1253" t="s">
        <v>272</v>
      </c>
      <c r="F1253">
        <v>2018</v>
      </c>
      <c r="G1253" t="s">
        <v>548</v>
      </c>
      <c r="H1253" s="42">
        <v>412</v>
      </c>
      <c r="J1253" t="s">
        <v>248</v>
      </c>
      <c r="L1253" s="34">
        <v>4</v>
      </c>
      <c r="M1253" s="38">
        <v>0.75</v>
      </c>
      <c r="N1253" s="38">
        <f t="shared" si="19"/>
        <v>3</v>
      </c>
    </row>
    <row r="1254" spans="1:14">
      <c r="A1254" s="29">
        <v>43395</v>
      </c>
      <c r="B1254" s="22" t="s">
        <v>123</v>
      </c>
      <c r="C1254" s="22" t="s">
        <v>45</v>
      </c>
      <c r="D1254" s="48" t="s">
        <v>8</v>
      </c>
      <c r="E1254" t="s">
        <v>272</v>
      </c>
      <c r="F1254">
        <v>2018</v>
      </c>
      <c r="G1254" t="s">
        <v>263</v>
      </c>
      <c r="H1254" s="42">
        <v>198</v>
      </c>
      <c r="J1254" t="s">
        <v>248</v>
      </c>
      <c r="L1254" s="34">
        <v>4</v>
      </c>
      <c r="M1254" s="38">
        <v>0.75</v>
      </c>
      <c r="N1254" s="38">
        <f t="shared" si="19"/>
        <v>3</v>
      </c>
    </row>
    <row r="1255" spans="1:14">
      <c r="A1255" s="29">
        <v>43396</v>
      </c>
      <c r="B1255" s="22" t="s">
        <v>23</v>
      </c>
      <c r="C1255" s="22" t="s">
        <v>34</v>
      </c>
      <c r="D1255" s="48" t="s">
        <v>5</v>
      </c>
      <c r="E1255" t="s">
        <v>157</v>
      </c>
      <c r="F1255">
        <v>2018</v>
      </c>
      <c r="G1255" t="s">
        <v>257</v>
      </c>
      <c r="H1255" s="42" t="s">
        <v>57</v>
      </c>
      <c r="J1255" t="s">
        <v>248</v>
      </c>
      <c r="L1255" s="34">
        <v>2</v>
      </c>
      <c r="M1255" s="38">
        <v>0.75</v>
      </c>
      <c r="N1255" s="38">
        <f t="shared" si="19"/>
        <v>1.5</v>
      </c>
    </row>
    <row r="1256" spans="1:14">
      <c r="A1256" s="29">
        <v>43396</v>
      </c>
      <c r="B1256" s="22" t="s">
        <v>23</v>
      </c>
      <c r="C1256" s="22" t="s">
        <v>34</v>
      </c>
      <c r="D1256" s="48" t="s">
        <v>5</v>
      </c>
      <c r="E1256" t="s">
        <v>157</v>
      </c>
      <c r="F1256">
        <v>2018</v>
      </c>
      <c r="G1256" t="s">
        <v>559</v>
      </c>
      <c r="H1256" s="42" t="s">
        <v>57</v>
      </c>
      <c r="J1256" t="s">
        <v>248</v>
      </c>
      <c r="K1256" t="s">
        <v>560</v>
      </c>
      <c r="L1256" s="34">
        <v>2</v>
      </c>
      <c r="M1256" s="38">
        <v>0.75</v>
      </c>
      <c r="N1256" s="38">
        <f t="shared" si="19"/>
        <v>1.5</v>
      </c>
    </row>
    <row r="1257" spans="1:14">
      <c r="A1257" s="29">
        <v>43396</v>
      </c>
      <c r="B1257" s="22" t="s">
        <v>561</v>
      </c>
      <c r="C1257" s="22" t="s">
        <v>34</v>
      </c>
      <c r="D1257" s="48" t="s">
        <v>8</v>
      </c>
      <c r="E1257" t="s">
        <v>272</v>
      </c>
      <c r="F1257">
        <v>2018</v>
      </c>
      <c r="G1257" t="s">
        <v>548</v>
      </c>
      <c r="H1257" s="42">
        <v>412</v>
      </c>
      <c r="J1257" t="s">
        <v>248</v>
      </c>
      <c r="L1257" s="34">
        <v>2</v>
      </c>
      <c r="M1257" s="38">
        <v>0.75</v>
      </c>
      <c r="N1257" s="38">
        <f t="shared" si="19"/>
        <v>1.5</v>
      </c>
    </row>
    <row r="1258" spans="1:14">
      <c r="A1258" s="29">
        <v>43396</v>
      </c>
      <c r="B1258" s="22" t="s">
        <v>23</v>
      </c>
      <c r="C1258" s="22" t="s">
        <v>34</v>
      </c>
      <c r="D1258" s="48" t="s">
        <v>8</v>
      </c>
      <c r="E1258" t="s">
        <v>272</v>
      </c>
      <c r="F1258">
        <v>2018</v>
      </c>
      <c r="G1258" t="s">
        <v>263</v>
      </c>
      <c r="H1258" s="42">
        <v>198</v>
      </c>
      <c r="J1258" t="s">
        <v>248</v>
      </c>
      <c r="L1258" s="34">
        <v>2</v>
      </c>
      <c r="M1258" s="38">
        <v>0.75</v>
      </c>
      <c r="N1258" s="38">
        <f t="shared" si="19"/>
        <v>1.5</v>
      </c>
    </row>
    <row r="1259" spans="1:14">
      <c r="A1259" s="29">
        <v>43397</v>
      </c>
      <c r="B1259" s="22" t="s">
        <v>50</v>
      </c>
      <c r="C1259" s="22" t="s">
        <v>57</v>
      </c>
      <c r="D1259" s="48" t="s">
        <v>5</v>
      </c>
      <c r="E1259" t="s">
        <v>159</v>
      </c>
      <c r="F1259">
        <v>2018</v>
      </c>
      <c r="G1259" t="s">
        <v>247</v>
      </c>
      <c r="H1259" s="42" t="s">
        <v>57</v>
      </c>
      <c r="J1259" t="s">
        <v>248</v>
      </c>
      <c r="L1259" s="34">
        <v>1</v>
      </c>
      <c r="M1259" s="38">
        <v>0.75</v>
      </c>
      <c r="N1259" s="38">
        <f t="shared" si="19"/>
        <v>0.75</v>
      </c>
    </row>
    <row r="1260" spans="1:14">
      <c r="A1260" s="29">
        <v>43397</v>
      </c>
      <c r="B1260" s="22" t="s">
        <v>50</v>
      </c>
      <c r="C1260" s="22" t="s">
        <v>57</v>
      </c>
      <c r="D1260" s="48" t="s">
        <v>5</v>
      </c>
      <c r="E1260" t="s">
        <v>159</v>
      </c>
      <c r="F1260">
        <v>2018</v>
      </c>
      <c r="G1260" t="s">
        <v>326</v>
      </c>
      <c r="H1260" s="42">
        <v>408</v>
      </c>
      <c r="J1260" t="s">
        <v>248</v>
      </c>
      <c r="L1260" s="34">
        <v>1</v>
      </c>
      <c r="M1260" s="38">
        <v>0.75</v>
      </c>
      <c r="N1260" s="38">
        <f t="shared" si="19"/>
        <v>0.75</v>
      </c>
    </row>
    <row r="1261" spans="1:14">
      <c r="A1261" s="29">
        <v>43397</v>
      </c>
      <c r="B1261" s="22" t="s">
        <v>50</v>
      </c>
      <c r="C1261" s="22" t="s">
        <v>57</v>
      </c>
      <c r="D1261" s="48" t="s">
        <v>8</v>
      </c>
      <c r="E1261" t="s">
        <v>272</v>
      </c>
      <c r="F1261">
        <v>2018</v>
      </c>
      <c r="G1261" t="s">
        <v>548</v>
      </c>
      <c r="H1261" s="42">
        <v>412</v>
      </c>
      <c r="J1261" t="s">
        <v>248</v>
      </c>
      <c r="L1261" s="34">
        <v>1</v>
      </c>
      <c r="M1261" s="38">
        <v>0.75</v>
      </c>
      <c r="N1261" s="38">
        <f t="shared" si="19"/>
        <v>0.75</v>
      </c>
    </row>
    <row r="1262" spans="1:14">
      <c r="A1262" s="29">
        <v>43397</v>
      </c>
      <c r="B1262" s="22" t="s">
        <v>50</v>
      </c>
      <c r="C1262" s="22" t="s">
        <v>57</v>
      </c>
      <c r="D1262" s="48" t="s">
        <v>8</v>
      </c>
      <c r="E1262" t="s">
        <v>272</v>
      </c>
      <c r="F1262">
        <v>2018</v>
      </c>
      <c r="G1262" t="s">
        <v>263</v>
      </c>
      <c r="H1262" s="42">
        <v>55</v>
      </c>
      <c r="J1262" t="s">
        <v>248</v>
      </c>
      <c r="L1262" s="34">
        <v>1</v>
      </c>
      <c r="M1262" s="38">
        <v>0.75</v>
      </c>
      <c r="N1262" s="38">
        <f t="shared" si="19"/>
        <v>0.75</v>
      </c>
    </row>
    <row r="1263" spans="1:14">
      <c r="A1263" s="29">
        <v>43397</v>
      </c>
      <c r="B1263" s="22" t="s">
        <v>50</v>
      </c>
      <c r="C1263" s="22" t="s">
        <v>57</v>
      </c>
      <c r="D1263" s="48" t="s">
        <v>5</v>
      </c>
      <c r="E1263" t="s">
        <v>381</v>
      </c>
      <c r="F1263">
        <v>2018</v>
      </c>
      <c r="G1263" t="s">
        <v>57</v>
      </c>
      <c r="H1263" s="42">
        <v>201</v>
      </c>
      <c r="J1263" t="s">
        <v>248</v>
      </c>
      <c r="L1263" s="34">
        <v>1</v>
      </c>
      <c r="M1263" s="38">
        <v>0.75</v>
      </c>
      <c r="N1263" s="38">
        <f t="shared" si="19"/>
        <v>0.75</v>
      </c>
    </row>
    <row r="1264" spans="1:14">
      <c r="A1264" s="29">
        <v>43397</v>
      </c>
      <c r="B1264" s="22" t="s">
        <v>50</v>
      </c>
      <c r="C1264" s="22" t="s">
        <v>57</v>
      </c>
      <c r="D1264" s="48" t="s">
        <v>5</v>
      </c>
      <c r="E1264" t="s">
        <v>381</v>
      </c>
      <c r="F1264">
        <v>2018</v>
      </c>
      <c r="G1264" t="s">
        <v>558</v>
      </c>
      <c r="H1264" s="42" t="s">
        <v>57</v>
      </c>
      <c r="J1264" t="s">
        <v>248</v>
      </c>
      <c r="L1264" s="34">
        <v>1</v>
      </c>
      <c r="M1264" s="38">
        <v>0.75</v>
      </c>
      <c r="N1264" s="38">
        <f t="shared" si="19"/>
        <v>0.75</v>
      </c>
    </row>
    <row r="1265" spans="1:14">
      <c r="A1265" s="29">
        <v>43397</v>
      </c>
      <c r="B1265" s="22" t="s">
        <v>74</v>
      </c>
      <c r="C1265" s="22" t="s">
        <v>57</v>
      </c>
      <c r="D1265" s="48" t="s">
        <v>5</v>
      </c>
      <c r="E1265" t="s">
        <v>381</v>
      </c>
      <c r="F1265">
        <v>2018</v>
      </c>
      <c r="G1265" t="s">
        <v>558</v>
      </c>
      <c r="H1265" s="42" t="s">
        <v>57</v>
      </c>
      <c r="J1265" t="s">
        <v>248</v>
      </c>
      <c r="L1265" s="34">
        <v>1</v>
      </c>
      <c r="M1265" s="38">
        <v>0.75</v>
      </c>
      <c r="N1265" s="38">
        <f t="shared" si="19"/>
        <v>0.75</v>
      </c>
    </row>
    <row r="1266" spans="1:14">
      <c r="A1266" s="29">
        <v>43397</v>
      </c>
      <c r="B1266" s="22" t="s">
        <v>74</v>
      </c>
      <c r="C1266" s="22" t="s">
        <v>57</v>
      </c>
      <c r="D1266" s="48" t="s">
        <v>5</v>
      </c>
      <c r="E1266" t="s">
        <v>381</v>
      </c>
      <c r="F1266">
        <v>2018</v>
      </c>
      <c r="G1266" t="s">
        <v>57</v>
      </c>
      <c r="H1266" s="42">
        <v>201</v>
      </c>
      <c r="J1266" t="s">
        <v>248</v>
      </c>
      <c r="L1266" s="34">
        <v>1</v>
      </c>
      <c r="M1266" s="38">
        <v>0.75</v>
      </c>
      <c r="N1266" s="38">
        <f t="shared" si="19"/>
        <v>0.75</v>
      </c>
    </row>
    <row r="1267" spans="1:14">
      <c r="A1267" s="29">
        <v>43397</v>
      </c>
      <c r="B1267" s="22" t="s">
        <v>109</v>
      </c>
      <c r="C1267" s="22" t="s">
        <v>57</v>
      </c>
      <c r="D1267" s="48" t="s">
        <v>5</v>
      </c>
      <c r="E1267" t="s">
        <v>159</v>
      </c>
      <c r="F1267">
        <v>2018</v>
      </c>
      <c r="G1267" t="s">
        <v>562</v>
      </c>
      <c r="H1267" s="42" t="s">
        <v>57</v>
      </c>
      <c r="J1267" t="s">
        <v>248</v>
      </c>
      <c r="L1267" s="34">
        <v>1</v>
      </c>
      <c r="M1267" s="38">
        <v>0.75</v>
      </c>
      <c r="N1267" s="38">
        <f t="shared" si="19"/>
        <v>0.75</v>
      </c>
    </row>
    <row r="1268" spans="1:14">
      <c r="A1268" s="29">
        <v>43397</v>
      </c>
      <c r="B1268" s="22" t="s">
        <v>109</v>
      </c>
      <c r="C1268" s="22" t="s">
        <v>57</v>
      </c>
      <c r="D1268" s="48" t="s">
        <v>5</v>
      </c>
      <c r="E1268" t="s">
        <v>503</v>
      </c>
      <c r="F1268">
        <v>2018</v>
      </c>
      <c r="G1268" t="s">
        <v>57</v>
      </c>
      <c r="H1268" s="42" t="s">
        <v>57</v>
      </c>
      <c r="J1268" t="s">
        <v>248</v>
      </c>
      <c r="L1268" s="34">
        <v>1</v>
      </c>
      <c r="M1268" s="38">
        <v>0.75</v>
      </c>
      <c r="N1268" s="38">
        <f t="shared" si="19"/>
        <v>0.75</v>
      </c>
    </row>
    <row r="1269" spans="1:14">
      <c r="A1269" s="29">
        <v>43397</v>
      </c>
      <c r="B1269" s="22" t="s">
        <v>109</v>
      </c>
      <c r="C1269" s="22" t="s">
        <v>57</v>
      </c>
      <c r="D1269" s="48" t="s">
        <v>5</v>
      </c>
      <c r="E1269" t="s">
        <v>272</v>
      </c>
      <c r="F1269">
        <v>2018</v>
      </c>
      <c r="G1269" t="s">
        <v>548</v>
      </c>
      <c r="H1269" s="42" t="s">
        <v>57</v>
      </c>
      <c r="J1269" t="s">
        <v>248</v>
      </c>
      <c r="L1269" s="34">
        <v>3</v>
      </c>
      <c r="M1269" s="38">
        <v>0.75</v>
      </c>
      <c r="N1269" s="38">
        <f t="shared" si="19"/>
        <v>2.25</v>
      </c>
    </row>
    <row r="1270" spans="1:14">
      <c r="A1270" s="29">
        <v>43397</v>
      </c>
      <c r="B1270" s="22" t="s">
        <v>12</v>
      </c>
      <c r="C1270" s="22" t="s">
        <v>249</v>
      </c>
      <c r="D1270" s="48" t="s">
        <v>5</v>
      </c>
      <c r="E1270" t="s">
        <v>255</v>
      </c>
      <c r="F1270">
        <v>2018</v>
      </c>
      <c r="G1270" t="s">
        <v>252</v>
      </c>
      <c r="H1270" s="42" t="s">
        <v>57</v>
      </c>
      <c r="J1270" t="s">
        <v>248</v>
      </c>
      <c r="L1270" s="34">
        <v>1</v>
      </c>
      <c r="M1270" s="38">
        <v>0.75</v>
      </c>
      <c r="N1270" s="38">
        <f t="shared" si="19"/>
        <v>0.75</v>
      </c>
    </row>
    <row r="1271" spans="1:14">
      <c r="A1271" s="29">
        <v>43397</v>
      </c>
      <c r="B1271" s="22" t="s">
        <v>12</v>
      </c>
      <c r="C1271" s="22" t="s">
        <v>249</v>
      </c>
      <c r="D1271" s="48" t="s">
        <v>5</v>
      </c>
      <c r="E1271" t="s">
        <v>255</v>
      </c>
      <c r="F1271">
        <v>2018</v>
      </c>
      <c r="G1271" t="s">
        <v>247</v>
      </c>
      <c r="H1271" s="42" t="s">
        <v>57</v>
      </c>
      <c r="J1271" t="s">
        <v>248</v>
      </c>
      <c r="L1271" s="34">
        <v>1</v>
      </c>
      <c r="M1271" s="38">
        <v>0.75</v>
      </c>
      <c r="N1271" s="38">
        <f t="shared" si="19"/>
        <v>0.75</v>
      </c>
    </row>
    <row r="1272" spans="1:14">
      <c r="A1272" s="29">
        <v>43398</v>
      </c>
      <c r="B1272" s="22" t="s">
        <v>50</v>
      </c>
      <c r="C1272" s="22" t="s">
        <v>57</v>
      </c>
      <c r="D1272" s="48" t="s">
        <v>5</v>
      </c>
      <c r="E1272" t="s">
        <v>159</v>
      </c>
      <c r="F1272">
        <v>2018</v>
      </c>
      <c r="G1272" t="s">
        <v>247</v>
      </c>
      <c r="H1272" s="42" t="s">
        <v>57</v>
      </c>
      <c r="J1272" t="s">
        <v>248</v>
      </c>
      <c r="L1272" s="34">
        <v>1</v>
      </c>
      <c r="M1272" s="38">
        <v>0.75</v>
      </c>
      <c r="N1272" s="38">
        <f t="shared" si="19"/>
        <v>0.75</v>
      </c>
    </row>
    <row r="1273" spans="1:14">
      <c r="A1273" s="29">
        <v>43398</v>
      </c>
      <c r="B1273" s="22" t="s">
        <v>50</v>
      </c>
      <c r="C1273" s="22" t="s">
        <v>57</v>
      </c>
      <c r="D1273" s="48" t="s">
        <v>5</v>
      </c>
      <c r="E1273" t="s">
        <v>159</v>
      </c>
      <c r="F1273">
        <v>2018</v>
      </c>
      <c r="G1273" t="s">
        <v>326</v>
      </c>
      <c r="H1273" s="42">
        <v>408</v>
      </c>
      <c r="J1273" t="s">
        <v>248</v>
      </c>
      <c r="L1273" s="34">
        <v>1</v>
      </c>
      <c r="M1273" s="38">
        <v>0.75</v>
      </c>
      <c r="N1273" s="38">
        <f t="shared" si="19"/>
        <v>0.75</v>
      </c>
    </row>
    <row r="1274" spans="1:14">
      <c r="A1274" s="29">
        <v>43398</v>
      </c>
      <c r="B1274" s="22" t="s">
        <v>50</v>
      </c>
      <c r="C1274" s="22" t="s">
        <v>57</v>
      </c>
      <c r="D1274" s="48" t="s">
        <v>8</v>
      </c>
      <c r="E1274" t="s">
        <v>272</v>
      </c>
      <c r="F1274">
        <v>2018</v>
      </c>
      <c r="G1274" t="s">
        <v>548</v>
      </c>
      <c r="H1274" s="42">
        <v>412</v>
      </c>
      <c r="J1274" t="s">
        <v>248</v>
      </c>
      <c r="L1274" s="34">
        <v>1</v>
      </c>
      <c r="M1274" s="38">
        <v>0.75</v>
      </c>
      <c r="N1274" s="38">
        <f t="shared" si="19"/>
        <v>0.75</v>
      </c>
    </row>
    <row r="1275" spans="1:14">
      <c r="A1275" s="29">
        <v>43398</v>
      </c>
      <c r="B1275" s="22" t="s">
        <v>50</v>
      </c>
      <c r="C1275" s="22" t="s">
        <v>57</v>
      </c>
      <c r="D1275" s="48" t="s">
        <v>8</v>
      </c>
      <c r="E1275" t="s">
        <v>272</v>
      </c>
      <c r="F1275">
        <v>2018</v>
      </c>
      <c r="G1275" t="s">
        <v>263</v>
      </c>
      <c r="H1275" s="42">
        <v>55</v>
      </c>
      <c r="J1275" t="s">
        <v>248</v>
      </c>
      <c r="L1275" s="34">
        <v>1</v>
      </c>
      <c r="M1275" s="38">
        <v>0.75</v>
      </c>
      <c r="N1275" s="38">
        <f t="shared" si="19"/>
        <v>0.75</v>
      </c>
    </row>
    <row r="1276" spans="1:14">
      <c r="A1276" s="29">
        <v>43398</v>
      </c>
      <c r="B1276" s="22" t="s">
        <v>50</v>
      </c>
      <c r="C1276" s="22" t="s">
        <v>57</v>
      </c>
      <c r="D1276" s="48" t="s">
        <v>5</v>
      </c>
      <c r="E1276" t="s">
        <v>381</v>
      </c>
      <c r="F1276">
        <v>2018</v>
      </c>
      <c r="G1276" t="s">
        <v>57</v>
      </c>
      <c r="H1276" s="42">
        <v>201</v>
      </c>
      <c r="J1276" t="s">
        <v>248</v>
      </c>
      <c r="L1276" s="34">
        <v>1</v>
      </c>
      <c r="M1276" s="38">
        <v>0.75</v>
      </c>
      <c r="N1276" s="38">
        <f t="shared" si="19"/>
        <v>0.75</v>
      </c>
    </row>
    <row r="1277" spans="1:14">
      <c r="A1277" s="29">
        <v>43398</v>
      </c>
      <c r="B1277" s="22" t="s">
        <v>50</v>
      </c>
      <c r="C1277" s="22" t="s">
        <v>57</v>
      </c>
      <c r="D1277" s="48" t="s">
        <v>5</v>
      </c>
      <c r="E1277" t="s">
        <v>381</v>
      </c>
      <c r="F1277">
        <v>2018</v>
      </c>
      <c r="G1277" t="s">
        <v>558</v>
      </c>
      <c r="H1277" s="42" t="s">
        <v>57</v>
      </c>
      <c r="J1277" t="s">
        <v>248</v>
      </c>
      <c r="L1277" s="34">
        <v>1</v>
      </c>
      <c r="M1277" s="38">
        <v>0.75</v>
      </c>
      <c r="N1277" s="38">
        <f t="shared" si="19"/>
        <v>0.75</v>
      </c>
    </row>
    <row r="1278" spans="1:14">
      <c r="A1278" s="29">
        <v>43398</v>
      </c>
      <c r="B1278" s="22" t="s">
        <v>109</v>
      </c>
      <c r="C1278" s="22" t="s">
        <v>57</v>
      </c>
      <c r="D1278" s="48" t="s">
        <v>5</v>
      </c>
      <c r="E1278" t="s">
        <v>381</v>
      </c>
      <c r="F1278">
        <v>2018</v>
      </c>
      <c r="G1278" t="s">
        <v>494</v>
      </c>
      <c r="H1278" s="42" t="s">
        <v>57</v>
      </c>
      <c r="J1278" t="s">
        <v>248</v>
      </c>
      <c r="L1278" s="34">
        <v>1</v>
      </c>
      <c r="M1278" s="38">
        <v>0.75</v>
      </c>
      <c r="N1278" s="38">
        <f t="shared" si="19"/>
        <v>0.75</v>
      </c>
    </row>
    <row r="1279" spans="1:14">
      <c r="A1279" s="29">
        <v>43398</v>
      </c>
      <c r="B1279" s="22" t="s">
        <v>109</v>
      </c>
      <c r="C1279" s="22" t="s">
        <v>57</v>
      </c>
      <c r="D1279" s="48" t="s">
        <v>5</v>
      </c>
      <c r="E1279" t="s">
        <v>381</v>
      </c>
      <c r="F1279">
        <v>2018</v>
      </c>
      <c r="G1279" t="s">
        <v>563</v>
      </c>
      <c r="H1279" s="42" t="s">
        <v>57</v>
      </c>
      <c r="J1279" t="s">
        <v>248</v>
      </c>
      <c r="L1279" s="34">
        <v>1</v>
      </c>
      <c r="M1279" s="38">
        <v>0.75</v>
      </c>
      <c r="N1279" s="38">
        <f t="shared" si="19"/>
        <v>0.75</v>
      </c>
    </row>
    <row r="1280" spans="1:14">
      <c r="A1280" s="29">
        <v>43398</v>
      </c>
      <c r="B1280" s="22" t="s">
        <v>109</v>
      </c>
      <c r="C1280" s="22" t="s">
        <v>57</v>
      </c>
      <c r="D1280" s="48" t="s">
        <v>5</v>
      </c>
      <c r="E1280" t="s">
        <v>381</v>
      </c>
      <c r="F1280">
        <v>2018</v>
      </c>
      <c r="G1280" t="s">
        <v>564</v>
      </c>
      <c r="H1280" s="42" t="s">
        <v>57</v>
      </c>
      <c r="J1280" t="s">
        <v>248</v>
      </c>
      <c r="L1280" s="34">
        <v>1</v>
      </c>
      <c r="M1280" s="38">
        <v>0.75</v>
      </c>
      <c r="N1280" s="38">
        <f t="shared" si="19"/>
        <v>0.75</v>
      </c>
    </row>
    <row r="1281" spans="1:14">
      <c r="A1281" s="29">
        <v>43398</v>
      </c>
      <c r="B1281" s="22" t="s">
        <v>109</v>
      </c>
      <c r="C1281" s="22" t="s">
        <v>57</v>
      </c>
      <c r="D1281" s="48" t="s">
        <v>8</v>
      </c>
      <c r="E1281" t="s">
        <v>179</v>
      </c>
      <c r="F1281">
        <v>2018</v>
      </c>
      <c r="G1281" t="s">
        <v>309</v>
      </c>
      <c r="H1281" s="42" t="s">
        <v>57</v>
      </c>
      <c r="J1281" t="s">
        <v>248</v>
      </c>
      <c r="L1281" s="34">
        <v>1</v>
      </c>
      <c r="M1281" s="38">
        <v>0.75</v>
      </c>
      <c r="N1281" s="38">
        <f t="shared" si="19"/>
        <v>0.75</v>
      </c>
    </row>
    <row r="1282" spans="1:14">
      <c r="A1282" s="29">
        <v>43398</v>
      </c>
      <c r="B1282" s="22" t="s">
        <v>109</v>
      </c>
      <c r="C1282" s="22" t="s">
        <v>57</v>
      </c>
      <c r="D1282" s="48" t="s">
        <v>8</v>
      </c>
      <c r="E1282" t="s">
        <v>184</v>
      </c>
      <c r="F1282">
        <v>2018</v>
      </c>
      <c r="G1282" t="s">
        <v>565</v>
      </c>
      <c r="H1282" s="42" t="s">
        <v>57</v>
      </c>
      <c r="J1282" t="s">
        <v>248</v>
      </c>
      <c r="L1282" s="34">
        <v>1</v>
      </c>
      <c r="M1282" s="38">
        <v>0.75</v>
      </c>
      <c r="N1282" s="38">
        <f t="shared" si="19"/>
        <v>0.75</v>
      </c>
    </row>
    <row r="1283" spans="1:14">
      <c r="A1283" s="29">
        <v>43398</v>
      </c>
      <c r="B1283" s="22" t="s">
        <v>109</v>
      </c>
      <c r="C1283" s="22" t="s">
        <v>57</v>
      </c>
      <c r="D1283" s="48" t="s">
        <v>8</v>
      </c>
      <c r="E1283" t="s">
        <v>184</v>
      </c>
      <c r="F1283">
        <v>2018</v>
      </c>
      <c r="G1283" t="s">
        <v>566</v>
      </c>
      <c r="H1283" s="42" t="s">
        <v>57</v>
      </c>
      <c r="J1283" t="s">
        <v>248</v>
      </c>
      <c r="L1283" s="34">
        <v>1</v>
      </c>
      <c r="M1283" s="38">
        <v>0.75</v>
      </c>
      <c r="N1283" s="38">
        <f t="shared" ref="N1283:N1346" si="20">M1283*L1283</f>
        <v>0.75</v>
      </c>
    </row>
    <row r="1284" spans="1:14">
      <c r="A1284" s="29">
        <v>43398</v>
      </c>
      <c r="B1284" s="22" t="s">
        <v>109</v>
      </c>
      <c r="C1284" s="22" t="s">
        <v>57</v>
      </c>
      <c r="D1284" s="48" t="s">
        <v>8</v>
      </c>
      <c r="E1284" t="s">
        <v>184</v>
      </c>
      <c r="F1284">
        <v>2018</v>
      </c>
      <c r="G1284" t="s">
        <v>567</v>
      </c>
      <c r="H1284" s="42" t="s">
        <v>57</v>
      </c>
      <c r="J1284" t="s">
        <v>248</v>
      </c>
      <c r="L1284" s="34">
        <v>1</v>
      </c>
      <c r="M1284" s="38">
        <v>0.75</v>
      </c>
      <c r="N1284" s="38">
        <f t="shared" si="20"/>
        <v>0.75</v>
      </c>
    </row>
    <row r="1285" spans="1:14">
      <c r="A1285" s="29">
        <v>43399</v>
      </c>
      <c r="B1285" s="22" t="s">
        <v>70</v>
      </c>
      <c r="C1285" s="22" t="s">
        <v>41</v>
      </c>
      <c r="D1285" s="48" t="s">
        <v>5</v>
      </c>
      <c r="E1285" t="s">
        <v>159</v>
      </c>
      <c r="F1285">
        <v>2018</v>
      </c>
      <c r="G1285" t="s">
        <v>253</v>
      </c>
      <c r="H1285" s="42" t="s">
        <v>57</v>
      </c>
      <c r="J1285" t="s">
        <v>248</v>
      </c>
      <c r="L1285" s="34">
        <v>3</v>
      </c>
      <c r="M1285" s="38">
        <v>0.75</v>
      </c>
      <c r="N1285" s="38">
        <f t="shared" si="20"/>
        <v>2.25</v>
      </c>
    </row>
    <row r="1286" spans="1:14">
      <c r="A1286" s="29">
        <v>43399</v>
      </c>
      <c r="B1286" s="22" t="s">
        <v>6</v>
      </c>
      <c r="C1286" s="22" t="s">
        <v>41</v>
      </c>
      <c r="D1286" s="48" t="s">
        <v>8</v>
      </c>
      <c r="E1286" t="s">
        <v>272</v>
      </c>
      <c r="F1286">
        <v>2018</v>
      </c>
      <c r="G1286" t="s">
        <v>565</v>
      </c>
      <c r="H1286" s="42" t="s">
        <v>57</v>
      </c>
      <c r="J1286" t="s">
        <v>248</v>
      </c>
      <c r="L1286" s="34">
        <v>3</v>
      </c>
      <c r="M1286" s="38">
        <v>0.75</v>
      </c>
      <c r="N1286" s="38">
        <f t="shared" si="20"/>
        <v>2.25</v>
      </c>
    </row>
    <row r="1287" spans="1:14">
      <c r="A1287" s="29">
        <v>43399</v>
      </c>
      <c r="B1287" s="22" t="s">
        <v>568</v>
      </c>
      <c r="C1287" s="22" t="s">
        <v>249</v>
      </c>
      <c r="D1287" s="48" t="s">
        <v>5</v>
      </c>
      <c r="E1287" t="s">
        <v>157</v>
      </c>
      <c r="F1287">
        <v>2018</v>
      </c>
      <c r="G1287" t="s">
        <v>251</v>
      </c>
      <c r="H1287" s="42" t="s">
        <v>544</v>
      </c>
      <c r="J1287" t="s">
        <v>248</v>
      </c>
      <c r="L1287" s="34">
        <v>3</v>
      </c>
      <c r="M1287" s="38">
        <v>0.75</v>
      </c>
      <c r="N1287" s="38">
        <f t="shared" si="20"/>
        <v>2.25</v>
      </c>
    </row>
    <row r="1288" spans="1:14">
      <c r="A1288" s="29">
        <v>43399</v>
      </c>
      <c r="B1288" s="22" t="s">
        <v>568</v>
      </c>
      <c r="C1288" s="22" t="s">
        <v>249</v>
      </c>
      <c r="D1288" s="48" t="s">
        <v>5</v>
      </c>
      <c r="E1288" t="s">
        <v>157</v>
      </c>
      <c r="F1288">
        <v>2018</v>
      </c>
      <c r="G1288" t="s">
        <v>253</v>
      </c>
      <c r="H1288" s="42" t="s">
        <v>545</v>
      </c>
      <c r="J1288" t="s">
        <v>248</v>
      </c>
      <c r="L1288" s="34">
        <v>3</v>
      </c>
      <c r="M1288" s="38">
        <v>0.75</v>
      </c>
      <c r="N1288" s="38">
        <f t="shared" si="20"/>
        <v>2.25</v>
      </c>
    </row>
    <row r="1289" spans="1:14">
      <c r="A1289" s="29">
        <v>43399</v>
      </c>
      <c r="B1289" s="22" t="s">
        <v>568</v>
      </c>
      <c r="C1289" s="22" t="s">
        <v>249</v>
      </c>
      <c r="D1289" s="48" t="s">
        <v>8</v>
      </c>
      <c r="E1289" t="s">
        <v>182</v>
      </c>
      <c r="F1289">
        <v>2018</v>
      </c>
      <c r="G1289" t="s">
        <v>57</v>
      </c>
      <c r="H1289" s="42">
        <v>203</v>
      </c>
      <c r="J1289" t="s">
        <v>248</v>
      </c>
      <c r="L1289" s="34">
        <v>3</v>
      </c>
      <c r="M1289" s="38">
        <v>0.75</v>
      </c>
      <c r="N1289" s="38">
        <f t="shared" si="20"/>
        <v>2.25</v>
      </c>
    </row>
    <row r="1290" spans="1:14">
      <c r="A1290" s="29">
        <v>43399</v>
      </c>
      <c r="B1290" s="22" t="s">
        <v>568</v>
      </c>
      <c r="C1290" s="22" t="s">
        <v>249</v>
      </c>
      <c r="D1290" s="48" t="s">
        <v>5</v>
      </c>
      <c r="E1290" t="s">
        <v>159</v>
      </c>
      <c r="F1290">
        <v>2018</v>
      </c>
      <c r="G1290" t="s">
        <v>251</v>
      </c>
      <c r="H1290" s="42">
        <v>418</v>
      </c>
      <c r="J1290" t="s">
        <v>248</v>
      </c>
      <c r="L1290" s="34">
        <v>1</v>
      </c>
      <c r="M1290" s="38">
        <v>0.75</v>
      </c>
      <c r="N1290" s="38">
        <f t="shared" si="20"/>
        <v>0.75</v>
      </c>
    </row>
    <row r="1291" spans="1:14">
      <c r="A1291" s="29">
        <v>43399</v>
      </c>
      <c r="B1291" s="22" t="s">
        <v>568</v>
      </c>
      <c r="C1291" s="22" t="s">
        <v>249</v>
      </c>
      <c r="D1291" s="48" t="s">
        <v>11</v>
      </c>
      <c r="E1291" t="s">
        <v>177</v>
      </c>
      <c r="F1291">
        <v>2018</v>
      </c>
      <c r="G1291" t="s">
        <v>57</v>
      </c>
      <c r="H1291" s="42">
        <v>133</v>
      </c>
      <c r="J1291" t="s">
        <v>248</v>
      </c>
      <c r="L1291" s="34">
        <v>1</v>
      </c>
      <c r="M1291" s="38">
        <v>0.75</v>
      </c>
      <c r="N1291" s="38">
        <f t="shared" si="20"/>
        <v>0.75</v>
      </c>
    </row>
    <row r="1292" spans="1:14">
      <c r="A1292" s="29">
        <v>43399</v>
      </c>
      <c r="B1292" s="22" t="s">
        <v>9</v>
      </c>
      <c r="C1292" s="22" t="s">
        <v>41</v>
      </c>
      <c r="D1292" s="48" t="s">
        <v>5</v>
      </c>
      <c r="E1292" t="s">
        <v>381</v>
      </c>
      <c r="F1292">
        <v>2018</v>
      </c>
      <c r="G1292" t="s">
        <v>307</v>
      </c>
      <c r="H1292" s="42" t="s">
        <v>57</v>
      </c>
      <c r="J1292" t="s">
        <v>248</v>
      </c>
      <c r="L1292" s="34">
        <v>1</v>
      </c>
      <c r="M1292" s="38">
        <v>0.75</v>
      </c>
      <c r="N1292" s="38">
        <f t="shared" si="20"/>
        <v>0.75</v>
      </c>
    </row>
    <row r="1293" spans="1:14">
      <c r="A1293" s="29">
        <v>43399</v>
      </c>
      <c r="B1293" s="22" t="s">
        <v>9</v>
      </c>
      <c r="C1293" s="22" t="s">
        <v>41</v>
      </c>
      <c r="D1293" s="48" t="s">
        <v>5</v>
      </c>
      <c r="E1293" t="s">
        <v>381</v>
      </c>
      <c r="F1293">
        <v>2018</v>
      </c>
      <c r="G1293" t="s">
        <v>558</v>
      </c>
      <c r="H1293" s="42">
        <v>206</v>
      </c>
      <c r="J1293" t="s">
        <v>248</v>
      </c>
      <c r="L1293" s="34">
        <v>1</v>
      </c>
      <c r="M1293" s="38">
        <v>0.75</v>
      </c>
      <c r="N1293" s="38">
        <f t="shared" si="20"/>
        <v>0.75</v>
      </c>
    </row>
    <row r="1294" spans="1:14">
      <c r="A1294" s="29">
        <v>43399</v>
      </c>
      <c r="B1294" s="22" t="s">
        <v>9</v>
      </c>
      <c r="C1294" s="22" t="s">
        <v>41</v>
      </c>
      <c r="D1294" s="48" t="s">
        <v>5</v>
      </c>
      <c r="E1294" t="s">
        <v>267</v>
      </c>
      <c r="F1294">
        <v>2018</v>
      </c>
      <c r="G1294" t="s">
        <v>57</v>
      </c>
      <c r="H1294" s="42">
        <v>91</v>
      </c>
      <c r="J1294" t="s">
        <v>248</v>
      </c>
      <c r="L1294" s="34">
        <v>1</v>
      </c>
      <c r="M1294" s="38">
        <v>0.75</v>
      </c>
      <c r="N1294" s="38">
        <f t="shared" si="20"/>
        <v>0.75</v>
      </c>
    </row>
    <row r="1295" spans="1:14">
      <c r="A1295" s="29">
        <v>43399</v>
      </c>
      <c r="B1295" s="22" t="s">
        <v>9</v>
      </c>
      <c r="C1295" s="22" t="s">
        <v>41</v>
      </c>
      <c r="D1295" s="48" t="s">
        <v>5</v>
      </c>
      <c r="E1295" t="s">
        <v>159</v>
      </c>
      <c r="F1295">
        <v>2018</v>
      </c>
      <c r="G1295" t="s">
        <v>251</v>
      </c>
      <c r="H1295" s="42">
        <v>418</v>
      </c>
      <c r="J1295" t="s">
        <v>248</v>
      </c>
      <c r="L1295" s="34">
        <v>1</v>
      </c>
      <c r="M1295" s="38">
        <v>0.75</v>
      </c>
      <c r="N1295" s="38">
        <f t="shared" si="20"/>
        <v>0.75</v>
      </c>
    </row>
    <row r="1296" spans="1:14">
      <c r="A1296" s="29">
        <v>43399</v>
      </c>
      <c r="B1296" s="22" t="s">
        <v>9</v>
      </c>
      <c r="C1296" s="22" t="s">
        <v>41</v>
      </c>
      <c r="D1296" s="48" t="s">
        <v>5</v>
      </c>
      <c r="E1296" t="s">
        <v>159</v>
      </c>
      <c r="F1296">
        <v>2018</v>
      </c>
      <c r="G1296" t="s">
        <v>252</v>
      </c>
      <c r="H1296" s="42">
        <v>408</v>
      </c>
      <c r="J1296" t="s">
        <v>248</v>
      </c>
      <c r="L1296" s="34">
        <v>1</v>
      </c>
      <c r="M1296" s="38">
        <v>0.75</v>
      </c>
      <c r="N1296" s="38">
        <f t="shared" si="20"/>
        <v>0.75</v>
      </c>
    </row>
    <row r="1297" spans="1:14">
      <c r="A1297" s="29">
        <v>43399</v>
      </c>
      <c r="B1297" s="22" t="s">
        <v>9</v>
      </c>
      <c r="C1297" s="22" t="s">
        <v>41</v>
      </c>
      <c r="D1297" s="48" t="s">
        <v>5</v>
      </c>
      <c r="E1297" t="s">
        <v>157</v>
      </c>
      <c r="F1297">
        <v>2018</v>
      </c>
      <c r="G1297" t="s">
        <v>251</v>
      </c>
      <c r="H1297" s="42" t="s">
        <v>544</v>
      </c>
      <c r="J1297" t="s">
        <v>248</v>
      </c>
      <c r="L1297" s="34">
        <v>1</v>
      </c>
      <c r="M1297" s="38">
        <v>0.75</v>
      </c>
      <c r="N1297" s="38">
        <f t="shared" si="20"/>
        <v>0.75</v>
      </c>
    </row>
    <row r="1298" spans="1:14">
      <c r="A1298" s="29">
        <v>43399</v>
      </c>
      <c r="B1298" s="22" t="s">
        <v>9</v>
      </c>
      <c r="C1298" s="22" t="s">
        <v>41</v>
      </c>
      <c r="D1298" s="48" t="s">
        <v>5</v>
      </c>
      <c r="E1298" t="s">
        <v>157</v>
      </c>
      <c r="F1298">
        <v>2018</v>
      </c>
      <c r="G1298" t="s">
        <v>326</v>
      </c>
      <c r="H1298" s="42" t="s">
        <v>57</v>
      </c>
      <c r="J1298" t="s">
        <v>248</v>
      </c>
      <c r="L1298" s="34">
        <v>1</v>
      </c>
      <c r="M1298" s="38">
        <v>0.75</v>
      </c>
      <c r="N1298" s="38">
        <f t="shared" si="20"/>
        <v>0.75</v>
      </c>
    </row>
    <row r="1299" spans="1:14">
      <c r="A1299" s="29">
        <v>43399</v>
      </c>
      <c r="B1299" s="22" t="s">
        <v>9</v>
      </c>
      <c r="C1299" s="22" t="s">
        <v>41</v>
      </c>
      <c r="D1299" s="48" t="s">
        <v>5</v>
      </c>
      <c r="E1299" t="s">
        <v>157</v>
      </c>
      <c r="F1299">
        <v>2018</v>
      </c>
      <c r="G1299" t="s">
        <v>247</v>
      </c>
      <c r="H1299" s="42" t="s">
        <v>545</v>
      </c>
      <c r="J1299" t="s">
        <v>248</v>
      </c>
      <c r="L1299" s="34">
        <v>1</v>
      </c>
      <c r="M1299" s="38">
        <v>0.75</v>
      </c>
      <c r="N1299" s="38">
        <f t="shared" si="20"/>
        <v>0.75</v>
      </c>
    </row>
    <row r="1300" spans="1:14">
      <c r="A1300" s="29">
        <v>43399</v>
      </c>
      <c r="B1300" s="22" t="s">
        <v>9</v>
      </c>
      <c r="C1300" s="22" t="s">
        <v>41</v>
      </c>
      <c r="D1300" s="48" t="s">
        <v>5</v>
      </c>
      <c r="E1300" t="s">
        <v>255</v>
      </c>
      <c r="F1300">
        <v>2018</v>
      </c>
      <c r="G1300" t="s">
        <v>326</v>
      </c>
      <c r="H1300" s="42" t="s">
        <v>57</v>
      </c>
      <c r="J1300" t="s">
        <v>248</v>
      </c>
      <c r="L1300" s="34">
        <v>1</v>
      </c>
      <c r="M1300" s="38">
        <v>0.75</v>
      </c>
      <c r="N1300" s="38">
        <f t="shared" si="20"/>
        <v>0.75</v>
      </c>
    </row>
    <row r="1301" spans="1:14">
      <c r="A1301" s="29">
        <v>43399</v>
      </c>
      <c r="B1301" s="22" t="s">
        <v>9</v>
      </c>
      <c r="C1301" s="22" t="s">
        <v>41</v>
      </c>
      <c r="D1301" s="48" t="s">
        <v>5</v>
      </c>
      <c r="E1301" t="s">
        <v>255</v>
      </c>
      <c r="F1301">
        <v>2018</v>
      </c>
      <c r="G1301" t="s">
        <v>247</v>
      </c>
      <c r="H1301" s="42" t="s">
        <v>57</v>
      </c>
      <c r="J1301" t="s">
        <v>248</v>
      </c>
      <c r="L1301" s="34">
        <v>1</v>
      </c>
      <c r="M1301" s="38">
        <v>0.75</v>
      </c>
      <c r="N1301" s="38">
        <f t="shared" si="20"/>
        <v>0.75</v>
      </c>
    </row>
    <row r="1302" spans="1:14">
      <c r="A1302" s="29">
        <v>43399</v>
      </c>
      <c r="B1302" s="22" t="s">
        <v>9</v>
      </c>
      <c r="C1302" s="22" t="s">
        <v>41</v>
      </c>
      <c r="D1302" s="48" t="s">
        <v>8</v>
      </c>
      <c r="E1302" t="s">
        <v>272</v>
      </c>
      <c r="F1302">
        <v>2018</v>
      </c>
      <c r="G1302" t="s">
        <v>359</v>
      </c>
      <c r="H1302" s="42">
        <v>412</v>
      </c>
      <c r="J1302" t="s">
        <v>248</v>
      </c>
      <c r="L1302" s="34">
        <v>1</v>
      </c>
      <c r="M1302" s="38">
        <v>0.75</v>
      </c>
      <c r="N1302" s="38">
        <f t="shared" si="20"/>
        <v>0.75</v>
      </c>
    </row>
    <row r="1303" spans="1:14">
      <c r="A1303" s="29">
        <v>43399</v>
      </c>
      <c r="B1303" s="22" t="s">
        <v>9</v>
      </c>
      <c r="C1303" s="22" t="s">
        <v>41</v>
      </c>
      <c r="D1303" s="48" t="s">
        <v>8</v>
      </c>
      <c r="E1303" t="s">
        <v>272</v>
      </c>
      <c r="F1303">
        <v>2018</v>
      </c>
      <c r="G1303" t="s">
        <v>263</v>
      </c>
      <c r="H1303" s="42">
        <v>52</v>
      </c>
      <c r="J1303" t="s">
        <v>248</v>
      </c>
      <c r="L1303" s="34">
        <v>1</v>
      </c>
      <c r="M1303" s="38">
        <v>0.75</v>
      </c>
      <c r="N1303" s="38">
        <f t="shared" si="20"/>
        <v>0.75</v>
      </c>
    </row>
    <row r="1304" spans="1:14">
      <c r="A1304" s="29">
        <v>43399</v>
      </c>
      <c r="B1304" s="22" t="s">
        <v>9</v>
      </c>
      <c r="C1304" s="22" t="s">
        <v>41</v>
      </c>
      <c r="D1304" s="48" t="s">
        <v>5</v>
      </c>
      <c r="E1304" t="s">
        <v>158</v>
      </c>
      <c r="F1304">
        <v>2018</v>
      </c>
      <c r="G1304" t="s">
        <v>257</v>
      </c>
      <c r="H1304" s="42" t="s">
        <v>57</v>
      </c>
      <c r="J1304" t="s">
        <v>248</v>
      </c>
      <c r="L1304" s="34">
        <v>1</v>
      </c>
      <c r="M1304" s="38">
        <v>0.75</v>
      </c>
      <c r="N1304" s="38">
        <f t="shared" si="20"/>
        <v>0.75</v>
      </c>
    </row>
    <row r="1305" spans="1:14">
      <c r="A1305" s="29">
        <v>43399</v>
      </c>
      <c r="B1305" s="22" t="s">
        <v>9</v>
      </c>
      <c r="C1305" s="22" t="s">
        <v>41</v>
      </c>
      <c r="D1305" s="48" t="s">
        <v>5</v>
      </c>
      <c r="E1305" t="s">
        <v>158</v>
      </c>
      <c r="F1305">
        <v>2018</v>
      </c>
      <c r="G1305" t="s">
        <v>252</v>
      </c>
      <c r="H1305" s="42" t="s">
        <v>57</v>
      </c>
      <c r="J1305" t="s">
        <v>248</v>
      </c>
      <c r="L1305" s="34">
        <v>1</v>
      </c>
      <c r="M1305" s="38">
        <v>0.75</v>
      </c>
      <c r="N1305" s="38">
        <f t="shared" si="20"/>
        <v>0.75</v>
      </c>
    </row>
    <row r="1306" spans="1:14">
      <c r="A1306" s="29">
        <v>43399</v>
      </c>
      <c r="B1306" s="22" t="s">
        <v>9</v>
      </c>
      <c r="C1306" s="22" t="s">
        <v>41</v>
      </c>
      <c r="D1306" s="48" t="s">
        <v>11</v>
      </c>
      <c r="E1306" t="s">
        <v>259</v>
      </c>
      <c r="F1306">
        <v>2018</v>
      </c>
      <c r="G1306" t="s">
        <v>57</v>
      </c>
      <c r="H1306" s="42">
        <v>129</v>
      </c>
      <c r="J1306" t="s">
        <v>248</v>
      </c>
      <c r="L1306" s="34">
        <v>1</v>
      </c>
      <c r="M1306" s="38">
        <v>0.75</v>
      </c>
      <c r="N1306" s="38">
        <f t="shared" si="20"/>
        <v>0.75</v>
      </c>
    </row>
    <row r="1307" spans="1:14">
      <c r="A1307" s="29">
        <v>43399</v>
      </c>
      <c r="B1307" s="22" t="s">
        <v>9</v>
      </c>
      <c r="C1307" s="22" t="s">
        <v>41</v>
      </c>
      <c r="D1307" s="48" t="s">
        <v>11</v>
      </c>
      <c r="E1307" t="s">
        <v>177</v>
      </c>
      <c r="F1307">
        <v>2018</v>
      </c>
      <c r="G1307" t="s">
        <v>500</v>
      </c>
      <c r="H1307" s="42">
        <v>133</v>
      </c>
      <c r="J1307" t="s">
        <v>248</v>
      </c>
      <c r="L1307" s="34">
        <v>1</v>
      </c>
      <c r="M1307" s="38">
        <v>0.75</v>
      </c>
      <c r="N1307" s="38">
        <f t="shared" si="20"/>
        <v>0.75</v>
      </c>
    </row>
    <row r="1308" spans="1:14">
      <c r="A1308" s="29">
        <v>43402</v>
      </c>
      <c r="B1308" s="22" t="s">
        <v>63</v>
      </c>
      <c r="C1308" s="22" t="s">
        <v>57</v>
      </c>
      <c r="D1308" s="48" t="s">
        <v>5</v>
      </c>
      <c r="E1308" t="s">
        <v>255</v>
      </c>
      <c r="F1308">
        <v>2018</v>
      </c>
      <c r="G1308" t="s">
        <v>247</v>
      </c>
      <c r="H1308" s="42" t="s">
        <v>57</v>
      </c>
      <c r="J1308" t="s">
        <v>248</v>
      </c>
      <c r="L1308" s="34">
        <v>8</v>
      </c>
      <c r="M1308" s="38">
        <v>0.75</v>
      </c>
      <c r="N1308" s="38">
        <f t="shared" si="20"/>
        <v>6</v>
      </c>
    </row>
    <row r="1309" spans="1:14">
      <c r="A1309" s="29">
        <v>43402</v>
      </c>
      <c r="B1309" s="22" t="s">
        <v>63</v>
      </c>
      <c r="C1309" s="22" t="s">
        <v>57</v>
      </c>
      <c r="D1309" s="48" t="s">
        <v>5</v>
      </c>
      <c r="E1309" t="s">
        <v>255</v>
      </c>
      <c r="F1309">
        <v>2018</v>
      </c>
      <c r="G1309" t="s">
        <v>252</v>
      </c>
      <c r="H1309" s="42">
        <v>206</v>
      </c>
      <c r="J1309" t="s">
        <v>248</v>
      </c>
      <c r="L1309" s="34">
        <v>8</v>
      </c>
      <c r="M1309" s="38">
        <v>0.75</v>
      </c>
      <c r="N1309" s="38">
        <f t="shared" si="20"/>
        <v>6</v>
      </c>
    </row>
    <row r="1310" spans="1:14">
      <c r="A1310" s="29">
        <v>43402</v>
      </c>
      <c r="B1310" s="22" t="s">
        <v>63</v>
      </c>
      <c r="C1310" s="22" t="s">
        <v>57</v>
      </c>
      <c r="D1310" s="48" t="s">
        <v>5</v>
      </c>
      <c r="E1310" t="s">
        <v>157</v>
      </c>
      <c r="F1310">
        <v>2018</v>
      </c>
      <c r="G1310" t="s">
        <v>319</v>
      </c>
      <c r="H1310" s="42" t="s">
        <v>544</v>
      </c>
      <c r="J1310" t="s">
        <v>248</v>
      </c>
      <c r="L1310" s="34">
        <v>4</v>
      </c>
      <c r="M1310" s="38">
        <v>0.75</v>
      </c>
      <c r="N1310" s="38">
        <f t="shared" si="20"/>
        <v>3</v>
      </c>
    </row>
    <row r="1311" spans="1:14">
      <c r="A1311" s="29">
        <v>43402</v>
      </c>
      <c r="B1311" s="22" t="s">
        <v>63</v>
      </c>
      <c r="C1311" s="22" t="s">
        <v>57</v>
      </c>
      <c r="D1311" s="48" t="s">
        <v>5</v>
      </c>
      <c r="E1311" t="s">
        <v>157</v>
      </c>
      <c r="F1311">
        <v>2018</v>
      </c>
      <c r="G1311" t="s">
        <v>326</v>
      </c>
      <c r="H1311" s="42" t="s">
        <v>57</v>
      </c>
      <c r="J1311" t="s">
        <v>248</v>
      </c>
      <c r="L1311" s="34">
        <v>4</v>
      </c>
      <c r="M1311" s="38">
        <v>0.75</v>
      </c>
      <c r="N1311" s="38">
        <f t="shared" si="20"/>
        <v>3</v>
      </c>
    </row>
    <row r="1312" spans="1:14">
      <c r="A1312" s="29">
        <v>43402</v>
      </c>
      <c r="B1312" s="22" t="s">
        <v>63</v>
      </c>
      <c r="C1312" s="22" t="s">
        <v>57</v>
      </c>
      <c r="D1312" s="48" t="s">
        <v>5</v>
      </c>
      <c r="E1312" t="s">
        <v>157</v>
      </c>
      <c r="F1312">
        <v>2018</v>
      </c>
      <c r="G1312" t="s">
        <v>247</v>
      </c>
      <c r="H1312" s="42" t="s">
        <v>544</v>
      </c>
      <c r="J1312" t="s">
        <v>248</v>
      </c>
      <c r="L1312" s="34">
        <v>4</v>
      </c>
      <c r="M1312" s="38">
        <v>0.75</v>
      </c>
      <c r="N1312" s="38">
        <f t="shared" si="20"/>
        <v>3</v>
      </c>
    </row>
    <row r="1313" spans="1:14">
      <c r="A1313" s="29">
        <v>43402</v>
      </c>
      <c r="B1313" s="22" t="s">
        <v>63</v>
      </c>
      <c r="C1313" s="22" t="s">
        <v>57</v>
      </c>
      <c r="D1313" s="48" t="s">
        <v>8</v>
      </c>
      <c r="E1313" t="s">
        <v>272</v>
      </c>
      <c r="F1313">
        <v>2018</v>
      </c>
      <c r="G1313" t="s">
        <v>550</v>
      </c>
      <c r="H1313" s="42">
        <v>412</v>
      </c>
      <c r="J1313" t="s">
        <v>248</v>
      </c>
      <c r="L1313" s="34">
        <v>6</v>
      </c>
      <c r="M1313" s="38">
        <v>0.75</v>
      </c>
      <c r="N1313" s="38">
        <f t="shared" si="20"/>
        <v>4.5</v>
      </c>
    </row>
    <row r="1314" spans="1:14">
      <c r="A1314" s="29">
        <v>43402</v>
      </c>
      <c r="B1314" s="22" t="s">
        <v>63</v>
      </c>
      <c r="C1314" s="22" t="s">
        <v>57</v>
      </c>
      <c r="D1314" s="48" t="s">
        <v>8</v>
      </c>
      <c r="E1314" t="s">
        <v>272</v>
      </c>
      <c r="F1314">
        <v>2018</v>
      </c>
      <c r="G1314" t="s">
        <v>479</v>
      </c>
      <c r="H1314" s="42" t="s">
        <v>57</v>
      </c>
      <c r="J1314" t="s">
        <v>248</v>
      </c>
      <c r="L1314" s="34">
        <v>6</v>
      </c>
      <c r="M1314" s="38">
        <v>0.75</v>
      </c>
      <c r="N1314" s="38">
        <f t="shared" si="20"/>
        <v>4.5</v>
      </c>
    </row>
    <row r="1315" spans="1:14">
      <c r="A1315" s="29">
        <v>43402</v>
      </c>
      <c r="B1315" s="22" t="s">
        <v>63</v>
      </c>
      <c r="C1315" s="22" t="s">
        <v>57</v>
      </c>
      <c r="D1315" s="48" t="s">
        <v>5</v>
      </c>
      <c r="E1315" t="s">
        <v>159</v>
      </c>
      <c r="F1315">
        <v>2018</v>
      </c>
      <c r="G1315" t="s">
        <v>319</v>
      </c>
      <c r="H1315" s="42">
        <v>418</v>
      </c>
      <c r="J1315" t="s">
        <v>248</v>
      </c>
      <c r="L1315" s="34">
        <v>9</v>
      </c>
      <c r="M1315" s="38">
        <v>0.75</v>
      </c>
      <c r="N1315" s="38">
        <f t="shared" si="20"/>
        <v>6.75</v>
      </c>
    </row>
    <row r="1316" spans="1:14">
      <c r="A1316" s="29">
        <v>43402</v>
      </c>
      <c r="B1316" s="22" t="s">
        <v>63</v>
      </c>
      <c r="C1316" s="22" t="s">
        <v>57</v>
      </c>
      <c r="D1316" s="48" t="s">
        <v>5</v>
      </c>
      <c r="E1316" t="s">
        <v>158</v>
      </c>
      <c r="F1316">
        <v>2018</v>
      </c>
      <c r="G1316" t="s">
        <v>257</v>
      </c>
      <c r="H1316" s="42" t="s">
        <v>57</v>
      </c>
      <c r="J1316" t="s">
        <v>248</v>
      </c>
      <c r="L1316" s="34">
        <v>2</v>
      </c>
      <c r="M1316" s="38">
        <v>0.75</v>
      </c>
      <c r="N1316" s="38">
        <f t="shared" si="20"/>
        <v>1.5</v>
      </c>
    </row>
    <row r="1317" spans="1:14">
      <c r="A1317" s="29">
        <v>43402</v>
      </c>
      <c r="B1317" s="22" t="s">
        <v>63</v>
      </c>
      <c r="C1317" s="22" t="s">
        <v>57</v>
      </c>
      <c r="D1317" s="48" t="s">
        <v>5</v>
      </c>
      <c r="E1317" t="s">
        <v>158</v>
      </c>
      <c r="F1317">
        <v>2018</v>
      </c>
      <c r="G1317" t="s">
        <v>326</v>
      </c>
      <c r="H1317" s="42" t="s">
        <v>57</v>
      </c>
      <c r="J1317" t="s">
        <v>248</v>
      </c>
      <c r="L1317" s="34">
        <v>2</v>
      </c>
      <c r="M1317" s="38">
        <v>0.75</v>
      </c>
      <c r="N1317" s="38">
        <f t="shared" si="20"/>
        <v>1.5</v>
      </c>
    </row>
    <row r="1318" spans="1:14">
      <c r="A1318" s="29">
        <v>43402</v>
      </c>
      <c r="B1318" s="22" t="s">
        <v>60</v>
      </c>
      <c r="C1318" s="22" t="s">
        <v>53</v>
      </c>
      <c r="D1318" s="48" t="s">
        <v>5</v>
      </c>
      <c r="E1318" t="s">
        <v>159</v>
      </c>
      <c r="F1318">
        <v>2018</v>
      </c>
      <c r="G1318" t="s">
        <v>319</v>
      </c>
      <c r="H1318" s="42">
        <v>418</v>
      </c>
      <c r="J1318" t="s">
        <v>248</v>
      </c>
      <c r="L1318" s="34">
        <v>2</v>
      </c>
      <c r="M1318" s="38">
        <v>0.75</v>
      </c>
      <c r="N1318" s="38">
        <f t="shared" si="20"/>
        <v>1.5</v>
      </c>
    </row>
    <row r="1319" spans="1:14">
      <c r="A1319" s="29">
        <v>43402</v>
      </c>
      <c r="B1319" s="22" t="s">
        <v>60</v>
      </c>
      <c r="C1319" s="22" t="s">
        <v>53</v>
      </c>
      <c r="D1319" s="48" t="s">
        <v>5</v>
      </c>
      <c r="E1319" t="s">
        <v>158</v>
      </c>
      <c r="F1319">
        <v>2018</v>
      </c>
      <c r="G1319" t="s">
        <v>257</v>
      </c>
      <c r="H1319" s="42" t="s">
        <v>57</v>
      </c>
      <c r="J1319" t="s">
        <v>248</v>
      </c>
      <c r="L1319" s="34">
        <v>2</v>
      </c>
      <c r="M1319" s="38">
        <v>0.75</v>
      </c>
      <c r="N1319" s="38">
        <f t="shared" si="20"/>
        <v>1.5</v>
      </c>
    </row>
    <row r="1320" spans="1:14">
      <c r="A1320" s="29">
        <v>43402</v>
      </c>
      <c r="B1320" s="22" t="s">
        <v>60</v>
      </c>
      <c r="C1320" s="22" t="s">
        <v>53</v>
      </c>
      <c r="D1320" s="48" t="s">
        <v>5</v>
      </c>
      <c r="E1320" t="s">
        <v>158</v>
      </c>
      <c r="F1320">
        <v>2018</v>
      </c>
      <c r="G1320" t="s">
        <v>326</v>
      </c>
      <c r="H1320" s="42" t="s">
        <v>57</v>
      </c>
      <c r="J1320" t="s">
        <v>248</v>
      </c>
      <c r="L1320" s="34">
        <v>2</v>
      </c>
      <c r="M1320" s="38">
        <v>0.75</v>
      </c>
      <c r="N1320" s="38">
        <f t="shared" si="20"/>
        <v>1.5</v>
      </c>
    </row>
    <row r="1321" spans="1:14">
      <c r="A1321" s="29">
        <v>43402</v>
      </c>
      <c r="B1321" s="22" t="s">
        <v>60</v>
      </c>
      <c r="C1321" s="22" t="s">
        <v>53</v>
      </c>
      <c r="D1321" s="48" t="s">
        <v>8</v>
      </c>
      <c r="E1321" t="s">
        <v>272</v>
      </c>
      <c r="F1321">
        <v>2018</v>
      </c>
      <c r="G1321" t="s">
        <v>548</v>
      </c>
      <c r="H1321" s="42">
        <v>412</v>
      </c>
      <c r="J1321" t="s">
        <v>248</v>
      </c>
      <c r="L1321" s="34">
        <v>2</v>
      </c>
      <c r="M1321" s="38">
        <v>0.75</v>
      </c>
      <c r="N1321" s="38">
        <f t="shared" si="20"/>
        <v>1.5</v>
      </c>
    </row>
    <row r="1322" spans="1:14">
      <c r="A1322" s="29">
        <v>43402</v>
      </c>
      <c r="B1322" s="22" t="s">
        <v>60</v>
      </c>
      <c r="C1322" s="22" t="s">
        <v>53</v>
      </c>
      <c r="D1322" s="48" t="s">
        <v>8</v>
      </c>
      <c r="E1322" t="s">
        <v>272</v>
      </c>
      <c r="F1322">
        <v>2018</v>
      </c>
      <c r="G1322" t="s">
        <v>263</v>
      </c>
      <c r="H1322" s="42">
        <v>53</v>
      </c>
      <c r="J1322" t="s">
        <v>248</v>
      </c>
      <c r="L1322" s="34">
        <v>2</v>
      </c>
      <c r="M1322" s="38">
        <v>0.75</v>
      </c>
      <c r="N1322" s="38">
        <f t="shared" si="20"/>
        <v>1.5</v>
      </c>
    </row>
    <row r="1323" spans="1:14">
      <c r="A1323" s="29">
        <v>43402</v>
      </c>
      <c r="B1323" s="22" t="s">
        <v>60</v>
      </c>
      <c r="C1323" s="22" t="s">
        <v>53</v>
      </c>
      <c r="D1323" s="48" t="s">
        <v>8</v>
      </c>
      <c r="E1323" t="s">
        <v>179</v>
      </c>
      <c r="F1323">
        <v>2018</v>
      </c>
      <c r="G1323" t="s">
        <v>569</v>
      </c>
      <c r="H1323" s="42">
        <v>202</v>
      </c>
      <c r="J1323" t="s">
        <v>248</v>
      </c>
      <c r="L1323" s="34">
        <v>2</v>
      </c>
      <c r="M1323" s="38">
        <v>0.75</v>
      </c>
      <c r="N1323" s="38">
        <f t="shared" si="20"/>
        <v>1.5</v>
      </c>
    </row>
    <row r="1324" spans="1:14">
      <c r="A1324" s="29">
        <v>43402</v>
      </c>
      <c r="B1324" s="22" t="s">
        <v>57</v>
      </c>
      <c r="C1324" s="22" t="s">
        <v>570</v>
      </c>
      <c r="D1324" s="48" t="s">
        <v>5</v>
      </c>
      <c r="E1324" t="s">
        <v>255</v>
      </c>
      <c r="F1324">
        <v>2018</v>
      </c>
      <c r="G1324" t="s">
        <v>252</v>
      </c>
      <c r="H1324" s="42">
        <v>206</v>
      </c>
      <c r="J1324" t="s">
        <v>248</v>
      </c>
      <c r="L1324" s="34">
        <v>2</v>
      </c>
      <c r="M1324" s="38">
        <v>0.75</v>
      </c>
      <c r="N1324" s="38">
        <f t="shared" si="20"/>
        <v>1.5</v>
      </c>
    </row>
    <row r="1325" spans="1:14">
      <c r="A1325" s="29">
        <v>43402</v>
      </c>
      <c r="B1325" s="22" t="s">
        <v>57</v>
      </c>
      <c r="C1325" s="22" t="s">
        <v>570</v>
      </c>
      <c r="D1325" s="48" t="s">
        <v>5</v>
      </c>
      <c r="E1325" t="s">
        <v>488</v>
      </c>
      <c r="F1325">
        <v>2018</v>
      </c>
      <c r="G1325" t="s">
        <v>253</v>
      </c>
      <c r="H1325" s="42" t="s">
        <v>57</v>
      </c>
      <c r="J1325" t="s">
        <v>248</v>
      </c>
      <c r="L1325" s="34">
        <v>2</v>
      </c>
      <c r="M1325" s="38">
        <v>0.75</v>
      </c>
      <c r="N1325" s="38">
        <f t="shared" si="20"/>
        <v>1.5</v>
      </c>
    </row>
    <row r="1326" spans="1:14">
      <c r="A1326" s="29">
        <v>43402</v>
      </c>
      <c r="B1326" s="22" t="s">
        <v>57</v>
      </c>
      <c r="C1326" s="22" t="s">
        <v>570</v>
      </c>
      <c r="D1326" s="48" t="s">
        <v>5</v>
      </c>
      <c r="E1326" t="s">
        <v>157</v>
      </c>
      <c r="F1326">
        <v>2018</v>
      </c>
      <c r="G1326" t="s">
        <v>319</v>
      </c>
      <c r="H1326" s="42" t="s">
        <v>544</v>
      </c>
      <c r="J1326" t="s">
        <v>248</v>
      </c>
      <c r="L1326" s="34">
        <v>2</v>
      </c>
      <c r="M1326" s="38">
        <v>0.75</v>
      </c>
      <c r="N1326" s="38">
        <f t="shared" si="20"/>
        <v>1.5</v>
      </c>
    </row>
    <row r="1327" spans="1:14">
      <c r="A1327" s="29">
        <v>43402</v>
      </c>
      <c r="B1327" s="22" t="s">
        <v>57</v>
      </c>
      <c r="C1327" s="22" t="s">
        <v>570</v>
      </c>
      <c r="D1327" s="48" t="s">
        <v>5</v>
      </c>
      <c r="E1327" t="s">
        <v>157</v>
      </c>
      <c r="F1327">
        <v>2018</v>
      </c>
      <c r="G1327" t="s">
        <v>252</v>
      </c>
      <c r="H1327" s="42" t="s">
        <v>57</v>
      </c>
      <c r="J1327" t="s">
        <v>248</v>
      </c>
      <c r="L1327" s="34">
        <v>2</v>
      </c>
      <c r="M1327" s="38">
        <v>0.75</v>
      </c>
      <c r="N1327" s="38">
        <f t="shared" si="20"/>
        <v>1.5</v>
      </c>
    </row>
    <row r="1328" spans="1:14">
      <c r="A1328" s="29">
        <v>43402</v>
      </c>
      <c r="B1328" s="22" t="s">
        <v>57</v>
      </c>
      <c r="C1328" s="22" t="s">
        <v>570</v>
      </c>
      <c r="D1328" s="48" t="s">
        <v>5</v>
      </c>
      <c r="E1328" t="s">
        <v>157</v>
      </c>
      <c r="F1328">
        <v>2018</v>
      </c>
      <c r="G1328" t="s">
        <v>247</v>
      </c>
      <c r="H1328" s="42" t="s">
        <v>545</v>
      </c>
      <c r="J1328" t="s">
        <v>248</v>
      </c>
      <c r="L1328" s="34">
        <v>2</v>
      </c>
      <c r="M1328" s="38">
        <v>0.75</v>
      </c>
      <c r="N1328" s="38">
        <f t="shared" si="20"/>
        <v>1.5</v>
      </c>
    </row>
    <row r="1329" spans="1:14">
      <c r="A1329" s="29">
        <v>43402</v>
      </c>
      <c r="B1329" s="22" t="s">
        <v>57</v>
      </c>
      <c r="C1329" s="22" t="s">
        <v>570</v>
      </c>
      <c r="D1329" s="48" t="s">
        <v>5</v>
      </c>
      <c r="E1329" t="s">
        <v>159</v>
      </c>
      <c r="F1329">
        <v>2018</v>
      </c>
      <c r="G1329" t="s">
        <v>251</v>
      </c>
      <c r="H1329" s="42">
        <v>418</v>
      </c>
      <c r="J1329" t="s">
        <v>248</v>
      </c>
      <c r="L1329" s="34">
        <v>2</v>
      </c>
      <c r="M1329" s="38">
        <v>0.75</v>
      </c>
      <c r="N1329" s="38">
        <f t="shared" si="20"/>
        <v>1.5</v>
      </c>
    </row>
    <row r="1330" spans="1:14">
      <c r="A1330" s="29">
        <v>43402</v>
      </c>
      <c r="B1330" s="22" t="s">
        <v>57</v>
      </c>
      <c r="C1330" s="22" t="s">
        <v>570</v>
      </c>
      <c r="D1330" s="48" t="s">
        <v>8</v>
      </c>
      <c r="E1330" t="s">
        <v>177</v>
      </c>
      <c r="F1330">
        <v>2018</v>
      </c>
      <c r="G1330" t="s">
        <v>57</v>
      </c>
      <c r="H1330" s="42">
        <v>424</v>
      </c>
      <c r="J1330" t="s">
        <v>248</v>
      </c>
      <c r="L1330" s="34">
        <v>2</v>
      </c>
      <c r="M1330" s="38">
        <v>0.75</v>
      </c>
      <c r="N1330" s="38">
        <f t="shared" si="20"/>
        <v>1.5</v>
      </c>
    </row>
    <row r="1331" spans="1:14">
      <c r="A1331" s="29">
        <v>43402</v>
      </c>
      <c r="B1331" s="22" t="s">
        <v>57</v>
      </c>
      <c r="C1331" s="22" t="s">
        <v>570</v>
      </c>
      <c r="D1331" s="48" t="s">
        <v>8</v>
      </c>
      <c r="E1331" t="s">
        <v>259</v>
      </c>
      <c r="F1331">
        <v>2018</v>
      </c>
      <c r="G1331" t="s">
        <v>57</v>
      </c>
      <c r="H1331" s="42">
        <v>322</v>
      </c>
      <c r="J1331" t="s">
        <v>248</v>
      </c>
      <c r="L1331" s="34">
        <v>2</v>
      </c>
      <c r="M1331" s="38">
        <v>0.75</v>
      </c>
      <c r="N1331" s="38">
        <f t="shared" si="20"/>
        <v>1.5</v>
      </c>
    </row>
    <row r="1332" spans="1:14">
      <c r="A1332" s="29">
        <v>43403</v>
      </c>
      <c r="B1332" s="22" t="s">
        <v>57</v>
      </c>
      <c r="C1332" s="22" t="s">
        <v>24</v>
      </c>
      <c r="D1332" s="48" t="s">
        <v>5</v>
      </c>
      <c r="E1332" t="s">
        <v>157</v>
      </c>
      <c r="F1332">
        <v>2018</v>
      </c>
      <c r="G1332" t="s">
        <v>571</v>
      </c>
      <c r="H1332" s="42" t="s">
        <v>57</v>
      </c>
      <c r="J1332" t="s">
        <v>248</v>
      </c>
      <c r="K1332" t="s">
        <v>572</v>
      </c>
      <c r="L1332" s="34">
        <v>3</v>
      </c>
      <c r="M1332" s="38">
        <v>0.75</v>
      </c>
      <c r="N1332" s="38">
        <f t="shared" si="20"/>
        <v>2.25</v>
      </c>
    </row>
    <row r="1333" spans="1:14">
      <c r="A1333" s="29">
        <v>43403</v>
      </c>
      <c r="B1333" s="22" t="s">
        <v>57</v>
      </c>
      <c r="C1333" s="22" t="s">
        <v>24</v>
      </c>
      <c r="D1333" s="48" t="s">
        <v>5</v>
      </c>
      <c r="E1333" t="s">
        <v>157</v>
      </c>
      <c r="F1333">
        <v>2018</v>
      </c>
      <c r="G1333" t="s">
        <v>571</v>
      </c>
      <c r="H1333" s="42" t="s">
        <v>57</v>
      </c>
      <c r="J1333" t="s">
        <v>248</v>
      </c>
      <c r="K1333" t="s">
        <v>573</v>
      </c>
      <c r="L1333" s="34">
        <v>3</v>
      </c>
      <c r="M1333" s="38">
        <v>0.75</v>
      </c>
      <c r="N1333" s="38">
        <f t="shared" si="20"/>
        <v>2.25</v>
      </c>
    </row>
    <row r="1334" spans="1:14">
      <c r="A1334" s="29">
        <v>43403</v>
      </c>
      <c r="B1334" s="22" t="s">
        <v>57</v>
      </c>
      <c r="C1334" s="22" t="s">
        <v>24</v>
      </c>
      <c r="D1334" s="48" t="s">
        <v>5</v>
      </c>
      <c r="E1334" t="s">
        <v>157</v>
      </c>
      <c r="F1334">
        <v>2018</v>
      </c>
      <c r="G1334" t="s">
        <v>571</v>
      </c>
      <c r="H1334" s="42" t="s">
        <v>57</v>
      </c>
      <c r="J1334" t="s">
        <v>248</v>
      </c>
      <c r="K1334" t="s">
        <v>574</v>
      </c>
      <c r="L1334" s="34">
        <v>3</v>
      </c>
      <c r="M1334" s="38">
        <v>0.75</v>
      </c>
      <c r="N1334" s="38">
        <f t="shared" si="20"/>
        <v>2.25</v>
      </c>
    </row>
    <row r="1335" spans="1:14">
      <c r="A1335" s="29">
        <v>43404</v>
      </c>
      <c r="B1335" s="22" t="s">
        <v>575</v>
      </c>
      <c r="C1335" s="22" t="s">
        <v>576</v>
      </c>
      <c r="D1335" s="48" t="s">
        <v>11</v>
      </c>
      <c r="E1335" t="s">
        <v>577</v>
      </c>
      <c r="F1335">
        <v>2018</v>
      </c>
      <c r="G1335" t="s">
        <v>57</v>
      </c>
      <c r="H1335" s="42" t="s">
        <v>57</v>
      </c>
      <c r="J1335" t="s">
        <v>248</v>
      </c>
      <c r="K1335" t="s">
        <v>578</v>
      </c>
      <c r="L1335" s="34">
        <v>2</v>
      </c>
      <c r="M1335" s="38">
        <v>0.75</v>
      </c>
      <c r="N1335" s="38">
        <f t="shared" si="20"/>
        <v>1.5</v>
      </c>
    </row>
    <row r="1336" spans="1:14">
      <c r="A1336" s="29">
        <v>43404</v>
      </c>
      <c r="B1336" s="22" t="s">
        <v>575</v>
      </c>
      <c r="C1336" s="22" t="s">
        <v>576</v>
      </c>
      <c r="D1336" s="48" t="s">
        <v>11</v>
      </c>
      <c r="E1336" t="s">
        <v>579</v>
      </c>
      <c r="F1336">
        <v>2018</v>
      </c>
      <c r="G1336" t="s">
        <v>565</v>
      </c>
      <c r="H1336" s="42" t="s">
        <v>57</v>
      </c>
      <c r="J1336" t="s">
        <v>248</v>
      </c>
      <c r="K1336" t="s">
        <v>580</v>
      </c>
      <c r="L1336" s="34">
        <v>2</v>
      </c>
      <c r="M1336" s="38">
        <v>0.75</v>
      </c>
      <c r="N1336" s="38">
        <f t="shared" si="20"/>
        <v>1.5</v>
      </c>
    </row>
    <row r="1337" spans="1:14">
      <c r="A1337" s="29">
        <v>43404</v>
      </c>
      <c r="B1337" s="22" t="s">
        <v>575</v>
      </c>
      <c r="C1337" s="22" t="s">
        <v>576</v>
      </c>
      <c r="D1337" s="48" t="s">
        <v>11</v>
      </c>
      <c r="E1337" t="s">
        <v>579</v>
      </c>
      <c r="F1337">
        <v>2018</v>
      </c>
      <c r="G1337" t="s">
        <v>566</v>
      </c>
      <c r="H1337" s="42" t="s">
        <v>57</v>
      </c>
      <c r="J1337" t="s">
        <v>248</v>
      </c>
      <c r="K1337" t="s">
        <v>581</v>
      </c>
      <c r="L1337" s="34">
        <v>2</v>
      </c>
      <c r="M1337" s="38">
        <v>0.75</v>
      </c>
      <c r="N1337" s="38">
        <f t="shared" si="20"/>
        <v>1.5</v>
      </c>
    </row>
    <row r="1338" spans="1:14">
      <c r="A1338" s="29">
        <v>43404</v>
      </c>
      <c r="B1338" s="22" t="s">
        <v>74</v>
      </c>
      <c r="C1338" s="22" t="s">
        <v>57</v>
      </c>
      <c r="D1338" s="48" t="s">
        <v>5</v>
      </c>
      <c r="E1338" t="s">
        <v>306</v>
      </c>
      <c r="F1338">
        <v>2018</v>
      </c>
      <c r="G1338" t="s">
        <v>374</v>
      </c>
      <c r="H1338" s="42" t="s">
        <v>57</v>
      </c>
      <c r="J1338" t="s">
        <v>248</v>
      </c>
      <c r="L1338" s="34">
        <v>2</v>
      </c>
      <c r="M1338" s="38">
        <v>0.75</v>
      </c>
      <c r="N1338" s="38">
        <f t="shared" si="20"/>
        <v>1.5</v>
      </c>
    </row>
    <row r="1339" spans="1:14">
      <c r="A1339" s="29">
        <v>43404</v>
      </c>
      <c r="B1339" s="22" t="s">
        <v>74</v>
      </c>
      <c r="C1339" s="22" t="s">
        <v>57</v>
      </c>
      <c r="D1339" s="48" t="s">
        <v>5</v>
      </c>
      <c r="E1339" t="s">
        <v>259</v>
      </c>
      <c r="F1339">
        <v>2018</v>
      </c>
      <c r="G1339" t="s">
        <v>316</v>
      </c>
      <c r="H1339" s="42" t="s">
        <v>57</v>
      </c>
      <c r="J1339" t="s">
        <v>248</v>
      </c>
      <c r="L1339" s="34">
        <v>2</v>
      </c>
      <c r="M1339" s="38">
        <v>0.75</v>
      </c>
      <c r="N1339" s="38">
        <f t="shared" si="20"/>
        <v>1.5</v>
      </c>
    </row>
    <row r="1340" spans="1:14">
      <c r="A1340" s="29">
        <v>43404</v>
      </c>
      <c r="B1340" s="22" t="s">
        <v>109</v>
      </c>
      <c r="C1340" s="22" t="s">
        <v>57</v>
      </c>
      <c r="D1340" s="48" t="s">
        <v>5</v>
      </c>
      <c r="E1340" t="s">
        <v>159</v>
      </c>
      <c r="F1340">
        <v>2018</v>
      </c>
      <c r="G1340" t="s">
        <v>562</v>
      </c>
      <c r="H1340" s="42" t="s">
        <v>57</v>
      </c>
      <c r="J1340" t="s">
        <v>248</v>
      </c>
      <c r="L1340" s="34">
        <v>3</v>
      </c>
      <c r="M1340" s="38">
        <v>0.75</v>
      </c>
      <c r="N1340" s="38">
        <f t="shared" si="20"/>
        <v>2.25</v>
      </c>
    </row>
    <row r="1341" spans="1:14">
      <c r="A1341" s="29">
        <v>43404</v>
      </c>
      <c r="B1341" s="22" t="s">
        <v>109</v>
      </c>
      <c r="C1341" s="22" t="s">
        <v>57</v>
      </c>
      <c r="D1341" s="48" t="s">
        <v>5</v>
      </c>
      <c r="E1341" t="s">
        <v>381</v>
      </c>
      <c r="F1341">
        <v>2018</v>
      </c>
      <c r="G1341" t="s">
        <v>494</v>
      </c>
      <c r="H1341" s="42" t="s">
        <v>57</v>
      </c>
      <c r="J1341" t="s">
        <v>248</v>
      </c>
      <c r="L1341" s="34">
        <v>6</v>
      </c>
      <c r="M1341" s="38">
        <v>0.75</v>
      </c>
      <c r="N1341" s="38">
        <f t="shared" si="20"/>
        <v>4.5</v>
      </c>
    </row>
    <row r="1342" spans="1:14">
      <c r="A1342" s="29">
        <v>43404</v>
      </c>
      <c r="B1342" s="22" t="s">
        <v>109</v>
      </c>
      <c r="C1342" s="22" t="s">
        <v>57</v>
      </c>
      <c r="D1342" s="48" t="s">
        <v>5</v>
      </c>
      <c r="E1342" t="s">
        <v>381</v>
      </c>
      <c r="F1342">
        <v>2018</v>
      </c>
      <c r="G1342" t="s">
        <v>563</v>
      </c>
      <c r="H1342" s="42" t="s">
        <v>57</v>
      </c>
      <c r="J1342" t="s">
        <v>248</v>
      </c>
      <c r="L1342" s="34">
        <v>6</v>
      </c>
      <c r="M1342" s="38">
        <v>0.75</v>
      </c>
      <c r="N1342" s="38">
        <f t="shared" si="20"/>
        <v>4.5</v>
      </c>
    </row>
    <row r="1343" spans="1:14">
      <c r="A1343" s="29">
        <v>43404</v>
      </c>
      <c r="B1343" s="22" t="s">
        <v>109</v>
      </c>
      <c r="C1343" s="22" t="s">
        <v>57</v>
      </c>
      <c r="D1343" s="48" t="s">
        <v>5</v>
      </c>
      <c r="E1343" t="s">
        <v>381</v>
      </c>
      <c r="F1343">
        <v>2018</v>
      </c>
      <c r="G1343" t="s">
        <v>564</v>
      </c>
      <c r="H1343" s="42" t="s">
        <v>57</v>
      </c>
      <c r="J1343" t="s">
        <v>248</v>
      </c>
      <c r="L1343" s="34">
        <v>6</v>
      </c>
      <c r="M1343" s="38">
        <v>0.75</v>
      </c>
      <c r="N1343" s="38">
        <f t="shared" si="20"/>
        <v>4.5</v>
      </c>
    </row>
    <row r="1344" spans="1:14">
      <c r="A1344" s="29">
        <v>43404</v>
      </c>
      <c r="B1344" s="22" t="s">
        <v>109</v>
      </c>
      <c r="C1344" s="22" t="s">
        <v>57</v>
      </c>
      <c r="D1344" s="48" t="s">
        <v>8</v>
      </c>
      <c r="E1344" t="s">
        <v>179</v>
      </c>
      <c r="F1344">
        <v>2018</v>
      </c>
      <c r="G1344" t="s">
        <v>309</v>
      </c>
      <c r="H1344" s="42" t="s">
        <v>57</v>
      </c>
      <c r="J1344" t="s">
        <v>248</v>
      </c>
      <c r="L1344" s="34">
        <v>6</v>
      </c>
      <c r="M1344" s="38">
        <v>0.75</v>
      </c>
      <c r="N1344" s="38">
        <f t="shared" si="20"/>
        <v>4.5</v>
      </c>
    </row>
    <row r="1345" spans="1:14">
      <c r="A1345" s="29">
        <v>43404</v>
      </c>
      <c r="B1345" s="22" t="s">
        <v>109</v>
      </c>
      <c r="C1345" s="22" t="s">
        <v>57</v>
      </c>
      <c r="D1345" s="48" t="s">
        <v>8</v>
      </c>
      <c r="E1345" t="s">
        <v>184</v>
      </c>
      <c r="F1345">
        <v>2018</v>
      </c>
      <c r="G1345" t="s">
        <v>565</v>
      </c>
      <c r="H1345" s="42" t="s">
        <v>57</v>
      </c>
      <c r="J1345" t="s">
        <v>248</v>
      </c>
      <c r="L1345" s="34">
        <v>6</v>
      </c>
      <c r="M1345" s="38">
        <v>0.75</v>
      </c>
      <c r="N1345" s="38">
        <f t="shared" si="20"/>
        <v>4.5</v>
      </c>
    </row>
    <row r="1346" spans="1:14">
      <c r="A1346" s="29">
        <v>43404</v>
      </c>
      <c r="B1346" s="22" t="s">
        <v>109</v>
      </c>
      <c r="C1346" s="22" t="s">
        <v>57</v>
      </c>
      <c r="D1346" s="48" t="s">
        <v>8</v>
      </c>
      <c r="E1346" t="s">
        <v>184</v>
      </c>
      <c r="F1346">
        <v>2018</v>
      </c>
      <c r="G1346" t="s">
        <v>566</v>
      </c>
      <c r="H1346" s="42" t="s">
        <v>57</v>
      </c>
      <c r="J1346" t="s">
        <v>248</v>
      </c>
      <c r="L1346" s="34">
        <v>6</v>
      </c>
      <c r="M1346" s="38">
        <v>0.75</v>
      </c>
      <c r="N1346" s="38">
        <f t="shared" si="20"/>
        <v>4.5</v>
      </c>
    </row>
    <row r="1347" spans="1:14">
      <c r="A1347" s="29">
        <v>43404</v>
      </c>
      <c r="B1347" s="22" t="s">
        <v>109</v>
      </c>
      <c r="C1347" s="22" t="s">
        <v>57</v>
      </c>
      <c r="D1347" s="48" t="s">
        <v>8</v>
      </c>
      <c r="E1347" t="s">
        <v>184</v>
      </c>
      <c r="F1347">
        <v>2018</v>
      </c>
      <c r="G1347" t="s">
        <v>567</v>
      </c>
      <c r="H1347" s="42" t="s">
        <v>57</v>
      </c>
      <c r="J1347" t="s">
        <v>248</v>
      </c>
      <c r="L1347" s="34">
        <v>6</v>
      </c>
      <c r="M1347" s="38">
        <v>0.75</v>
      </c>
      <c r="N1347" s="38">
        <f t="shared" ref="N1347:N1410" si="21">M1347*L1347</f>
        <v>4.5</v>
      </c>
    </row>
    <row r="1348" spans="1:14">
      <c r="A1348" s="29">
        <v>43404</v>
      </c>
      <c r="B1348" s="22" t="s">
        <v>57</v>
      </c>
      <c r="C1348" s="22" t="s">
        <v>39</v>
      </c>
      <c r="D1348" s="48" t="s">
        <v>5</v>
      </c>
      <c r="E1348" t="s">
        <v>159</v>
      </c>
      <c r="F1348">
        <v>2018</v>
      </c>
      <c r="G1348" t="s">
        <v>252</v>
      </c>
      <c r="H1348" s="42" t="s">
        <v>57</v>
      </c>
      <c r="J1348" t="s">
        <v>248</v>
      </c>
      <c r="L1348" s="34">
        <v>2</v>
      </c>
      <c r="M1348" s="38">
        <v>0.75</v>
      </c>
      <c r="N1348" s="38">
        <f t="shared" si="21"/>
        <v>1.5</v>
      </c>
    </row>
    <row r="1349" spans="1:14">
      <c r="A1349" s="29">
        <v>43404</v>
      </c>
      <c r="B1349" s="22" t="s">
        <v>109</v>
      </c>
      <c r="C1349" s="22" t="s">
        <v>57</v>
      </c>
      <c r="D1349" s="48" t="s">
        <v>8</v>
      </c>
      <c r="E1349" t="s">
        <v>272</v>
      </c>
      <c r="F1349">
        <v>2018</v>
      </c>
      <c r="G1349" t="s">
        <v>359</v>
      </c>
      <c r="H1349" s="42" t="s">
        <v>57</v>
      </c>
      <c r="J1349" t="s">
        <v>248</v>
      </c>
      <c r="L1349" s="34">
        <v>8</v>
      </c>
      <c r="M1349" s="38">
        <v>0.75</v>
      </c>
      <c r="N1349" s="38">
        <f t="shared" si="21"/>
        <v>6</v>
      </c>
    </row>
    <row r="1350" spans="1:14">
      <c r="A1350" s="29">
        <v>43409</v>
      </c>
      <c r="B1350" s="22" t="s">
        <v>57</v>
      </c>
      <c r="C1350" s="22" t="s">
        <v>38</v>
      </c>
      <c r="D1350" s="48" t="s">
        <v>5</v>
      </c>
      <c r="E1350" t="s">
        <v>157</v>
      </c>
      <c r="F1350">
        <v>2018</v>
      </c>
      <c r="G1350" t="s">
        <v>247</v>
      </c>
      <c r="H1350" s="42" t="s">
        <v>545</v>
      </c>
      <c r="J1350" t="s">
        <v>248</v>
      </c>
      <c r="L1350" s="34">
        <v>1</v>
      </c>
      <c r="M1350" s="38">
        <v>5</v>
      </c>
      <c r="N1350" s="38">
        <f t="shared" si="21"/>
        <v>5</v>
      </c>
    </row>
    <row r="1351" spans="1:14">
      <c r="A1351" s="29">
        <v>43409</v>
      </c>
      <c r="B1351" s="22" t="s">
        <v>57</v>
      </c>
      <c r="C1351" s="22" t="s">
        <v>38</v>
      </c>
      <c r="D1351" s="48" t="s">
        <v>5</v>
      </c>
      <c r="E1351" t="s">
        <v>157</v>
      </c>
      <c r="F1351">
        <v>2018</v>
      </c>
      <c r="G1351" t="s">
        <v>247</v>
      </c>
      <c r="H1351" s="42" t="s">
        <v>545</v>
      </c>
      <c r="J1351" t="s">
        <v>248</v>
      </c>
      <c r="L1351" s="34">
        <v>1</v>
      </c>
      <c r="M1351" s="38">
        <v>0.75</v>
      </c>
      <c r="N1351" s="38">
        <f t="shared" si="21"/>
        <v>0.75</v>
      </c>
    </row>
    <row r="1352" spans="1:14">
      <c r="A1352" s="29">
        <v>43409</v>
      </c>
      <c r="B1352" s="22" t="s">
        <v>57</v>
      </c>
      <c r="C1352" s="22" t="s">
        <v>38</v>
      </c>
      <c r="D1352" s="48" t="s">
        <v>5</v>
      </c>
      <c r="E1352" t="s">
        <v>159</v>
      </c>
      <c r="F1352">
        <v>2018</v>
      </c>
      <c r="G1352" t="s">
        <v>247</v>
      </c>
      <c r="H1352" s="42" t="s">
        <v>57</v>
      </c>
      <c r="J1352" t="s">
        <v>248</v>
      </c>
      <c r="L1352" s="34">
        <v>1</v>
      </c>
      <c r="M1352" s="38">
        <v>5</v>
      </c>
      <c r="N1352" s="38">
        <f t="shared" si="21"/>
        <v>5</v>
      </c>
    </row>
    <row r="1353" spans="1:14">
      <c r="A1353" s="29">
        <v>43409</v>
      </c>
      <c r="B1353" s="22" t="s">
        <v>57</v>
      </c>
      <c r="C1353" s="22" t="s">
        <v>38</v>
      </c>
      <c r="D1353" s="48" t="s">
        <v>5</v>
      </c>
      <c r="E1353" t="s">
        <v>159</v>
      </c>
      <c r="F1353">
        <v>2018</v>
      </c>
      <c r="G1353" t="s">
        <v>247</v>
      </c>
      <c r="H1353" s="42" t="s">
        <v>57</v>
      </c>
      <c r="J1353" t="s">
        <v>248</v>
      </c>
      <c r="L1353" s="34">
        <v>1</v>
      </c>
      <c r="M1353" s="38">
        <v>0.75</v>
      </c>
      <c r="N1353" s="38">
        <f t="shared" si="21"/>
        <v>0.75</v>
      </c>
    </row>
    <row r="1354" spans="1:14">
      <c r="A1354" s="29">
        <v>43409</v>
      </c>
      <c r="B1354" s="22" t="s">
        <v>77</v>
      </c>
      <c r="C1354" s="22" t="s">
        <v>47</v>
      </c>
      <c r="D1354" s="48" t="s">
        <v>8</v>
      </c>
      <c r="E1354" t="s">
        <v>259</v>
      </c>
      <c r="F1354">
        <v>2018</v>
      </c>
      <c r="G1354" t="s">
        <v>316</v>
      </c>
      <c r="H1354" s="42" t="s">
        <v>57</v>
      </c>
      <c r="J1354" t="s">
        <v>248</v>
      </c>
      <c r="L1354" s="34">
        <v>1</v>
      </c>
      <c r="M1354" s="38">
        <v>0.75</v>
      </c>
      <c r="N1354" s="38">
        <f t="shared" si="21"/>
        <v>0.75</v>
      </c>
    </row>
    <row r="1355" spans="1:14">
      <c r="A1355" s="29">
        <v>43409</v>
      </c>
      <c r="B1355" s="22" t="s">
        <v>582</v>
      </c>
      <c r="C1355" s="22" t="s">
        <v>47</v>
      </c>
      <c r="D1355" s="48" t="s">
        <v>5</v>
      </c>
      <c r="E1355" t="s">
        <v>381</v>
      </c>
      <c r="F1355">
        <v>2018</v>
      </c>
      <c r="G1355" t="s">
        <v>564</v>
      </c>
      <c r="H1355" s="42" t="s">
        <v>57</v>
      </c>
      <c r="J1355" t="s">
        <v>248</v>
      </c>
      <c r="K1355" t="s">
        <v>583</v>
      </c>
      <c r="L1355" s="34">
        <v>1</v>
      </c>
      <c r="M1355" s="38">
        <v>0.75</v>
      </c>
      <c r="N1355" s="38">
        <f t="shared" si="21"/>
        <v>0.75</v>
      </c>
    </row>
    <row r="1356" spans="1:14">
      <c r="A1356" s="29">
        <v>43409</v>
      </c>
      <c r="B1356" s="22" t="s">
        <v>582</v>
      </c>
      <c r="C1356" s="22" t="s">
        <v>47</v>
      </c>
      <c r="D1356" s="48" t="s">
        <v>5</v>
      </c>
      <c r="E1356" t="s">
        <v>157</v>
      </c>
      <c r="F1356">
        <v>2018</v>
      </c>
      <c r="G1356" t="s">
        <v>247</v>
      </c>
      <c r="H1356" s="42" t="s">
        <v>545</v>
      </c>
      <c r="J1356" t="s">
        <v>248</v>
      </c>
      <c r="L1356" s="34">
        <v>1</v>
      </c>
      <c r="M1356" s="38">
        <v>0.75</v>
      </c>
      <c r="N1356" s="38">
        <f t="shared" si="21"/>
        <v>0.75</v>
      </c>
    </row>
    <row r="1357" spans="1:14">
      <c r="A1357" s="29">
        <v>43409</v>
      </c>
      <c r="B1357" s="22" t="s">
        <v>60</v>
      </c>
      <c r="C1357" s="22" t="s">
        <v>45</v>
      </c>
      <c r="D1357" s="48" t="s">
        <v>5</v>
      </c>
      <c r="E1357" t="s">
        <v>159</v>
      </c>
      <c r="F1357">
        <v>2018</v>
      </c>
      <c r="G1357" t="s">
        <v>584</v>
      </c>
      <c r="H1357" s="42" t="s">
        <v>57</v>
      </c>
      <c r="J1357" t="s">
        <v>248</v>
      </c>
      <c r="K1357" t="s">
        <v>585</v>
      </c>
      <c r="L1357" s="34">
        <v>1</v>
      </c>
      <c r="M1357" s="38">
        <v>0.75</v>
      </c>
      <c r="N1357" s="38">
        <f t="shared" si="21"/>
        <v>0.75</v>
      </c>
    </row>
    <row r="1358" spans="1:14">
      <c r="A1358" s="29">
        <v>43410</v>
      </c>
      <c r="B1358" s="22" t="s">
        <v>60</v>
      </c>
      <c r="C1358" s="22" t="s">
        <v>45</v>
      </c>
      <c r="D1358" s="48" t="s">
        <v>8</v>
      </c>
      <c r="E1358" t="s">
        <v>272</v>
      </c>
      <c r="F1358">
        <v>2018</v>
      </c>
      <c r="G1358" t="s">
        <v>263</v>
      </c>
      <c r="H1358" s="42">
        <v>53</v>
      </c>
      <c r="J1358" t="s">
        <v>248</v>
      </c>
      <c r="L1358" s="34">
        <v>2</v>
      </c>
      <c r="M1358" s="38">
        <v>0.75</v>
      </c>
      <c r="N1358" s="38">
        <f t="shared" si="21"/>
        <v>1.5</v>
      </c>
    </row>
    <row r="1359" spans="1:14">
      <c r="A1359" s="29">
        <v>43410</v>
      </c>
      <c r="B1359" s="22" t="s">
        <v>60</v>
      </c>
      <c r="C1359" s="22" t="s">
        <v>45</v>
      </c>
      <c r="D1359" s="48" t="s">
        <v>5</v>
      </c>
      <c r="E1359" t="s">
        <v>157</v>
      </c>
      <c r="F1359">
        <v>2018</v>
      </c>
      <c r="G1359" t="s">
        <v>326</v>
      </c>
      <c r="H1359" s="42" t="s">
        <v>57</v>
      </c>
      <c r="J1359" t="s">
        <v>248</v>
      </c>
      <c r="L1359" s="34">
        <v>2</v>
      </c>
      <c r="M1359" s="38">
        <v>0.75</v>
      </c>
      <c r="N1359" s="38">
        <f t="shared" si="21"/>
        <v>1.5</v>
      </c>
    </row>
    <row r="1360" spans="1:14">
      <c r="A1360" s="29">
        <v>43410</v>
      </c>
      <c r="B1360" s="22" t="s">
        <v>60</v>
      </c>
      <c r="C1360" s="22" t="s">
        <v>45</v>
      </c>
      <c r="D1360" s="48" t="s">
        <v>5</v>
      </c>
      <c r="E1360" t="s">
        <v>157</v>
      </c>
      <c r="F1360">
        <v>2018</v>
      </c>
      <c r="G1360" t="s">
        <v>247</v>
      </c>
      <c r="H1360" s="42" t="s">
        <v>545</v>
      </c>
      <c r="J1360" t="s">
        <v>248</v>
      </c>
      <c r="L1360" s="34">
        <v>2</v>
      </c>
      <c r="M1360" s="38">
        <v>0.75</v>
      </c>
      <c r="N1360" s="38">
        <f t="shared" si="21"/>
        <v>1.5</v>
      </c>
    </row>
    <row r="1361" spans="1:14">
      <c r="A1361" s="29">
        <v>43410</v>
      </c>
      <c r="B1361" s="22" t="s">
        <v>19</v>
      </c>
      <c r="C1361" s="22" t="s">
        <v>47</v>
      </c>
      <c r="D1361" s="48" t="s">
        <v>5</v>
      </c>
      <c r="E1361" t="s">
        <v>161</v>
      </c>
      <c r="F1361">
        <v>2018</v>
      </c>
      <c r="G1361" t="s">
        <v>57</v>
      </c>
      <c r="H1361" s="42">
        <v>25</v>
      </c>
      <c r="J1361" t="s">
        <v>248</v>
      </c>
      <c r="L1361" s="34">
        <v>2</v>
      </c>
      <c r="M1361" s="38">
        <v>0.75</v>
      </c>
      <c r="N1361" s="38">
        <f t="shared" si="21"/>
        <v>1.5</v>
      </c>
    </row>
    <row r="1362" spans="1:14">
      <c r="A1362" s="29">
        <v>43410</v>
      </c>
      <c r="B1362" s="22" t="s">
        <v>19</v>
      </c>
      <c r="C1362" s="22" t="s">
        <v>47</v>
      </c>
      <c r="D1362" s="48" t="s">
        <v>5</v>
      </c>
      <c r="E1362" t="s">
        <v>161</v>
      </c>
      <c r="F1362">
        <v>2018</v>
      </c>
      <c r="G1362" t="s">
        <v>57</v>
      </c>
      <c r="H1362" s="42">
        <v>29</v>
      </c>
      <c r="J1362" t="s">
        <v>248</v>
      </c>
      <c r="L1362" s="34">
        <v>2</v>
      </c>
      <c r="M1362" s="38">
        <v>0.75</v>
      </c>
      <c r="N1362" s="38">
        <f t="shared" si="21"/>
        <v>1.5</v>
      </c>
    </row>
    <row r="1363" spans="1:14">
      <c r="A1363" s="29">
        <v>43410</v>
      </c>
      <c r="B1363" s="22" t="s">
        <v>19</v>
      </c>
      <c r="C1363" s="22" t="s">
        <v>47</v>
      </c>
      <c r="D1363" s="48" t="s">
        <v>5</v>
      </c>
      <c r="E1363" t="s">
        <v>255</v>
      </c>
      <c r="F1363">
        <v>2018</v>
      </c>
      <c r="G1363" t="s">
        <v>252</v>
      </c>
      <c r="H1363" s="42">
        <v>209</v>
      </c>
      <c r="J1363" t="s">
        <v>248</v>
      </c>
      <c r="L1363" s="34">
        <v>2</v>
      </c>
      <c r="M1363" s="38">
        <v>0.75</v>
      </c>
      <c r="N1363" s="38">
        <f t="shared" si="21"/>
        <v>1.5</v>
      </c>
    </row>
    <row r="1364" spans="1:14">
      <c r="A1364" s="29">
        <v>43410</v>
      </c>
      <c r="B1364" s="22" t="s">
        <v>19</v>
      </c>
      <c r="C1364" s="22" t="s">
        <v>47</v>
      </c>
      <c r="D1364" s="48" t="s">
        <v>5</v>
      </c>
      <c r="E1364" t="s">
        <v>255</v>
      </c>
      <c r="F1364">
        <v>2018</v>
      </c>
      <c r="G1364" t="s">
        <v>247</v>
      </c>
      <c r="H1364" s="42" t="s">
        <v>57</v>
      </c>
      <c r="J1364" t="s">
        <v>248</v>
      </c>
      <c r="L1364" s="34">
        <v>2</v>
      </c>
      <c r="M1364" s="38">
        <v>0.75</v>
      </c>
      <c r="N1364" s="38">
        <f t="shared" si="21"/>
        <v>1.5</v>
      </c>
    </row>
    <row r="1365" spans="1:14">
      <c r="A1365" s="29">
        <v>43410</v>
      </c>
      <c r="B1365" s="22" t="s">
        <v>50</v>
      </c>
      <c r="C1365" s="22" t="s">
        <v>57</v>
      </c>
      <c r="D1365" s="48" t="s">
        <v>5</v>
      </c>
      <c r="E1365" t="s">
        <v>157</v>
      </c>
      <c r="F1365">
        <v>2018</v>
      </c>
      <c r="G1365" t="s">
        <v>247</v>
      </c>
      <c r="H1365" s="42" t="s">
        <v>545</v>
      </c>
      <c r="J1365" t="s">
        <v>248</v>
      </c>
      <c r="L1365" s="34">
        <v>2</v>
      </c>
      <c r="M1365" s="38">
        <v>0.75</v>
      </c>
      <c r="N1365" s="38">
        <f t="shared" si="21"/>
        <v>1.5</v>
      </c>
    </row>
    <row r="1366" spans="1:14">
      <c r="A1366" s="29">
        <v>43410</v>
      </c>
      <c r="B1366" s="22" t="s">
        <v>50</v>
      </c>
      <c r="C1366" s="22" t="s">
        <v>57</v>
      </c>
      <c r="D1366" s="48" t="s">
        <v>5</v>
      </c>
      <c r="E1366" t="s">
        <v>255</v>
      </c>
      <c r="F1366">
        <v>2018</v>
      </c>
      <c r="G1366" t="s">
        <v>247</v>
      </c>
      <c r="H1366" s="42" t="s">
        <v>57</v>
      </c>
      <c r="J1366" t="s">
        <v>248</v>
      </c>
      <c r="L1366" s="34">
        <v>2</v>
      </c>
      <c r="M1366" s="38">
        <v>0.75</v>
      </c>
      <c r="N1366" s="38">
        <f t="shared" si="21"/>
        <v>1.5</v>
      </c>
    </row>
    <row r="1367" spans="1:14">
      <c r="A1367" s="29">
        <v>43410</v>
      </c>
      <c r="B1367" s="22" t="s">
        <v>63</v>
      </c>
      <c r="C1367" s="22" t="s">
        <v>57</v>
      </c>
      <c r="D1367" s="48" t="s">
        <v>5</v>
      </c>
      <c r="E1367" t="s">
        <v>157</v>
      </c>
      <c r="F1367">
        <v>2018</v>
      </c>
      <c r="G1367" t="s">
        <v>247</v>
      </c>
      <c r="H1367" s="42" t="s">
        <v>545</v>
      </c>
      <c r="J1367" t="s">
        <v>248</v>
      </c>
      <c r="L1367" s="34">
        <v>2</v>
      </c>
      <c r="M1367" s="38">
        <v>0.75</v>
      </c>
      <c r="N1367" s="38">
        <f t="shared" si="21"/>
        <v>1.5</v>
      </c>
    </row>
    <row r="1368" spans="1:14">
      <c r="A1368" s="29">
        <v>43410</v>
      </c>
      <c r="B1368" s="22" t="s">
        <v>63</v>
      </c>
      <c r="C1368" s="22" t="s">
        <v>57</v>
      </c>
      <c r="D1368" s="48" t="s">
        <v>5</v>
      </c>
      <c r="E1368" t="s">
        <v>157</v>
      </c>
      <c r="F1368">
        <v>2018</v>
      </c>
      <c r="G1368" t="s">
        <v>326</v>
      </c>
      <c r="H1368" s="42" t="s">
        <v>57</v>
      </c>
      <c r="J1368" t="s">
        <v>248</v>
      </c>
      <c r="L1368" s="34">
        <v>2</v>
      </c>
      <c r="M1368" s="38">
        <v>0.75</v>
      </c>
      <c r="N1368" s="38">
        <f t="shared" si="21"/>
        <v>1.5</v>
      </c>
    </row>
    <row r="1369" spans="1:14">
      <c r="A1369" s="29">
        <v>43410</v>
      </c>
      <c r="B1369" s="22" t="s">
        <v>63</v>
      </c>
      <c r="C1369" s="22" t="s">
        <v>57</v>
      </c>
      <c r="D1369" s="48" t="s">
        <v>5</v>
      </c>
      <c r="E1369" t="s">
        <v>255</v>
      </c>
      <c r="F1369">
        <v>2018</v>
      </c>
      <c r="G1369" t="s">
        <v>247</v>
      </c>
      <c r="H1369" s="42" t="s">
        <v>57</v>
      </c>
      <c r="J1369" t="s">
        <v>248</v>
      </c>
      <c r="L1369" s="34">
        <v>2</v>
      </c>
      <c r="M1369" s="38">
        <v>0.75</v>
      </c>
      <c r="N1369" s="38">
        <f t="shared" si="21"/>
        <v>1.5</v>
      </c>
    </row>
    <row r="1370" spans="1:14">
      <c r="A1370" s="29">
        <v>43411</v>
      </c>
      <c r="B1370" s="22" t="s">
        <v>586</v>
      </c>
      <c r="C1370" s="22" t="s">
        <v>57</v>
      </c>
      <c r="D1370" s="48" t="s">
        <v>5</v>
      </c>
      <c r="E1370" t="s">
        <v>262</v>
      </c>
      <c r="F1370">
        <v>2018</v>
      </c>
      <c r="G1370" t="s">
        <v>587</v>
      </c>
      <c r="H1370" s="42" t="s">
        <v>57</v>
      </c>
      <c r="J1370" t="s">
        <v>248</v>
      </c>
      <c r="L1370" s="34">
        <v>20</v>
      </c>
      <c r="M1370" s="38">
        <v>0.75</v>
      </c>
      <c r="N1370" s="38">
        <f t="shared" si="21"/>
        <v>15</v>
      </c>
    </row>
    <row r="1371" spans="1:14">
      <c r="A1371" s="29">
        <v>43411</v>
      </c>
      <c r="B1371" s="22" t="s">
        <v>60</v>
      </c>
      <c r="C1371" s="22" t="s">
        <v>53</v>
      </c>
      <c r="D1371" s="48" t="s">
        <v>5</v>
      </c>
      <c r="E1371" t="s">
        <v>158</v>
      </c>
      <c r="F1371">
        <v>2018</v>
      </c>
      <c r="G1371" t="s">
        <v>565</v>
      </c>
      <c r="H1371" s="42" t="s">
        <v>57</v>
      </c>
      <c r="J1371" t="s">
        <v>248</v>
      </c>
      <c r="L1371" s="34">
        <v>1</v>
      </c>
      <c r="M1371" s="38">
        <v>0.75</v>
      </c>
      <c r="N1371" s="38">
        <f t="shared" si="21"/>
        <v>0.75</v>
      </c>
    </row>
    <row r="1372" spans="1:14">
      <c r="A1372" s="29">
        <v>43411</v>
      </c>
      <c r="B1372" s="22" t="s">
        <v>60</v>
      </c>
      <c r="C1372" s="22" t="s">
        <v>53</v>
      </c>
      <c r="D1372" s="48" t="s">
        <v>5</v>
      </c>
      <c r="E1372" t="s">
        <v>158</v>
      </c>
      <c r="F1372">
        <v>2018</v>
      </c>
      <c r="G1372" t="s">
        <v>566</v>
      </c>
      <c r="H1372" s="42" t="s">
        <v>57</v>
      </c>
      <c r="J1372" t="s">
        <v>248</v>
      </c>
      <c r="L1372" s="34">
        <v>1</v>
      </c>
      <c r="M1372" s="38">
        <v>0.75</v>
      </c>
      <c r="N1372" s="38">
        <f t="shared" si="21"/>
        <v>0.75</v>
      </c>
    </row>
    <row r="1373" spans="1:14">
      <c r="A1373" s="29">
        <v>43411</v>
      </c>
      <c r="B1373" s="22" t="s">
        <v>60</v>
      </c>
      <c r="C1373" s="22" t="s">
        <v>53</v>
      </c>
      <c r="D1373" s="48" t="s">
        <v>5</v>
      </c>
      <c r="E1373" t="s">
        <v>158</v>
      </c>
      <c r="F1373">
        <v>2018</v>
      </c>
      <c r="G1373" t="s">
        <v>567</v>
      </c>
      <c r="H1373" s="42" t="s">
        <v>57</v>
      </c>
      <c r="J1373" t="s">
        <v>248</v>
      </c>
      <c r="L1373" s="34">
        <v>1</v>
      </c>
      <c r="M1373" s="38">
        <v>0.75</v>
      </c>
      <c r="N1373" s="38">
        <f t="shared" si="21"/>
        <v>0.75</v>
      </c>
    </row>
    <row r="1374" spans="1:14">
      <c r="A1374" s="29">
        <v>43412</v>
      </c>
      <c r="B1374" s="22" t="s">
        <v>13</v>
      </c>
      <c r="C1374" s="22" t="s">
        <v>57</v>
      </c>
      <c r="D1374" s="48" t="s">
        <v>5</v>
      </c>
      <c r="E1374" t="s">
        <v>159</v>
      </c>
      <c r="F1374">
        <v>2018</v>
      </c>
      <c r="G1374" t="s">
        <v>588</v>
      </c>
      <c r="H1374" s="42">
        <v>419</v>
      </c>
      <c r="J1374" t="s">
        <v>248</v>
      </c>
      <c r="L1374" s="34">
        <v>28</v>
      </c>
      <c r="M1374" s="38">
        <v>0.75</v>
      </c>
      <c r="N1374" s="38">
        <f t="shared" si="21"/>
        <v>21</v>
      </c>
    </row>
    <row r="1375" spans="1:14">
      <c r="A1375" s="29">
        <v>43412</v>
      </c>
      <c r="B1375" s="22" t="s">
        <v>13</v>
      </c>
      <c r="C1375" s="22" t="s">
        <v>57</v>
      </c>
      <c r="D1375" s="48" t="s">
        <v>5</v>
      </c>
      <c r="E1375" t="s">
        <v>157</v>
      </c>
      <c r="F1375">
        <v>2018</v>
      </c>
      <c r="G1375" t="s">
        <v>588</v>
      </c>
      <c r="H1375" s="42">
        <v>28</v>
      </c>
      <c r="J1375" t="s">
        <v>248</v>
      </c>
      <c r="L1375" s="34">
        <v>28</v>
      </c>
      <c r="M1375" s="38">
        <v>0.75</v>
      </c>
      <c r="N1375" s="38">
        <f t="shared" si="21"/>
        <v>21</v>
      </c>
    </row>
    <row r="1376" spans="1:14">
      <c r="A1376" s="29">
        <v>43412</v>
      </c>
      <c r="B1376" s="22" t="s">
        <v>13</v>
      </c>
      <c r="C1376" s="22" t="s">
        <v>57</v>
      </c>
      <c r="D1376" s="48" t="s">
        <v>11</v>
      </c>
      <c r="E1376" t="s">
        <v>177</v>
      </c>
      <c r="F1376">
        <v>2018</v>
      </c>
      <c r="G1376" t="s">
        <v>507</v>
      </c>
      <c r="H1376" s="42" t="s">
        <v>589</v>
      </c>
      <c r="J1376" t="s">
        <v>248</v>
      </c>
      <c r="L1376" s="34">
        <v>4</v>
      </c>
      <c r="M1376" s="38">
        <v>0.75</v>
      </c>
      <c r="N1376" s="38">
        <f t="shared" si="21"/>
        <v>3</v>
      </c>
    </row>
    <row r="1377" spans="1:14">
      <c r="A1377" s="29">
        <v>43412</v>
      </c>
      <c r="B1377" s="22" t="s">
        <v>13</v>
      </c>
      <c r="C1377" s="22" t="s">
        <v>57</v>
      </c>
      <c r="D1377" s="48" t="s">
        <v>11</v>
      </c>
      <c r="E1377" t="s">
        <v>177</v>
      </c>
      <c r="F1377">
        <v>2018</v>
      </c>
      <c r="G1377" t="s">
        <v>507</v>
      </c>
      <c r="H1377" s="42" t="s">
        <v>590</v>
      </c>
      <c r="J1377" t="s">
        <v>248</v>
      </c>
      <c r="L1377" s="34">
        <v>4</v>
      </c>
      <c r="M1377" s="38">
        <v>0.75</v>
      </c>
      <c r="N1377" s="38">
        <f t="shared" si="21"/>
        <v>3</v>
      </c>
    </row>
    <row r="1378" spans="1:14">
      <c r="A1378" s="29">
        <v>43412</v>
      </c>
      <c r="B1378" s="22" t="s">
        <v>13</v>
      </c>
      <c r="C1378" s="22" t="s">
        <v>57</v>
      </c>
      <c r="D1378" s="48" t="s">
        <v>11</v>
      </c>
      <c r="E1378" t="s">
        <v>177</v>
      </c>
      <c r="F1378">
        <v>2018</v>
      </c>
      <c r="G1378" t="s">
        <v>500</v>
      </c>
      <c r="H1378" s="42">
        <v>133</v>
      </c>
      <c r="J1378" t="s">
        <v>248</v>
      </c>
      <c r="L1378" s="34">
        <v>4</v>
      </c>
      <c r="M1378" s="38">
        <v>0.75</v>
      </c>
      <c r="N1378" s="38">
        <f t="shared" si="21"/>
        <v>3</v>
      </c>
    </row>
    <row r="1379" spans="1:14">
      <c r="A1379" s="29">
        <v>43412</v>
      </c>
      <c r="B1379" s="22" t="s">
        <v>591</v>
      </c>
      <c r="C1379" s="22" t="s">
        <v>57</v>
      </c>
      <c r="D1379" s="48" t="s">
        <v>5</v>
      </c>
      <c r="E1379" t="s">
        <v>262</v>
      </c>
      <c r="F1379">
        <v>2018</v>
      </c>
      <c r="G1379" t="s">
        <v>587</v>
      </c>
      <c r="H1379" s="42" t="s">
        <v>57</v>
      </c>
      <c r="J1379" t="s">
        <v>248</v>
      </c>
      <c r="K1379" t="s">
        <v>592</v>
      </c>
      <c r="L1379" s="34">
        <v>2</v>
      </c>
      <c r="M1379" s="38">
        <v>0.75</v>
      </c>
      <c r="N1379" s="38">
        <f t="shared" si="21"/>
        <v>1.5</v>
      </c>
    </row>
    <row r="1380" spans="1:14">
      <c r="A1380" s="29">
        <v>43412</v>
      </c>
      <c r="B1380" s="22" t="s">
        <v>591</v>
      </c>
      <c r="C1380" s="22" t="s">
        <v>57</v>
      </c>
      <c r="D1380" s="48" t="s">
        <v>5</v>
      </c>
      <c r="E1380" t="s">
        <v>255</v>
      </c>
      <c r="F1380">
        <v>2018</v>
      </c>
      <c r="G1380" t="s">
        <v>57</v>
      </c>
      <c r="H1380" s="42">
        <v>51</v>
      </c>
      <c r="J1380" t="s">
        <v>248</v>
      </c>
      <c r="K1380" t="s">
        <v>593</v>
      </c>
      <c r="L1380" s="34">
        <v>2</v>
      </c>
      <c r="M1380" s="38">
        <v>0.75</v>
      </c>
      <c r="N1380" s="38">
        <f t="shared" si="21"/>
        <v>1.5</v>
      </c>
    </row>
    <row r="1381" spans="1:14">
      <c r="A1381" s="29">
        <v>43412</v>
      </c>
      <c r="B1381" s="22" t="s">
        <v>591</v>
      </c>
      <c r="C1381" s="22" t="s">
        <v>57</v>
      </c>
      <c r="D1381" s="48" t="s">
        <v>5</v>
      </c>
      <c r="E1381" t="s">
        <v>158</v>
      </c>
      <c r="F1381">
        <v>2018</v>
      </c>
      <c r="G1381" t="s">
        <v>500</v>
      </c>
      <c r="H1381" s="42" t="s">
        <v>57</v>
      </c>
      <c r="J1381" t="s">
        <v>248</v>
      </c>
      <c r="L1381" s="34">
        <v>2</v>
      </c>
      <c r="M1381" s="38">
        <v>0.75</v>
      </c>
      <c r="N1381" s="38">
        <f t="shared" si="21"/>
        <v>1.5</v>
      </c>
    </row>
    <row r="1382" spans="1:14">
      <c r="A1382" s="29">
        <v>43413</v>
      </c>
      <c r="B1382" s="22" t="s">
        <v>125</v>
      </c>
      <c r="C1382" s="22" t="s">
        <v>249</v>
      </c>
      <c r="D1382" s="48" t="s">
        <v>5</v>
      </c>
      <c r="E1382" t="s">
        <v>157</v>
      </c>
      <c r="F1382">
        <v>2017</v>
      </c>
      <c r="G1382" t="s">
        <v>540</v>
      </c>
      <c r="H1382" s="42" t="s">
        <v>57</v>
      </c>
      <c r="J1382" t="s">
        <v>248</v>
      </c>
      <c r="K1382" t="s">
        <v>594</v>
      </c>
      <c r="L1382" s="34">
        <v>2</v>
      </c>
      <c r="M1382" s="38">
        <v>0.75</v>
      </c>
      <c r="N1382" s="38">
        <f t="shared" si="21"/>
        <v>1.5</v>
      </c>
    </row>
    <row r="1383" spans="1:14">
      <c r="A1383" s="29">
        <v>43413</v>
      </c>
      <c r="B1383" s="22" t="s">
        <v>125</v>
      </c>
      <c r="C1383" s="22" t="s">
        <v>249</v>
      </c>
      <c r="D1383" s="48" t="s">
        <v>5</v>
      </c>
      <c r="E1383" t="s">
        <v>157</v>
      </c>
      <c r="F1383">
        <v>2018</v>
      </c>
      <c r="G1383" t="s">
        <v>540</v>
      </c>
      <c r="H1383" s="42" t="s">
        <v>57</v>
      </c>
      <c r="J1383" t="s">
        <v>248</v>
      </c>
      <c r="K1383" t="s">
        <v>595</v>
      </c>
      <c r="L1383" s="34">
        <v>2</v>
      </c>
      <c r="M1383" s="38">
        <v>0.75</v>
      </c>
      <c r="N1383" s="38">
        <f t="shared" si="21"/>
        <v>1.5</v>
      </c>
    </row>
    <row r="1384" spans="1:14">
      <c r="A1384" s="29">
        <v>43413</v>
      </c>
      <c r="B1384" s="22" t="s">
        <v>109</v>
      </c>
      <c r="C1384" s="22" t="s">
        <v>57</v>
      </c>
      <c r="D1384" s="48" t="s">
        <v>8</v>
      </c>
      <c r="E1384" t="s">
        <v>184</v>
      </c>
      <c r="F1384">
        <v>2018</v>
      </c>
      <c r="G1384" t="s">
        <v>565</v>
      </c>
      <c r="H1384" s="42" t="s">
        <v>57</v>
      </c>
      <c r="J1384" t="s">
        <v>248</v>
      </c>
      <c r="L1384" s="34">
        <v>7</v>
      </c>
      <c r="M1384" s="38">
        <v>0.75</v>
      </c>
      <c r="N1384" s="38">
        <f t="shared" si="21"/>
        <v>5.25</v>
      </c>
    </row>
    <row r="1385" spans="1:14">
      <c r="A1385" s="29">
        <v>43413</v>
      </c>
      <c r="B1385" s="22" t="s">
        <v>109</v>
      </c>
      <c r="C1385" s="22" t="s">
        <v>57</v>
      </c>
      <c r="D1385" s="48" t="s">
        <v>8</v>
      </c>
      <c r="E1385" t="s">
        <v>184</v>
      </c>
      <c r="F1385">
        <v>2018</v>
      </c>
      <c r="G1385" t="s">
        <v>566</v>
      </c>
      <c r="H1385" s="42" t="s">
        <v>57</v>
      </c>
      <c r="J1385" t="s">
        <v>248</v>
      </c>
      <c r="L1385" s="34">
        <v>7</v>
      </c>
      <c r="M1385" s="38">
        <v>0.75</v>
      </c>
      <c r="N1385" s="38">
        <f t="shared" si="21"/>
        <v>5.25</v>
      </c>
    </row>
    <row r="1386" spans="1:14">
      <c r="A1386" s="29">
        <v>43413</v>
      </c>
      <c r="B1386" s="22" t="s">
        <v>109</v>
      </c>
      <c r="C1386" s="22" t="s">
        <v>57</v>
      </c>
      <c r="D1386" s="48" t="s">
        <v>8</v>
      </c>
      <c r="E1386" t="s">
        <v>184</v>
      </c>
      <c r="F1386">
        <v>2018</v>
      </c>
      <c r="G1386" t="s">
        <v>567</v>
      </c>
      <c r="H1386" s="42" t="s">
        <v>57</v>
      </c>
      <c r="J1386" t="s">
        <v>248</v>
      </c>
      <c r="L1386" s="34">
        <v>7</v>
      </c>
      <c r="M1386" s="38">
        <v>0.75</v>
      </c>
      <c r="N1386" s="38">
        <f t="shared" si="21"/>
        <v>5.25</v>
      </c>
    </row>
    <row r="1387" spans="1:14">
      <c r="A1387" s="29">
        <v>43413</v>
      </c>
      <c r="B1387" s="22" t="s">
        <v>109</v>
      </c>
      <c r="C1387" s="22" t="s">
        <v>57</v>
      </c>
      <c r="D1387" s="48" t="s">
        <v>8</v>
      </c>
      <c r="E1387" t="s">
        <v>179</v>
      </c>
      <c r="F1387">
        <v>2018</v>
      </c>
      <c r="G1387" t="s">
        <v>309</v>
      </c>
      <c r="H1387" s="42" t="s">
        <v>57</v>
      </c>
      <c r="J1387" t="s">
        <v>248</v>
      </c>
      <c r="L1387" s="34">
        <v>1</v>
      </c>
      <c r="M1387" s="38">
        <v>0.75</v>
      </c>
      <c r="N1387" s="38">
        <f t="shared" si="21"/>
        <v>0.75</v>
      </c>
    </row>
    <row r="1388" spans="1:14">
      <c r="A1388" s="29">
        <v>43413</v>
      </c>
      <c r="B1388" s="22" t="s">
        <v>109</v>
      </c>
      <c r="C1388" s="22" t="s">
        <v>57</v>
      </c>
      <c r="D1388" s="48" t="s">
        <v>8</v>
      </c>
      <c r="E1388" t="s">
        <v>272</v>
      </c>
      <c r="F1388">
        <v>2018</v>
      </c>
      <c r="G1388" t="s">
        <v>548</v>
      </c>
      <c r="H1388" s="42">
        <v>412</v>
      </c>
      <c r="J1388" t="s">
        <v>248</v>
      </c>
      <c r="K1388" t="s">
        <v>596</v>
      </c>
      <c r="L1388" s="34">
        <v>6</v>
      </c>
      <c r="M1388" s="38">
        <v>0.75</v>
      </c>
      <c r="N1388" s="38">
        <f t="shared" si="21"/>
        <v>4.5</v>
      </c>
    </row>
    <row r="1389" spans="1:14">
      <c r="A1389" s="29">
        <v>43413</v>
      </c>
      <c r="B1389" s="22" t="s">
        <v>40</v>
      </c>
      <c r="C1389" s="22" t="s">
        <v>57</v>
      </c>
      <c r="D1389" s="48" t="s">
        <v>5</v>
      </c>
      <c r="E1389" t="s">
        <v>381</v>
      </c>
      <c r="F1389">
        <v>2018</v>
      </c>
      <c r="G1389" t="s">
        <v>558</v>
      </c>
      <c r="H1389" s="42">
        <v>67</v>
      </c>
      <c r="J1389" t="s">
        <v>248</v>
      </c>
      <c r="L1389" s="34">
        <v>2</v>
      </c>
      <c r="M1389" s="38">
        <v>0.75</v>
      </c>
      <c r="N1389" s="38">
        <f t="shared" si="21"/>
        <v>1.5</v>
      </c>
    </row>
    <row r="1390" spans="1:14">
      <c r="A1390" s="29">
        <v>43413</v>
      </c>
      <c r="B1390" s="22" t="s">
        <v>40</v>
      </c>
      <c r="C1390" s="22" t="s">
        <v>57</v>
      </c>
      <c r="D1390" s="48" t="s">
        <v>5</v>
      </c>
      <c r="E1390" t="s">
        <v>381</v>
      </c>
      <c r="F1390">
        <v>2018</v>
      </c>
      <c r="G1390" t="s">
        <v>597</v>
      </c>
      <c r="H1390" s="42" t="s">
        <v>57</v>
      </c>
      <c r="J1390" t="s">
        <v>248</v>
      </c>
      <c r="L1390" s="34">
        <v>2</v>
      </c>
      <c r="M1390" s="38">
        <v>0.75</v>
      </c>
      <c r="N1390" s="38">
        <f t="shared" si="21"/>
        <v>1.5</v>
      </c>
    </row>
    <row r="1391" spans="1:14">
      <c r="A1391" s="29">
        <v>43413</v>
      </c>
      <c r="B1391" s="22" t="s">
        <v>40</v>
      </c>
      <c r="C1391" s="22" t="s">
        <v>57</v>
      </c>
      <c r="D1391" s="48" t="s">
        <v>5</v>
      </c>
      <c r="E1391" t="s">
        <v>157</v>
      </c>
      <c r="F1391">
        <v>2018</v>
      </c>
      <c r="G1391" t="s">
        <v>326</v>
      </c>
      <c r="H1391" s="42" t="s">
        <v>57</v>
      </c>
      <c r="J1391" t="s">
        <v>248</v>
      </c>
      <c r="L1391" s="34">
        <v>2</v>
      </c>
      <c r="M1391" s="38">
        <v>0.75</v>
      </c>
      <c r="N1391" s="38">
        <f t="shared" si="21"/>
        <v>1.5</v>
      </c>
    </row>
    <row r="1392" spans="1:14">
      <c r="A1392" s="29">
        <v>43413</v>
      </c>
      <c r="B1392" s="22" t="s">
        <v>40</v>
      </c>
      <c r="C1392" s="22" t="s">
        <v>57</v>
      </c>
      <c r="D1392" s="48" t="s">
        <v>5</v>
      </c>
      <c r="E1392" t="s">
        <v>157</v>
      </c>
      <c r="F1392">
        <v>2018</v>
      </c>
      <c r="G1392" t="s">
        <v>247</v>
      </c>
      <c r="H1392" s="42" t="s">
        <v>545</v>
      </c>
      <c r="J1392" t="s">
        <v>248</v>
      </c>
      <c r="L1392" s="34">
        <v>2</v>
      </c>
      <c r="M1392" s="38">
        <v>0.75</v>
      </c>
      <c r="N1392" s="38">
        <f t="shared" si="21"/>
        <v>1.5</v>
      </c>
    </row>
    <row r="1393" spans="1:14">
      <c r="A1393" s="29">
        <v>43417</v>
      </c>
      <c r="B1393" s="22" t="s">
        <v>57</v>
      </c>
      <c r="C1393" s="22" t="s">
        <v>49</v>
      </c>
      <c r="D1393" s="48" t="s">
        <v>5</v>
      </c>
      <c r="E1393" t="s">
        <v>161</v>
      </c>
      <c r="F1393">
        <v>2018</v>
      </c>
      <c r="G1393" t="s">
        <v>57</v>
      </c>
      <c r="H1393" s="42">
        <v>25</v>
      </c>
      <c r="J1393" t="s">
        <v>248</v>
      </c>
      <c r="L1393" s="34">
        <v>4</v>
      </c>
      <c r="M1393" s="38">
        <v>0.75</v>
      </c>
      <c r="N1393" s="38">
        <f t="shared" si="21"/>
        <v>3</v>
      </c>
    </row>
    <row r="1394" spans="1:14">
      <c r="A1394" s="29">
        <v>43418</v>
      </c>
      <c r="B1394" s="22" t="s">
        <v>77</v>
      </c>
      <c r="C1394" s="22" t="s">
        <v>47</v>
      </c>
      <c r="D1394" s="48" t="s">
        <v>5</v>
      </c>
      <c r="E1394" t="s">
        <v>159</v>
      </c>
      <c r="F1394">
        <v>2018</v>
      </c>
      <c r="G1394" t="s">
        <v>247</v>
      </c>
      <c r="H1394" s="42">
        <v>419</v>
      </c>
      <c r="J1394" t="s">
        <v>248</v>
      </c>
      <c r="K1394" t="s">
        <v>598</v>
      </c>
      <c r="L1394" s="34">
        <v>1</v>
      </c>
      <c r="M1394" s="38">
        <v>0.75</v>
      </c>
      <c r="N1394" s="38">
        <f t="shared" si="21"/>
        <v>0.75</v>
      </c>
    </row>
    <row r="1395" spans="1:14">
      <c r="A1395" s="29">
        <v>43418</v>
      </c>
      <c r="B1395" s="22" t="s">
        <v>57</v>
      </c>
      <c r="C1395" s="22" t="s">
        <v>53</v>
      </c>
      <c r="D1395" s="48" t="s">
        <v>5</v>
      </c>
      <c r="E1395" t="s">
        <v>157</v>
      </c>
      <c r="F1395">
        <v>2018</v>
      </c>
      <c r="G1395" t="s">
        <v>326</v>
      </c>
      <c r="H1395" s="42" t="s">
        <v>57</v>
      </c>
      <c r="J1395" t="s">
        <v>248</v>
      </c>
      <c r="L1395" s="34">
        <v>3</v>
      </c>
      <c r="M1395" s="38">
        <v>0.75</v>
      </c>
      <c r="N1395" s="38">
        <f t="shared" si="21"/>
        <v>2.25</v>
      </c>
    </row>
    <row r="1396" spans="1:14">
      <c r="A1396" s="29">
        <v>43418</v>
      </c>
      <c r="B1396" s="22" t="s">
        <v>57</v>
      </c>
      <c r="C1396" s="22" t="s">
        <v>53</v>
      </c>
      <c r="D1396" s="48" t="s">
        <v>5</v>
      </c>
      <c r="E1396" t="s">
        <v>157</v>
      </c>
      <c r="F1396">
        <v>2018</v>
      </c>
      <c r="G1396" t="s">
        <v>247</v>
      </c>
      <c r="H1396" s="42" t="s">
        <v>545</v>
      </c>
      <c r="J1396" t="s">
        <v>248</v>
      </c>
      <c r="L1396" s="34">
        <v>3</v>
      </c>
      <c r="M1396" s="38">
        <v>0.75</v>
      </c>
      <c r="N1396" s="38">
        <f t="shared" si="21"/>
        <v>2.25</v>
      </c>
    </row>
    <row r="1397" spans="1:14">
      <c r="A1397" s="29">
        <v>43418</v>
      </c>
      <c r="B1397" s="22" t="s">
        <v>57</v>
      </c>
      <c r="C1397" s="22" t="s">
        <v>53</v>
      </c>
      <c r="D1397" s="48" t="s">
        <v>5</v>
      </c>
      <c r="E1397" t="s">
        <v>255</v>
      </c>
      <c r="F1397">
        <v>2018</v>
      </c>
      <c r="G1397" t="s">
        <v>247</v>
      </c>
      <c r="H1397" s="42" t="s">
        <v>57</v>
      </c>
      <c r="J1397" t="s">
        <v>248</v>
      </c>
      <c r="L1397" s="34">
        <v>3</v>
      </c>
      <c r="M1397" s="38">
        <v>0.75</v>
      </c>
      <c r="N1397" s="38">
        <f t="shared" si="21"/>
        <v>2.25</v>
      </c>
    </row>
    <row r="1398" spans="1:14">
      <c r="A1398" s="29">
        <v>43418</v>
      </c>
      <c r="B1398" s="22" t="s">
        <v>57</v>
      </c>
      <c r="C1398" s="22" t="s">
        <v>53</v>
      </c>
      <c r="D1398" s="48" t="s">
        <v>5</v>
      </c>
      <c r="E1398" t="s">
        <v>255</v>
      </c>
      <c r="F1398">
        <v>2018</v>
      </c>
      <c r="G1398" t="s">
        <v>326</v>
      </c>
      <c r="H1398" s="42">
        <v>64</v>
      </c>
      <c r="J1398" t="s">
        <v>248</v>
      </c>
      <c r="L1398" s="34">
        <v>3</v>
      </c>
      <c r="M1398" s="38">
        <v>0.75</v>
      </c>
      <c r="N1398" s="38">
        <f t="shared" si="21"/>
        <v>2.25</v>
      </c>
    </row>
    <row r="1399" spans="1:14">
      <c r="A1399" s="29">
        <v>43418</v>
      </c>
      <c r="B1399" s="22" t="s">
        <v>15</v>
      </c>
      <c r="C1399" s="22" t="s">
        <v>57</v>
      </c>
      <c r="D1399" s="48" t="s">
        <v>5</v>
      </c>
      <c r="E1399" t="s">
        <v>381</v>
      </c>
      <c r="F1399">
        <v>2018</v>
      </c>
      <c r="G1399" t="s">
        <v>558</v>
      </c>
      <c r="H1399" s="42">
        <v>68</v>
      </c>
      <c r="J1399" t="s">
        <v>248</v>
      </c>
      <c r="L1399" s="34">
        <v>1</v>
      </c>
      <c r="M1399" s="38">
        <v>0.75</v>
      </c>
      <c r="N1399" s="38">
        <f t="shared" si="21"/>
        <v>0.75</v>
      </c>
    </row>
    <row r="1400" spans="1:14">
      <c r="A1400" s="29">
        <v>43418</v>
      </c>
      <c r="B1400" s="22" t="s">
        <v>15</v>
      </c>
      <c r="C1400" s="22" t="s">
        <v>57</v>
      </c>
      <c r="D1400" s="48" t="s">
        <v>5</v>
      </c>
      <c r="E1400" t="s">
        <v>381</v>
      </c>
      <c r="F1400">
        <v>2018</v>
      </c>
      <c r="G1400" t="s">
        <v>494</v>
      </c>
      <c r="H1400" s="42" t="s">
        <v>57</v>
      </c>
      <c r="J1400" t="s">
        <v>248</v>
      </c>
      <c r="L1400" s="34">
        <v>1</v>
      </c>
      <c r="M1400" s="38">
        <v>0.75</v>
      </c>
      <c r="N1400" s="38">
        <f t="shared" si="21"/>
        <v>0.75</v>
      </c>
    </row>
    <row r="1401" spans="1:14">
      <c r="A1401" s="29">
        <v>43418</v>
      </c>
      <c r="B1401" s="22" t="s">
        <v>15</v>
      </c>
      <c r="C1401" s="22" t="s">
        <v>57</v>
      </c>
      <c r="D1401" s="48" t="s">
        <v>5</v>
      </c>
      <c r="E1401" t="s">
        <v>272</v>
      </c>
      <c r="F1401">
        <v>2018</v>
      </c>
      <c r="G1401" t="s">
        <v>263</v>
      </c>
      <c r="H1401" s="42">
        <v>53</v>
      </c>
      <c r="J1401" t="s">
        <v>248</v>
      </c>
      <c r="L1401" s="34">
        <v>1</v>
      </c>
      <c r="M1401" s="38">
        <v>0.75</v>
      </c>
      <c r="N1401" s="38">
        <f t="shared" si="21"/>
        <v>0.75</v>
      </c>
    </row>
    <row r="1402" spans="1:14">
      <c r="A1402" s="29">
        <v>43418</v>
      </c>
      <c r="B1402" s="22" t="s">
        <v>15</v>
      </c>
      <c r="C1402" s="22" t="s">
        <v>57</v>
      </c>
      <c r="D1402" s="48" t="s">
        <v>5</v>
      </c>
      <c r="E1402" t="s">
        <v>272</v>
      </c>
      <c r="F1402">
        <v>2018</v>
      </c>
      <c r="G1402" t="s">
        <v>359</v>
      </c>
      <c r="H1402" s="42">
        <v>412</v>
      </c>
      <c r="J1402" t="s">
        <v>248</v>
      </c>
      <c r="L1402" s="34">
        <v>1</v>
      </c>
      <c r="M1402" s="38">
        <v>0.75</v>
      </c>
      <c r="N1402" s="38">
        <f t="shared" si="21"/>
        <v>0.75</v>
      </c>
    </row>
    <row r="1403" spans="1:14">
      <c r="A1403" s="29">
        <v>43418</v>
      </c>
      <c r="B1403" s="22" t="s">
        <v>15</v>
      </c>
      <c r="C1403" s="22" t="s">
        <v>57</v>
      </c>
      <c r="D1403" s="48" t="s">
        <v>11</v>
      </c>
      <c r="E1403" t="s">
        <v>177</v>
      </c>
      <c r="F1403">
        <v>2017</v>
      </c>
      <c r="G1403" t="s">
        <v>57</v>
      </c>
      <c r="H1403" s="42">
        <v>151</v>
      </c>
      <c r="J1403" t="s">
        <v>248</v>
      </c>
      <c r="L1403" s="34">
        <v>1</v>
      </c>
      <c r="M1403" s="38">
        <v>0.75</v>
      </c>
      <c r="N1403" s="38">
        <f t="shared" si="21"/>
        <v>0.75</v>
      </c>
    </row>
    <row r="1404" spans="1:14">
      <c r="A1404" s="29">
        <v>43418</v>
      </c>
      <c r="B1404" s="22" t="s">
        <v>15</v>
      </c>
      <c r="C1404" s="22" t="s">
        <v>57</v>
      </c>
      <c r="D1404" s="48" t="s">
        <v>11</v>
      </c>
      <c r="E1404" t="s">
        <v>177</v>
      </c>
      <c r="F1404">
        <v>2017</v>
      </c>
      <c r="G1404" t="s">
        <v>57</v>
      </c>
      <c r="H1404" s="42" t="s">
        <v>57</v>
      </c>
      <c r="J1404" t="s">
        <v>248</v>
      </c>
      <c r="K1404" t="s">
        <v>599</v>
      </c>
      <c r="L1404" s="34">
        <v>1</v>
      </c>
      <c r="M1404" s="38">
        <v>0.75</v>
      </c>
      <c r="N1404" s="38">
        <f t="shared" si="21"/>
        <v>0.75</v>
      </c>
    </row>
    <row r="1405" spans="1:14">
      <c r="A1405" s="29">
        <v>43418</v>
      </c>
      <c r="B1405" s="22" t="s">
        <v>15</v>
      </c>
      <c r="C1405" s="22" t="s">
        <v>57</v>
      </c>
      <c r="D1405" s="48" t="s">
        <v>11</v>
      </c>
      <c r="E1405" t="s">
        <v>179</v>
      </c>
      <c r="F1405">
        <v>2018</v>
      </c>
      <c r="G1405" t="s">
        <v>57</v>
      </c>
      <c r="H1405" s="42">
        <v>131</v>
      </c>
      <c r="J1405" t="s">
        <v>248</v>
      </c>
      <c r="L1405" s="34">
        <v>1</v>
      </c>
      <c r="M1405" s="38">
        <v>0.75</v>
      </c>
      <c r="N1405" s="38">
        <f t="shared" si="21"/>
        <v>0.75</v>
      </c>
    </row>
    <row r="1406" spans="1:14">
      <c r="A1406" s="29">
        <v>43419</v>
      </c>
      <c r="B1406" s="22" t="s">
        <v>57</v>
      </c>
      <c r="C1406" s="22" t="s">
        <v>49</v>
      </c>
      <c r="D1406" s="48" t="s">
        <v>5</v>
      </c>
      <c r="E1406" t="s">
        <v>255</v>
      </c>
      <c r="F1406">
        <v>2018</v>
      </c>
      <c r="G1406" t="s">
        <v>247</v>
      </c>
      <c r="H1406" s="42" t="s">
        <v>57</v>
      </c>
      <c r="J1406" t="s">
        <v>248</v>
      </c>
      <c r="L1406" s="34">
        <v>6</v>
      </c>
      <c r="M1406" s="38">
        <v>0.75</v>
      </c>
      <c r="N1406" s="38">
        <f t="shared" si="21"/>
        <v>4.5</v>
      </c>
    </row>
    <row r="1407" spans="1:14">
      <c r="A1407" s="29">
        <v>43419</v>
      </c>
      <c r="B1407" s="22" t="s">
        <v>57</v>
      </c>
      <c r="C1407" s="22" t="s">
        <v>39</v>
      </c>
      <c r="D1407" s="48" t="s">
        <v>5</v>
      </c>
      <c r="E1407" t="s">
        <v>159</v>
      </c>
      <c r="F1407">
        <v>2018</v>
      </c>
      <c r="G1407" t="s">
        <v>319</v>
      </c>
      <c r="H1407" s="42">
        <v>420</v>
      </c>
      <c r="J1407" t="s">
        <v>248</v>
      </c>
      <c r="L1407" s="34">
        <v>1</v>
      </c>
      <c r="M1407" s="38">
        <v>0.75</v>
      </c>
      <c r="N1407" s="38">
        <f t="shared" si="21"/>
        <v>0.75</v>
      </c>
    </row>
    <row r="1408" spans="1:14">
      <c r="A1408" s="29">
        <v>43419</v>
      </c>
      <c r="B1408" s="22" t="s">
        <v>57</v>
      </c>
      <c r="C1408" s="22" t="s">
        <v>39</v>
      </c>
      <c r="D1408" s="48" t="s">
        <v>5</v>
      </c>
      <c r="E1408" t="s">
        <v>159</v>
      </c>
      <c r="F1408">
        <v>2018</v>
      </c>
      <c r="G1408" t="s">
        <v>326</v>
      </c>
      <c r="H1408" s="42">
        <v>401</v>
      </c>
      <c r="J1408" t="s">
        <v>248</v>
      </c>
      <c r="L1408" s="34">
        <v>1</v>
      </c>
      <c r="M1408" s="38">
        <v>0.75</v>
      </c>
      <c r="N1408" s="38">
        <f t="shared" si="21"/>
        <v>0.75</v>
      </c>
    </row>
    <row r="1409" spans="1:14">
      <c r="A1409" s="29">
        <v>43419</v>
      </c>
      <c r="B1409" s="22" t="s">
        <v>123</v>
      </c>
      <c r="C1409" s="22" t="s">
        <v>45</v>
      </c>
      <c r="D1409" s="48" t="s">
        <v>8</v>
      </c>
      <c r="E1409" t="s">
        <v>275</v>
      </c>
      <c r="F1409">
        <v>2018</v>
      </c>
      <c r="G1409" t="s">
        <v>600</v>
      </c>
      <c r="H1409" s="42" t="s">
        <v>57</v>
      </c>
      <c r="J1409" t="s">
        <v>248</v>
      </c>
      <c r="L1409" s="34">
        <v>2</v>
      </c>
      <c r="M1409" s="38">
        <v>0.75</v>
      </c>
      <c r="N1409" s="38">
        <f t="shared" si="21"/>
        <v>1.5</v>
      </c>
    </row>
    <row r="1410" spans="1:14">
      <c r="A1410" s="29">
        <v>43419</v>
      </c>
      <c r="B1410" s="22" t="s">
        <v>123</v>
      </c>
      <c r="C1410" s="22" t="s">
        <v>45</v>
      </c>
      <c r="D1410" s="48" t="s">
        <v>8</v>
      </c>
      <c r="E1410" t="s">
        <v>306</v>
      </c>
      <c r="F1410">
        <v>2018</v>
      </c>
      <c r="G1410" t="s">
        <v>357</v>
      </c>
      <c r="H1410" s="42">
        <v>200</v>
      </c>
      <c r="J1410" t="s">
        <v>248</v>
      </c>
      <c r="L1410" s="34">
        <v>2</v>
      </c>
      <c r="M1410" s="38">
        <v>0.75</v>
      </c>
      <c r="N1410" s="38">
        <f t="shared" si="21"/>
        <v>1.5</v>
      </c>
    </row>
    <row r="1411" spans="1:14">
      <c r="A1411" s="29">
        <v>43419</v>
      </c>
      <c r="B1411" s="22" t="s">
        <v>84</v>
      </c>
      <c r="C1411" s="22" t="s">
        <v>57</v>
      </c>
      <c r="D1411" s="48" t="s">
        <v>5</v>
      </c>
      <c r="E1411" t="s">
        <v>158</v>
      </c>
      <c r="F1411">
        <v>2018</v>
      </c>
      <c r="G1411" t="s">
        <v>257</v>
      </c>
      <c r="H1411" s="42" t="s">
        <v>57</v>
      </c>
      <c r="J1411" t="s">
        <v>248</v>
      </c>
      <c r="L1411" s="34">
        <v>1</v>
      </c>
      <c r="M1411" s="38">
        <v>0.75</v>
      </c>
      <c r="N1411" s="38">
        <f t="shared" ref="N1411:N1474" si="22">M1411*L1411</f>
        <v>0.75</v>
      </c>
    </row>
    <row r="1412" spans="1:14">
      <c r="A1412" s="29">
        <v>43419</v>
      </c>
      <c r="B1412" s="22" t="s">
        <v>84</v>
      </c>
      <c r="C1412" s="22" t="s">
        <v>57</v>
      </c>
      <c r="D1412" s="48" t="s">
        <v>5</v>
      </c>
      <c r="E1412" t="s">
        <v>158</v>
      </c>
      <c r="F1412">
        <v>2018</v>
      </c>
      <c r="G1412" t="s">
        <v>326</v>
      </c>
      <c r="H1412" s="42" t="s">
        <v>57</v>
      </c>
      <c r="J1412" t="s">
        <v>248</v>
      </c>
      <c r="L1412" s="34">
        <v>1</v>
      </c>
      <c r="M1412" s="38">
        <v>0.75</v>
      </c>
      <c r="N1412" s="38">
        <f t="shared" si="22"/>
        <v>0.75</v>
      </c>
    </row>
    <row r="1413" spans="1:14">
      <c r="A1413" s="29">
        <v>43419</v>
      </c>
      <c r="B1413" s="22" t="s">
        <v>84</v>
      </c>
      <c r="C1413" s="22" t="s">
        <v>57</v>
      </c>
      <c r="D1413" s="48" t="s">
        <v>5</v>
      </c>
      <c r="E1413" t="s">
        <v>255</v>
      </c>
      <c r="F1413">
        <v>2018</v>
      </c>
      <c r="G1413" t="s">
        <v>247</v>
      </c>
      <c r="H1413" s="42" t="s">
        <v>57</v>
      </c>
      <c r="J1413" t="s">
        <v>248</v>
      </c>
      <c r="L1413" s="34">
        <v>1</v>
      </c>
      <c r="M1413" s="38">
        <v>0.75</v>
      </c>
      <c r="N1413" s="38">
        <f t="shared" si="22"/>
        <v>0.75</v>
      </c>
    </row>
    <row r="1414" spans="1:14">
      <c r="A1414" s="29">
        <v>43419</v>
      </c>
      <c r="B1414" s="22" t="s">
        <v>84</v>
      </c>
      <c r="C1414" s="22" t="s">
        <v>57</v>
      </c>
      <c r="D1414" s="48" t="s">
        <v>5</v>
      </c>
      <c r="E1414" t="s">
        <v>157</v>
      </c>
      <c r="F1414">
        <v>2018</v>
      </c>
      <c r="G1414" t="s">
        <v>326</v>
      </c>
      <c r="H1414" s="42" t="s">
        <v>57</v>
      </c>
      <c r="J1414" t="s">
        <v>248</v>
      </c>
      <c r="L1414" s="34">
        <v>1</v>
      </c>
      <c r="M1414" s="38">
        <v>0.75</v>
      </c>
      <c r="N1414" s="38">
        <f t="shared" si="22"/>
        <v>0.75</v>
      </c>
    </row>
    <row r="1415" spans="1:14">
      <c r="A1415" s="29">
        <v>43419</v>
      </c>
      <c r="B1415" s="22" t="s">
        <v>84</v>
      </c>
      <c r="C1415" s="22" t="s">
        <v>57</v>
      </c>
      <c r="D1415" s="48" t="s">
        <v>5</v>
      </c>
      <c r="E1415" t="s">
        <v>157</v>
      </c>
      <c r="F1415">
        <v>2018</v>
      </c>
      <c r="G1415" t="s">
        <v>247</v>
      </c>
      <c r="H1415" s="42" t="s">
        <v>57</v>
      </c>
      <c r="J1415" t="s">
        <v>248</v>
      </c>
      <c r="L1415" s="34">
        <v>1</v>
      </c>
      <c r="M1415" s="38">
        <v>0.75</v>
      </c>
      <c r="N1415" s="38">
        <f t="shared" si="22"/>
        <v>0.75</v>
      </c>
    </row>
    <row r="1416" spans="1:14">
      <c r="A1416" s="29">
        <v>43423</v>
      </c>
      <c r="B1416" s="22" t="s">
        <v>9</v>
      </c>
      <c r="C1416" s="22" t="s">
        <v>41</v>
      </c>
      <c r="D1416" s="48" t="s">
        <v>5</v>
      </c>
      <c r="E1416" t="s">
        <v>381</v>
      </c>
      <c r="F1416">
        <v>2018</v>
      </c>
      <c r="G1416" t="s">
        <v>558</v>
      </c>
      <c r="H1416" s="42">
        <v>68</v>
      </c>
      <c r="J1416" t="s">
        <v>248</v>
      </c>
      <c r="L1416" s="34">
        <v>1</v>
      </c>
      <c r="M1416" s="38">
        <v>0.75</v>
      </c>
      <c r="N1416" s="38">
        <f t="shared" si="22"/>
        <v>0.75</v>
      </c>
    </row>
    <row r="1417" spans="1:14">
      <c r="A1417" s="29">
        <v>43423</v>
      </c>
      <c r="B1417" s="22" t="s">
        <v>9</v>
      </c>
      <c r="C1417" s="22" t="s">
        <v>41</v>
      </c>
      <c r="D1417" s="48" t="s">
        <v>5</v>
      </c>
      <c r="E1417" t="s">
        <v>267</v>
      </c>
      <c r="F1417">
        <v>2018</v>
      </c>
      <c r="G1417" t="s">
        <v>57</v>
      </c>
      <c r="H1417" s="42">
        <v>91</v>
      </c>
      <c r="J1417" t="s">
        <v>248</v>
      </c>
      <c r="L1417" s="34">
        <v>1</v>
      </c>
      <c r="M1417" s="38">
        <v>0.75</v>
      </c>
      <c r="N1417" s="38">
        <f t="shared" si="22"/>
        <v>0.75</v>
      </c>
    </row>
    <row r="1418" spans="1:14">
      <c r="A1418" s="29">
        <v>43423</v>
      </c>
      <c r="B1418" s="22" t="s">
        <v>9</v>
      </c>
      <c r="C1418" s="22" t="s">
        <v>41</v>
      </c>
      <c r="D1418" s="48" t="s">
        <v>5</v>
      </c>
      <c r="E1418" t="s">
        <v>159</v>
      </c>
      <c r="F1418">
        <v>2018</v>
      </c>
      <c r="G1418" t="s">
        <v>252</v>
      </c>
      <c r="H1418" s="42">
        <v>401</v>
      </c>
      <c r="J1418" t="s">
        <v>248</v>
      </c>
      <c r="L1418" s="34">
        <v>1</v>
      </c>
      <c r="M1418" s="38">
        <v>0.75</v>
      </c>
      <c r="N1418" s="38">
        <f t="shared" si="22"/>
        <v>0.75</v>
      </c>
    </row>
    <row r="1419" spans="1:14">
      <c r="A1419" s="29">
        <v>43423</v>
      </c>
      <c r="B1419" s="22" t="s">
        <v>9</v>
      </c>
      <c r="C1419" s="22" t="s">
        <v>41</v>
      </c>
      <c r="D1419" s="48" t="s">
        <v>5</v>
      </c>
      <c r="E1419" t="s">
        <v>157</v>
      </c>
      <c r="F1419">
        <v>2018</v>
      </c>
      <c r="G1419" t="s">
        <v>326</v>
      </c>
      <c r="H1419" s="42" t="s">
        <v>57</v>
      </c>
      <c r="J1419" t="s">
        <v>248</v>
      </c>
      <c r="L1419" s="34">
        <v>1</v>
      </c>
      <c r="M1419" s="38">
        <v>0.75</v>
      </c>
      <c r="N1419" s="38">
        <f t="shared" si="22"/>
        <v>0.75</v>
      </c>
    </row>
    <row r="1420" spans="1:14">
      <c r="A1420" s="29">
        <v>43423</v>
      </c>
      <c r="B1420" s="22" t="s">
        <v>9</v>
      </c>
      <c r="C1420" s="22" t="s">
        <v>41</v>
      </c>
      <c r="D1420" s="48" t="s">
        <v>5</v>
      </c>
      <c r="E1420" t="s">
        <v>157</v>
      </c>
      <c r="F1420">
        <v>2018</v>
      </c>
      <c r="G1420" t="s">
        <v>247</v>
      </c>
      <c r="H1420" s="42" t="s">
        <v>545</v>
      </c>
      <c r="J1420" t="s">
        <v>248</v>
      </c>
      <c r="L1420" s="34">
        <v>1</v>
      </c>
      <c r="M1420" s="38">
        <v>0.75</v>
      </c>
      <c r="N1420" s="38">
        <f t="shared" si="22"/>
        <v>0.75</v>
      </c>
    </row>
    <row r="1421" spans="1:14">
      <c r="A1421" s="29">
        <v>43423</v>
      </c>
      <c r="B1421" s="22" t="s">
        <v>9</v>
      </c>
      <c r="C1421" s="22" t="s">
        <v>41</v>
      </c>
      <c r="D1421" s="48" t="s">
        <v>5</v>
      </c>
      <c r="E1421" t="s">
        <v>158</v>
      </c>
      <c r="F1421">
        <v>2018</v>
      </c>
      <c r="G1421" t="s">
        <v>326</v>
      </c>
      <c r="H1421" s="42" t="s">
        <v>57</v>
      </c>
      <c r="J1421" t="s">
        <v>248</v>
      </c>
      <c r="L1421" s="34">
        <v>1</v>
      </c>
      <c r="M1421" s="38">
        <v>0.75</v>
      </c>
      <c r="N1421" s="38">
        <f t="shared" si="22"/>
        <v>0.75</v>
      </c>
    </row>
    <row r="1422" spans="1:14">
      <c r="A1422" s="29">
        <v>43423</v>
      </c>
      <c r="B1422" s="22" t="s">
        <v>9</v>
      </c>
      <c r="C1422" s="22" t="s">
        <v>41</v>
      </c>
      <c r="D1422" s="48" t="s">
        <v>8</v>
      </c>
      <c r="E1422" t="s">
        <v>272</v>
      </c>
      <c r="F1422">
        <v>2018</v>
      </c>
      <c r="G1422" t="s">
        <v>601</v>
      </c>
      <c r="H1422" s="42" t="s">
        <v>57</v>
      </c>
      <c r="J1422" t="s">
        <v>248</v>
      </c>
      <c r="K1422" t="s">
        <v>602</v>
      </c>
      <c r="L1422" s="34">
        <v>1</v>
      </c>
      <c r="M1422" s="38">
        <v>0.75</v>
      </c>
      <c r="N1422" s="38">
        <f t="shared" si="22"/>
        <v>0.75</v>
      </c>
    </row>
    <row r="1423" spans="1:14">
      <c r="A1423" s="29">
        <v>43423</v>
      </c>
      <c r="B1423" s="22" t="s">
        <v>9</v>
      </c>
      <c r="C1423" s="22" t="s">
        <v>41</v>
      </c>
      <c r="D1423" s="48" t="s">
        <v>11</v>
      </c>
      <c r="E1423" t="s">
        <v>259</v>
      </c>
      <c r="F1423">
        <v>2018</v>
      </c>
      <c r="G1423" t="s">
        <v>316</v>
      </c>
      <c r="H1423" s="42" t="s">
        <v>57</v>
      </c>
      <c r="J1423" t="s">
        <v>248</v>
      </c>
      <c r="K1423" t="s">
        <v>603</v>
      </c>
      <c r="L1423" s="34">
        <v>1</v>
      </c>
      <c r="M1423" s="38">
        <v>0.75</v>
      </c>
      <c r="N1423" s="38">
        <f t="shared" si="22"/>
        <v>0.75</v>
      </c>
    </row>
    <row r="1424" spans="1:14">
      <c r="A1424" s="29">
        <v>43423</v>
      </c>
      <c r="B1424" s="22" t="s">
        <v>79</v>
      </c>
      <c r="C1424" s="22" t="s">
        <v>57</v>
      </c>
      <c r="D1424" s="48" t="s">
        <v>5</v>
      </c>
      <c r="E1424" t="s">
        <v>159</v>
      </c>
      <c r="F1424">
        <v>2018</v>
      </c>
      <c r="G1424" t="s">
        <v>319</v>
      </c>
      <c r="H1424" s="42">
        <v>413</v>
      </c>
      <c r="J1424" t="s">
        <v>248</v>
      </c>
      <c r="K1424" t="s">
        <v>518</v>
      </c>
      <c r="L1424" s="34">
        <v>2</v>
      </c>
      <c r="M1424" s="38">
        <v>0.75</v>
      </c>
      <c r="N1424" s="38">
        <f t="shared" si="22"/>
        <v>1.5</v>
      </c>
    </row>
    <row r="1425" spans="1:14">
      <c r="A1425" s="29">
        <v>43423</v>
      </c>
      <c r="B1425" s="22" t="s">
        <v>79</v>
      </c>
      <c r="C1425" s="22" t="s">
        <v>57</v>
      </c>
      <c r="D1425" s="48" t="s">
        <v>8</v>
      </c>
      <c r="E1425" t="s">
        <v>259</v>
      </c>
      <c r="F1425">
        <v>2018</v>
      </c>
      <c r="G1425" t="s">
        <v>57</v>
      </c>
      <c r="H1425" s="42">
        <v>418</v>
      </c>
      <c r="J1425" t="s">
        <v>248</v>
      </c>
      <c r="L1425" s="34">
        <v>2</v>
      </c>
      <c r="M1425" s="38">
        <v>0.75</v>
      </c>
      <c r="N1425" s="38">
        <f t="shared" si="22"/>
        <v>1.5</v>
      </c>
    </row>
    <row r="1426" spans="1:14">
      <c r="A1426" s="29">
        <v>43423</v>
      </c>
      <c r="B1426" s="22" t="s">
        <v>79</v>
      </c>
      <c r="C1426" s="22" t="s">
        <v>57</v>
      </c>
      <c r="D1426" s="48" t="s">
        <v>8</v>
      </c>
      <c r="E1426" t="s">
        <v>179</v>
      </c>
      <c r="F1426">
        <v>2018</v>
      </c>
      <c r="G1426" t="s">
        <v>57</v>
      </c>
      <c r="H1426" s="42">
        <v>202</v>
      </c>
      <c r="J1426" t="s">
        <v>248</v>
      </c>
      <c r="L1426" s="34">
        <v>2</v>
      </c>
      <c r="M1426" s="38">
        <v>0.75</v>
      </c>
      <c r="N1426" s="38">
        <f t="shared" si="22"/>
        <v>1.5</v>
      </c>
    </row>
    <row r="1427" spans="1:14">
      <c r="A1427" s="29">
        <v>43423</v>
      </c>
      <c r="B1427" s="22" t="s">
        <v>79</v>
      </c>
      <c r="C1427" s="22" t="s">
        <v>57</v>
      </c>
      <c r="D1427" s="48" t="s">
        <v>5</v>
      </c>
      <c r="E1427" t="s">
        <v>157</v>
      </c>
      <c r="F1427">
        <v>2018</v>
      </c>
      <c r="G1427" t="s">
        <v>247</v>
      </c>
      <c r="H1427" s="42" t="s">
        <v>545</v>
      </c>
      <c r="J1427" t="s">
        <v>248</v>
      </c>
      <c r="L1427" s="34">
        <v>2</v>
      </c>
      <c r="M1427" s="38">
        <v>0.75</v>
      </c>
      <c r="N1427" s="38">
        <f t="shared" si="22"/>
        <v>1.5</v>
      </c>
    </row>
    <row r="1428" spans="1:14">
      <c r="A1428" s="29">
        <v>43423</v>
      </c>
      <c r="B1428" s="22" t="s">
        <v>79</v>
      </c>
      <c r="C1428" s="22" t="s">
        <v>57</v>
      </c>
      <c r="D1428" s="48" t="s">
        <v>5</v>
      </c>
      <c r="E1428" t="s">
        <v>157</v>
      </c>
      <c r="F1428">
        <v>2018</v>
      </c>
      <c r="G1428" t="s">
        <v>326</v>
      </c>
      <c r="H1428" s="42" t="s">
        <v>57</v>
      </c>
      <c r="J1428" t="s">
        <v>248</v>
      </c>
      <c r="L1428" s="34">
        <v>2</v>
      </c>
      <c r="M1428" s="38">
        <v>0.75</v>
      </c>
      <c r="N1428" s="38">
        <f t="shared" si="22"/>
        <v>1.5</v>
      </c>
    </row>
    <row r="1429" spans="1:14">
      <c r="A1429" s="29">
        <v>43423</v>
      </c>
      <c r="B1429" s="22" t="s">
        <v>79</v>
      </c>
      <c r="C1429" s="22" t="s">
        <v>57</v>
      </c>
      <c r="D1429" s="48" t="s">
        <v>5</v>
      </c>
      <c r="E1429" t="s">
        <v>157</v>
      </c>
      <c r="F1429">
        <v>2018</v>
      </c>
      <c r="G1429" t="s">
        <v>319</v>
      </c>
      <c r="H1429" s="42" t="s">
        <v>544</v>
      </c>
      <c r="J1429" t="s">
        <v>248</v>
      </c>
      <c r="L1429" s="34">
        <v>2</v>
      </c>
      <c r="M1429" s="38">
        <v>0.75</v>
      </c>
      <c r="N1429" s="38">
        <f t="shared" si="22"/>
        <v>1.5</v>
      </c>
    </row>
    <row r="1430" spans="1:14">
      <c r="A1430" s="29">
        <v>43423</v>
      </c>
      <c r="B1430" s="22" t="s">
        <v>79</v>
      </c>
      <c r="C1430" s="22" t="s">
        <v>57</v>
      </c>
      <c r="D1430" s="48" t="s">
        <v>5</v>
      </c>
      <c r="E1430" t="s">
        <v>381</v>
      </c>
      <c r="F1430">
        <v>2018</v>
      </c>
      <c r="G1430" t="s">
        <v>404</v>
      </c>
      <c r="H1430" s="42">
        <v>197</v>
      </c>
      <c r="J1430" t="s">
        <v>248</v>
      </c>
      <c r="L1430" s="34">
        <v>2</v>
      </c>
      <c r="M1430" s="38">
        <v>0.75</v>
      </c>
      <c r="N1430" s="38">
        <f t="shared" si="22"/>
        <v>1.5</v>
      </c>
    </row>
    <row r="1431" spans="1:14">
      <c r="A1431" s="29">
        <v>43423</v>
      </c>
      <c r="B1431" s="22" t="s">
        <v>60</v>
      </c>
      <c r="C1431" s="22" t="s">
        <v>53</v>
      </c>
      <c r="D1431" s="48" t="s">
        <v>11</v>
      </c>
      <c r="E1431" t="s">
        <v>513</v>
      </c>
      <c r="F1431">
        <v>2018</v>
      </c>
      <c r="G1431" t="s">
        <v>604</v>
      </c>
      <c r="H1431" s="42" t="s">
        <v>57</v>
      </c>
      <c r="J1431" t="s">
        <v>248</v>
      </c>
      <c r="L1431" s="34">
        <v>2</v>
      </c>
      <c r="M1431" s="38">
        <v>0.75</v>
      </c>
      <c r="N1431" s="38">
        <f t="shared" si="22"/>
        <v>1.5</v>
      </c>
    </row>
    <row r="1432" spans="1:14">
      <c r="A1432" s="29">
        <v>43423</v>
      </c>
      <c r="B1432" s="22" t="s">
        <v>60</v>
      </c>
      <c r="C1432" s="22" t="s">
        <v>53</v>
      </c>
      <c r="D1432" s="48" t="s">
        <v>11</v>
      </c>
      <c r="E1432" t="s">
        <v>179</v>
      </c>
      <c r="F1432">
        <v>2018</v>
      </c>
      <c r="G1432" t="s">
        <v>605</v>
      </c>
      <c r="H1432" s="42" t="s">
        <v>57</v>
      </c>
      <c r="J1432" t="s">
        <v>248</v>
      </c>
      <c r="L1432" s="34">
        <v>2</v>
      </c>
      <c r="M1432" s="38">
        <v>0.75</v>
      </c>
      <c r="N1432" s="38">
        <f t="shared" si="22"/>
        <v>1.5</v>
      </c>
    </row>
    <row r="1433" spans="1:14">
      <c r="A1433" s="29">
        <v>43423</v>
      </c>
      <c r="B1433" s="22" t="s">
        <v>60</v>
      </c>
      <c r="C1433" s="22" t="s">
        <v>53</v>
      </c>
      <c r="D1433" s="48" t="s">
        <v>11</v>
      </c>
      <c r="E1433" t="s">
        <v>179</v>
      </c>
      <c r="F1433">
        <v>2018</v>
      </c>
      <c r="G1433" t="s">
        <v>606</v>
      </c>
      <c r="H1433" s="42" t="s">
        <v>57</v>
      </c>
      <c r="J1433" t="s">
        <v>248</v>
      </c>
      <c r="L1433" s="34">
        <v>2</v>
      </c>
      <c r="M1433" s="38">
        <v>0.75</v>
      </c>
      <c r="N1433" s="38">
        <f t="shared" si="22"/>
        <v>1.5</v>
      </c>
    </row>
    <row r="1434" spans="1:14">
      <c r="A1434" s="29">
        <v>43423</v>
      </c>
      <c r="B1434" s="22" t="s">
        <v>60</v>
      </c>
      <c r="C1434" s="22" t="s">
        <v>53</v>
      </c>
      <c r="D1434" s="48" t="s">
        <v>11</v>
      </c>
      <c r="E1434" t="s">
        <v>177</v>
      </c>
      <c r="F1434">
        <v>2018</v>
      </c>
      <c r="G1434" t="s">
        <v>57</v>
      </c>
      <c r="H1434" s="42" t="s">
        <v>57</v>
      </c>
      <c r="J1434" t="s">
        <v>248</v>
      </c>
      <c r="L1434" s="34">
        <v>2</v>
      </c>
      <c r="M1434" s="38">
        <v>0.75</v>
      </c>
      <c r="N1434" s="38">
        <f t="shared" si="22"/>
        <v>1.5</v>
      </c>
    </row>
    <row r="1435" spans="1:14">
      <c r="A1435" s="29">
        <v>43424</v>
      </c>
      <c r="B1435" s="22" t="s">
        <v>57</v>
      </c>
      <c r="C1435" s="22" t="s">
        <v>49</v>
      </c>
      <c r="D1435" s="48" t="s">
        <v>5</v>
      </c>
      <c r="E1435" t="s">
        <v>161</v>
      </c>
      <c r="F1435">
        <v>2018</v>
      </c>
      <c r="G1435" t="s">
        <v>57</v>
      </c>
      <c r="H1435" s="42">
        <v>25</v>
      </c>
      <c r="J1435" t="s">
        <v>248</v>
      </c>
      <c r="L1435" s="34">
        <v>3</v>
      </c>
      <c r="M1435" s="38">
        <v>0.75</v>
      </c>
      <c r="N1435" s="38">
        <f t="shared" si="22"/>
        <v>2.25</v>
      </c>
    </row>
    <row r="1436" spans="1:14">
      <c r="A1436" s="29">
        <v>43424</v>
      </c>
      <c r="B1436" s="22" t="s">
        <v>109</v>
      </c>
      <c r="C1436" s="22" t="s">
        <v>57</v>
      </c>
      <c r="D1436" s="48" t="s">
        <v>8</v>
      </c>
      <c r="E1436" t="s">
        <v>184</v>
      </c>
      <c r="F1436">
        <v>2018</v>
      </c>
      <c r="G1436" t="s">
        <v>565</v>
      </c>
      <c r="H1436" s="42" t="s">
        <v>57</v>
      </c>
      <c r="J1436" t="s">
        <v>248</v>
      </c>
      <c r="L1436" s="34">
        <v>8</v>
      </c>
      <c r="M1436" s="38">
        <v>0.75</v>
      </c>
      <c r="N1436" s="38">
        <f t="shared" si="22"/>
        <v>6</v>
      </c>
    </row>
    <row r="1437" spans="1:14">
      <c r="A1437" s="29">
        <v>43424</v>
      </c>
      <c r="B1437" s="22" t="s">
        <v>109</v>
      </c>
      <c r="C1437" s="22" t="s">
        <v>57</v>
      </c>
      <c r="D1437" s="48" t="s">
        <v>8</v>
      </c>
      <c r="E1437" t="s">
        <v>184</v>
      </c>
      <c r="F1437">
        <v>2018</v>
      </c>
      <c r="G1437" t="s">
        <v>566</v>
      </c>
      <c r="H1437" s="42" t="s">
        <v>57</v>
      </c>
      <c r="J1437" t="s">
        <v>248</v>
      </c>
      <c r="L1437" s="34">
        <v>8</v>
      </c>
      <c r="M1437" s="38">
        <v>0.75</v>
      </c>
      <c r="N1437" s="38">
        <f t="shared" si="22"/>
        <v>6</v>
      </c>
    </row>
    <row r="1438" spans="1:14">
      <c r="A1438" s="29">
        <v>43424</v>
      </c>
      <c r="B1438" s="22" t="s">
        <v>109</v>
      </c>
      <c r="C1438" s="22" t="s">
        <v>57</v>
      </c>
      <c r="D1438" s="48" t="s">
        <v>8</v>
      </c>
      <c r="E1438" t="s">
        <v>184</v>
      </c>
      <c r="F1438">
        <v>2018</v>
      </c>
      <c r="G1438" t="s">
        <v>567</v>
      </c>
      <c r="H1438" s="42" t="s">
        <v>57</v>
      </c>
      <c r="J1438" t="s">
        <v>248</v>
      </c>
      <c r="L1438" s="34">
        <v>8</v>
      </c>
      <c r="M1438" s="38">
        <v>0.75</v>
      </c>
      <c r="N1438" s="38">
        <f t="shared" si="22"/>
        <v>6</v>
      </c>
    </row>
    <row r="1439" spans="1:14">
      <c r="A1439" s="29">
        <v>43424</v>
      </c>
      <c r="B1439" s="22" t="s">
        <v>109</v>
      </c>
      <c r="C1439" s="22" t="s">
        <v>57</v>
      </c>
      <c r="D1439" s="48" t="s">
        <v>8</v>
      </c>
      <c r="E1439" t="s">
        <v>272</v>
      </c>
      <c r="F1439">
        <v>2018</v>
      </c>
      <c r="G1439" t="s">
        <v>548</v>
      </c>
      <c r="H1439" s="42">
        <v>414</v>
      </c>
      <c r="J1439" t="s">
        <v>248</v>
      </c>
      <c r="K1439" t="s">
        <v>596</v>
      </c>
      <c r="L1439" s="34">
        <v>3</v>
      </c>
      <c r="M1439" s="38">
        <v>0.75</v>
      </c>
      <c r="N1439" s="38">
        <f t="shared" si="22"/>
        <v>2.25</v>
      </c>
    </row>
    <row r="1440" spans="1:14">
      <c r="A1440" s="29">
        <v>43425</v>
      </c>
      <c r="B1440" s="22" t="s">
        <v>57</v>
      </c>
      <c r="C1440" s="22" t="s">
        <v>53</v>
      </c>
      <c r="D1440" s="48" t="s">
        <v>5</v>
      </c>
      <c r="E1440" t="s">
        <v>310</v>
      </c>
      <c r="F1440">
        <v>2018</v>
      </c>
      <c r="G1440" t="s">
        <v>57</v>
      </c>
      <c r="H1440" s="42">
        <v>402</v>
      </c>
      <c r="J1440" t="s">
        <v>248</v>
      </c>
      <c r="L1440" s="34">
        <v>1</v>
      </c>
      <c r="M1440" s="38">
        <v>0.75</v>
      </c>
      <c r="N1440" s="38">
        <f t="shared" si="22"/>
        <v>0.75</v>
      </c>
    </row>
    <row r="1441" spans="1:14">
      <c r="A1441" s="29">
        <v>43425</v>
      </c>
      <c r="B1441" s="22" t="s">
        <v>76</v>
      </c>
      <c r="C1441" s="22" t="s">
        <v>109</v>
      </c>
      <c r="D1441" s="48" t="s">
        <v>8</v>
      </c>
      <c r="E1441" t="s">
        <v>272</v>
      </c>
      <c r="F1441">
        <v>2018</v>
      </c>
      <c r="G1441" t="s">
        <v>548</v>
      </c>
      <c r="H1441" s="42">
        <v>414</v>
      </c>
      <c r="J1441" t="s">
        <v>248</v>
      </c>
      <c r="K1441" t="s">
        <v>596</v>
      </c>
      <c r="L1441" s="34">
        <v>3</v>
      </c>
      <c r="M1441" s="38">
        <v>0.75</v>
      </c>
      <c r="N1441" s="38">
        <f t="shared" si="22"/>
        <v>2.25</v>
      </c>
    </row>
    <row r="1442" spans="1:14">
      <c r="A1442" s="29">
        <v>43425</v>
      </c>
      <c r="B1442" s="22" t="s">
        <v>110</v>
      </c>
      <c r="C1442" s="22" t="s">
        <v>57</v>
      </c>
      <c r="D1442" s="48" t="s">
        <v>5</v>
      </c>
      <c r="E1442" t="s">
        <v>157</v>
      </c>
      <c r="F1442">
        <v>2018</v>
      </c>
      <c r="G1442" t="s">
        <v>247</v>
      </c>
      <c r="H1442" s="42" t="s">
        <v>545</v>
      </c>
      <c r="J1442" t="s">
        <v>248</v>
      </c>
      <c r="L1442" s="34">
        <v>2</v>
      </c>
      <c r="M1442" s="38">
        <v>0.75</v>
      </c>
      <c r="N1442" s="38">
        <f t="shared" si="22"/>
        <v>1.5</v>
      </c>
    </row>
    <row r="1443" spans="1:14">
      <c r="A1443" s="29">
        <v>43425</v>
      </c>
      <c r="B1443" s="22" t="s">
        <v>110</v>
      </c>
      <c r="C1443" s="22" t="s">
        <v>57</v>
      </c>
      <c r="D1443" s="48" t="s">
        <v>5</v>
      </c>
      <c r="E1443" t="s">
        <v>157</v>
      </c>
      <c r="F1443">
        <v>2018</v>
      </c>
      <c r="G1443" t="s">
        <v>326</v>
      </c>
      <c r="H1443" s="42" t="s">
        <v>57</v>
      </c>
      <c r="J1443" t="s">
        <v>248</v>
      </c>
      <c r="L1443" s="34">
        <v>3</v>
      </c>
      <c r="M1443" s="38">
        <v>0.75</v>
      </c>
      <c r="N1443" s="38">
        <f t="shared" si="22"/>
        <v>2.25</v>
      </c>
    </row>
    <row r="1444" spans="1:14">
      <c r="A1444" s="29">
        <v>43425</v>
      </c>
      <c r="B1444" s="22" t="s">
        <v>110</v>
      </c>
      <c r="C1444" s="22" t="s">
        <v>57</v>
      </c>
      <c r="D1444" s="48" t="s">
        <v>5</v>
      </c>
      <c r="E1444" t="s">
        <v>381</v>
      </c>
      <c r="F1444">
        <v>2018</v>
      </c>
      <c r="G1444" t="s">
        <v>494</v>
      </c>
      <c r="H1444" s="42" t="s">
        <v>57</v>
      </c>
      <c r="J1444" t="s">
        <v>248</v>
      </c>
      <c r="L1444" s="34">
        <v>5</v>
      </c>
      <c r="M1444" s="38">
        <v>0.75</v>
      </c>
      <c r="N1444" s="38">
        <f t="shared" si="22"/>
        <v>3.75</v>
      </c>
    </row>
    <row r="1445" spans="1:14">
      <c r="A1445" s="29">
        <v>43425</v>
      </c>
      <c r="B1445" s="22" t="s">
        <v>110</v>
      </c>
      <c r="C1445" s="22" t="s">
        <v>57</v>
      </c>
      <c r="D1445" s="48" t="s">
        <v>5</v>
      </c>
      <c r="E1445" t="s">
        <v>255</v>
      </c>
      <c r="F1445">
        <v>2018</v>
      </c>
      <c r="G1445" t="s">
        <v>247</v>
      </c>
      <c r="H1445" s="42" t="s">
        <v>57</v>
      </c>
      <c r="J1445" t="s">
        <v>248</v>
      </c>
      <c r="L1445" s="34">
        <v>3</v>
      </c>
      <c r="M1445" s="38">
        <v>0.75</v>
      </c>
      <c r="N1445" s="38">
        <f t="shared" si="22"/>
        <v>2.25</v>
      </c>
    </row>
    <row r="1446" spans="1:14">
      <c r="A1446" s="29">
        <v>43425</v>
      </c>
      <c r="B1446" s="22" t="s">
        <v>110</v>
      </c>
      <c r="C1446" s="22" t="s">
        <v>57</v>
      </c>
      <c r="D1446" s="48" t="s">
        <v>11</v>
      </c>
      <c r="E1446" t="s">
        <v>177</v>
      </c>
      <c r="F1446">
        <v>2018</v>
      </c>
      <c r="G1446" t="s">
        <v>57</v>
      </c>
      <c r="H1446" s="42" t="s">
        <v>57</v>
      </c>
      <c r="J1446" t="s">
        <v>248</v>
      </c>
      <c r="L1446" s="34">
        <v>3</v>
      </c>
      <c r="M1446" s="38">
        <v>0.75</v>
      </c>
      <c r="N1446" s="38">
        <f t="shared" si="22"/>
        <v>2.25</v>
      </c>
    </row>
    <row r="1447" spans="1:14">
      <c r="A1447" s="29">
        <v>43425</v>
      </c>
      <c r="B1447" s="22" t="s">
        <v>60</v>
      </c>
      <c r="C1447" s="22" t="s">
        <v>45</v>
      </c>
      <c r="D1447" s="48" t="s">
        <v>5</v>
      </c>
      <c r="E1447" t="s">
        <v>159</v>
      </c>
      <c r="F1447">
        <v>2018</v>
      </c>
      <c r="G1447" t="s">
        <v>584</v>
      </c>
      <c r="H1447" s="42" t="s">
        <v>57</v>
      </c>
      <c r="J1447" t="s">
        <v>248</v>
      </c>
      <c r="K1447" t="s">
        <v>585</v>
      </c>
      <c r="L1447" s="34">
        <v>3</v>
      </c>
      <c r="M1447" s="38">
        <v>0.75</v>
      </c>
      <c r="N1447" s="38">
        <f t="shared" si="22"/>
        <v>2.25</v>
      </c>
    </row>
    <row r="1448" spans="1:14">
      <c r="A1448" s="29">
        <v>43425</v>
      </c>
      <c r="B1448" s="22" t="s">
        <v>60</v>
      </c>
      <c r="C1448" s="22" t="s">
        <v>45</v>
      </c>
      <c r="D1448" s="48" t="s">
        <v>5</v>
      </c>
      <c r="E1448" t="s">
        <v>157</v>
      </c>
      <c r="F1448">
        <v>2018</v>
      </c>
      <c r="G1448" t="s">
        <v>326</v>
      </c>
      <c r="H1448" s="42" t="s">
        <v>57</v>
      </c>
      <c r="J1448" t="s">
        <v>248</v>
      </c>
      <c r="L1448" s="34">
        <v>3</v>
      </c>
      <c r="M1448" s="38">
        <v>0.75</v>
      </c>
      <c r="N1448" s="38">
        <f t="shared" si="22"/>
        <v>2.25</v>
      </c>
    </row>
    <row r="1449" spans="1:14">
      <c r="A1449" s="29">
        <v>43426</v>
      </c>
      <c r="B1449" s="22" t="s">
        <v>110</v>
      </c>
      <c r="C1449" s="22" t="s">
        <v>57</v>
      </c>
      <c r="D1449" s="48" t="s">
        <v>5</v>
      </c>
      <c r="E1449" t="s">
        <v>157</v>
      </c>
      <c r="F1449">
        <v>2018</v>
      </c>
      <c r="G1449" t="s">
        <v>326</v>
      </c>
      <c r="H1449" s="42" t="s">
        <v>57</v>
      </c>
      <c r="J1449" t="s">
        <v>248</v>
      </c>
      <c r="L1449" s="34">
        <v>1</v>
      </c>
      <c r="M1449" s="38">
        <v>0.75</v>
      </c>
      <c r="N1449" s="38">
        <f t="shared" si="22"/>
        <v>0.75</v>
      </c>
    </row>
    <row r="1450" spans="1:14">
      <c r="A1450" s="29">
        <v>43426</v>
      </c>
      <c r="B1450" s="22" t="s">
        <v>110</v>
      </c>
      <c r="C1450" s="22" t="s">
        <v>57</v>
      </c>
      <c r="D1450" s="48" t="s">
        <v>5</v>
      </c>
      <c r="E1450" t="s">
        <v>488</v>
      </c>
      <c r="F1450">
        <v>2018</v>
      </c>
      <c r="G1450" t="s">
        <v>326</v>
      </c>
      <c r="H1450" s="42">
        <v>64</v>
      </c>
      <c r="J1450" t="s">
        <v>248</v>
      </c>
      <c r="L1450" s="34">
        <v>3</v>
      </c>
      <c r="M1450" s="38">
        <v>0.75</v>
      </c>
      <c r="N1450" s="38">
        <f t="shared" si="22"/>
        <v>2.25</v>
      </c>
    </row>
    <row r="1451" spans="1:14">
      <c r="A1451" s="29">
        <v>43427</v>
      </c>
      <c r="B1451" s="22" t="s">
        <v>40</v>
      </c>
      <c r="C1451" s="22" t="s">
        <v>57</v>
      </c>
      <c r="D1451" s="48" t="s">
        <v>5</v>
      </c>
      <c r="E1451" t="s">
        <v>307</v>
      </c>
      <c r="F1451">
        <v>2018</v>
      </c>
      <c r="G1451" t="s">
        <v>558</v>
      </c>
      <c r="H1451" s="42">
        <v>15</v>
      </c>
      <c r="J1451" t="s">
        <v>248</v>
      </c>
      <c r="L1451" s="34">
        <v>2</v>
      </c>
      <c r="M1451" s="38">
        <v>0.75</v>
      </c>
      <c r="N1451" s="38">
        <f t="shared" si="22"/>
        <v>1.5</v>
      </c>
    </row>
    <row r="1452" spans="1:14">
      <c r="A1452" s="29">
        <v>43427</v>
      </c>
      <c r="B1452" s="22" t="s">
        <v>40</v>
      </c>
      <c r="C1452" s="22" t="s">
        <v>57</v>
      </c>
      <c r="D1452" s="48" t="s">
        <v>5</v>
      </c>
      <c r="E1452" t="s">
        <v>157</v>
      </c>
      <c r="F1452">
        <v>2018</v>
      </c>
      <c r="G1452" t="s">
        <v>247</v>
      </c>
      <c r="H1452" s="42" t="s">
        <v>545</v>
      </c>
      <c r="J1452" t="s">
        <v>248</v>
      </c>
      <c r="L1452" s="34">
        <v>2</v>
      </c>
      <c r="M1452" s="38">
        <v>0.75</v>
      </c>
      <c r="N1452" s="38">
        <f t="shared" si="22"/>
        <v>1.5</v>
      </c>
    </row>
    <row r="1453" spans="1:14">
      <c r="A1453" s="29">
        <v>43430</v>
      </c>
      <c r="B1453" s="22" t="s">
        <v>63</v>
      </c>
      <c r="C1453" s="22" t="s">
        <v>57</v>
      </c>
      <c r="D1453" s="48" t="s">
        <v>5</v>
      </c>
      <c r="E1453" t="s">
        <v>157</v>
      </c>
      <c r="F1453">
        <v>2018</v>
      </c>
      <c r="G1453" t="s">
        <v>247</v>
      </c>
      <c r="H1453" s="42" t="s">
        <v>545</v>
      </c>
      <c r="J1453" t="s">
        <v>248</v>
      </c>
      <c r="L1453" s="34">
        <v>6</v>
      </c>
      <c r="M1453" s="38">
        <v>0.75</v>
      </c>
      <c r="N1453" s="38">
        <f t="shared" si="22"/>
        <v>4.5</v>
      </c>
    </row>
    <row r="1454" spans="1:14">
      <c r="A1454" s="29">
        <v>43430</v>
      </c>
      <c r="B1454" s="22" t="s">
        <v>109</v>
      </c>
      <c r="C1454" s="22" t="s">
        <v>57</v>
      </c>
      <c r="D1454" s="48" t="s">
        <v>8</v>
      </c>
      <c r="E1454" t="s">
        <v>184</v>
      </c>
      <c r="F1454">
        <v>2018</v>
      </c>
      <c r="G1454" t="s">
        <v>567</v>
      </c>
      <c r="H1454" s="42" t="s">
        <v>57</v>
      </c>
      <c r="J1454" t="s">
        <v>248</v>
      </c>
      <c r="L1454" s="34">
        <v>7</v>
      </c>
      <c r="M1454" s="38">
        <v>0.75</v>
      </c>
      <c r="N1454" s="38">
        <f t="shared" si="22"/>
        <v>5.25</v>
      </c>
    </row>
    <row r="1455" spans="1:14">
      <c r="A1455" s="29">
        <v>43430</v>
      </c>
      <c r="B1455" s="22" t="s">
        <v>109</v>
      </c>
      <c r="C1455" s="22" t="s">
        <v>57</v>
      </c>
      <c r="D1455" s="48" t="s">
        <v>8</v>
      </c>
      <c r="E1455" t="s">
        <v>178</v>
      </c>
      <c r="F1455">
        <v>2018</v>
      </c>
      <c r="G1455" t="s">
        <v>57</v>
      </c>
      <c r="H1455" s="42">
        <v>411</v>
      </c>
      <c r="J1455" t="s">
        <v>248</v>
      </c>
      <c r="L1455" s="34">
        <v>1</v>
      </c>
      <c r="M1455" s="38">
        <v>0.75</v>
      </c>
      <c r="N1455" s="38">
        <f t="shared" si="22"/>
        <v>0.75</v>
      </c>
    </row>
    <row r="1456" spans="1:14">
      <c r="A1456" s="29">
        <v>43430</v>
      </c>
      <c r="B1456" s="22" t="s">
        <v>109</v>
      </c>
      <c r="C1456" s="22" t="s">
        <v>57</v>
      </c>
      <c r="D1456" s="48" t="s">
        <v>8</v>
      </c>
      <c r="E1456" t="s">
        <v>182</v>
      </c>
      <c r="F1456">
        <v>2018</v>
      </c>
      <c r="G1456" t="s">
        <v>57</v>
      </c>
      <c r="H1456" s="42">
        <v>203</v>
      </c>
      <c r="J1456" t="s">
        <v>248</v>
      </c>
      <c r="L1456" s="34">
        <v>1</v>
      </c>
      <c r="M1456" s="38">
        <v>0.75</v>
      </c>
      <c r="N1456" s="38">
        <f t="shared" si="22"/>
        <v>0.75</v>
      </c>
    </row>
    <row r="1457" spans="1:14">
      <c r="A1457" s="29">
        <v>43430</v>
      </c>
      <c r="B1457" s="22" t="s">
        <v>109</v>
      </c>
      <c r="C1457" s="22" t="s">
        <v>57</v>
      </c>
      <c r="D1457" s="48" t="s">
        <v>5</v>
      </c>
      <c r="E1457" t="s">
        <v>157</v>
      </c>
      <c r="F1457">
        <v>2018</v>
      </c>
      <c r="G1457" t="s">
        <v>326</v>
      </c>
      <c r="H1457" s="42" t="s">
        <v>57</v>
      </c>
      <c r="J1457" t="s">
        <v>248</v>
      </c>
      <c r="L1457" s="34">
        <v>1</v>
      </c>
      <c r="M1457" s="38">
        <v>0.75</v>
      </c>
      <c r="N1457" s="38">
        <f t="shared" si="22"/>
        <v>0.75</v>
      </c>
    </row>
    <row r="1458" spans="1:14">
      <c r="A1458" s="29">
        <v>43430</v>
      </c>
      <c r="B1458" s="22" t="s">
        <v>109</v>
      </c>
      <c r="C1458" s="22" t="s">
        <v>57</v>
      </c>
      <c r="D1458" s="48" t="s">
        <v>5</v>
      </c>
      <c r="E1458" t="s">
        <v>381</v>
      </c>
      <c r="F1458">
        <v>2018</v>
      </c>
      <c r="G1458" t="s">
        <v>494</v>
      </c>
      <c r="H1458" s="42" t="s">
        <v>57</v>
      </c>
      <c r="J1458" t="s">
        <v>248</v>
      </c>
      <c r="L1458" s="34">
        <v>1</v>
      </c>
      <c r="M1458" s="38">
        <v>0.75</v>
      </c>
      <c r="N1458" s="38">
        <f t="shared" si="22"/>
        <v>0.75</v>
      </c>
    </row>
    <row r="1459" spans="1:14">
      <c r="A1459" s="29">
        <v>43430</v>
      </c>
      <c r="B1459" s="22" t="s">
        <v>109</v>
      </c>
      <c r="C1459" s="22" t="s">
        <v>57</v>
      </c>
      <c r="D1459" s="48" t="s">
        <v>8</v>
      </c>
      <c r="E1459" t="s">
        <v>272</v>
      </c>
      <c r="F1459">
        <v>2018</v>
      </c>
      <c r="G1459" t="s">
        <v>548</v>
      </c>
      <c r="H1459" s="42">
        <v>414</v>
      </c>
      <c r="J1459" t="s">
        <v>248</v>
      </c>
      <c r="L1459" s="34">
        <v>1</v>
      </c>
      <c r="M1459" s="38">
        <v>0.75</v>
      </c>
      <c r="N1459" s="38">
        <f t="shared" si="22"/>
        <v>0.75</v>
      </c>
    </row>
    <row r="1460" spans="1:14">
      <c r="A1460" s="29">
        <v>43430</v>
      </c>
      <c r="B1460" s="22" t="s">
        <v>57</v>
      </c>
      <c r="C1460" s="22" t="s">
        <v>38</v>
      </c>
      <c r="D1460" s="48" t="s">
        <v>5</v>
      </c>
      <c r="E1460" t="s">
        <v>157</v>
      </c>
      <c r="F1460">
        <v>2018</v>
      </c>
      <c r="G1460" t="s">
        <v>57</v>
      </c>
      <c r="H1460" s="42" t="s">
        <v>57</v>
      </c>
      <c r="J1460" t="s">
        <v>248</v>
      </c>
      <c r="K1460" t="s">
        <v>607</v>
      </c>
      <c r="L1460" s="34">
        <v>2</v>
      </c>
      <c r="M1460" s="38">
        <v>0.75</v>
      </c>
      <c r="N1460" s="38">
        <f t="shared" si="22"/>
        <v>1.5</v>
      </c>
    </row>
    <row r="1461" spans="1:14">
      <c r="A1461" s="29">
        <v>43430</v>
      </c>
      <c r="B1461" s="22" t="s">
        <v>57</v>
      </c>
      <c r="C1461" s="22" t="s">
        <v>38</v>
      </c>
      <c r="D1461" s="48" t="s">
        <v>5</v>
      </c>
      <c r="E1461" t="s">
        <v>157</v>
      </c>
      <c r="F1461">
        <v>2018</v>
      </c>
      <c r="G1461" t="s">
        <v>57</v>
      </c>
      <c r="H1461" s="42" t="s">
        <v>57</v>
      </c>
      <c r="J1461" t="s">
        <v>248</v>
      </c>
      <c r="K1461" t="s">
        <v>608</v>
      </c>
      <c r="L1461" s="34">
        <v>2</v>
      </c>
      <c r="M1461" s="38">
        <v>0.75</v>
      </c>
      <c r="N1461" s="38">
        <f t="shared" si="22"/>
        <v>1.5</v>
      </c>
    </row>
    <row r="1462" spans="1:14">
      <c r="A1462" s="29">
        <v>43430</v>
      </c>
      <c r="B1462" s="22" t="s">
        <v>57</v>
      </c>
      <c r="C1462" s="22" t="s">
        <v>38</v>
      </c>
      <c r="D1462" s="48" t="s">
        <v>8</v>
      </c>
      <c r="E1462" t="s">
        <v>259</v>
      </c>
      <c r="F1462">
        <v>2018</v>
      </c>
      <c r="G1462" t="s">
        <v>316</v>
      </c>
      <c r="H1462" s="42">
        <v>418</v>
      </c>
      <c r="J1462" t="s">
        <v>248</v>
      </c>
      <c r="L1462" s="34">
        <v>1</v>
      </c>
      <c r="M1462" s="38">
        <v>0.75</v>
      </c>
      <c r="N1462" s="38">
        <f t="shared" si="22"/>
        <v>0.75</v>
      </c>
    </row>
    <row r="1463" spans="1:14">
      <c r="A1463" s="29">
        <v>43430</v>
      </c>
      <c r="B1463" s="22" t="s">
        <v>81</v>
      </c>
      <c r="C1463" s="22" t="s">
        <v>57</v>
      </c>
      <c r="D1463" s="48" t="s">
        <v>5</v>
      </c>
      <c r="E1463" t="s">
        <v>159</v>
      </c>
      <c r="F1463">
        <v>2018</v>
      </c>
      <c r="G1463" t="s">
        <v>247</v>
      </c>
      <c r="H1463" s="42">
        <v>421</v>
      </c>
      <c r="J1463" t="s">
        <v>248</v>
      </c>
      <c r="L1463" s="34">
        <v>6</v>
      </c>
      <c r="M1463" s="38">
        <v>0.75</v>
      </c>
      <c r="N1463" s="38">
        <f t="shared" si="22"/>
        <v>4.5</v>
      </c>
    </row>
    <row r="1464" spans="1:14">
      <c r="A1464" s="29">
        <v>43430</v>
      </c>
      <c r="B1464" s="22" t="s">
        <v>81</v>
      </c>
      <c r="C1464" s="22" t="s">
        <v>57</v>
      </c>
      <c r="D1464" s="48" t="s">
        <v>5</v>
      </c>
      <c r="E1464" t="s">
        <v>255</v>
      </c>
      <c r="F1464">
        <v>2018</v>
      </c>
      <c r="G1464" t="s">
        <v>247</v>
      </c>
      <c r="H1464" s="42" t="s">
        <v>57</v>
      </c>
      <c r="J1464" t="s">
        <v>248</v>
      </c>
      <c r="L1464" s="34">
        <v>6</v>
      </c>
      <c r="M1464" s="38">
        <v>0.75</v>
      </c>
      <c r="N1464" s="38">
        <f t="shared" si="22"/>
        <v>4.5</v>
      </c>
    </row>
    <row r="1465" spans="1:14">
      <c r="A1465" s="29">
        <v>43430</v>
      </c>
      <c r="B1465" s="22" t="s">
        <v>81</v>
      </c>
      <c r="C1465" s="22" t="s">
        <v>57</v>
      </c>
      <c r="D1465" s="48" t="s">
        <v>5</v>
      </c>
      <c r="E1465" t="s">
        <v>255</v>
      </c>
      <c r="F1465">
        <v>2018</v>
      </c>
      <c r="G1465" t="s">
        <v>326</v>
      </c>
      <c r="H1465" s="42">
        <v>52</v>
      </c>
      <c r="J1465" t="s">
        <v>248</v>
      </c>
      <c r="L1465" s="34">
        <v>6</v>
      </c>
      <c r="M1465" s="38">
        <v>0.75</v>
      </c>
      <c r="N1465" s="38">
        <f t="shared" si="22"/>
        <v>4.5</v>
      </c>
    </row>
    <row r="1466" spans="1:14">
      <c r="A1466" s="29">
        <v>43430</v>
      </c>
      <c r="B1466" s="22" t="s">
        <v>81</v>
      </c>
      <c r="C1466" s="22" t="s">
        <v>57</v>
      </c>
      <c r="D1466" s="48" t="s">
        <v>5</v>
      </c>
      <c r="E1466" t="s">
        <v>157</v>
      </c>
      <c r="F1466">
        <v>2018</v>
      </c>
      <c r="G1466" t="s">
        <v>247</v>
      </c>
      <c r="H1466" s="42" t="s">
        <v>545</v>
      </c>
      <c r="J1466" t="s">
        <v>248</v>
      </c>
      <c r="L1466" s="34">
        <v>6</v>
      </c>
      <c r="M1466" s="38">
        <v>0.75</v>
      </c>
      <c r="N1466" s="38">
        <f t="shared" si="22"/>
        <v>4.5</v>
      </c>
    </row>
    <row r="1467" spans="1:14">
      <c r="A1467" s="29">
        <v>43431</v>
      </c>
      <c r="B1467" s="22" t="s">
        <v>63</v>
      </c>
      <c r="C1467" s="22" t="s">
        <v>57</v>
      </c>
      <c r="D1467" s="48" t="s">
        <v>5</v>
      </c>
      <c r="E1467" t="s">
        <v>255</v>
      </c>
      <c r="F1467">
        <v>2018</v>
      </c>
      <c r="G1467" t="s">
        <v>247</v>
      </c>
      <c r="H1467" s="42" t="s">
        <v>57</v>
      </c>
      <c r="J1467" t="s">
        <v>248</v>
      </c>
      <c r="L1467" s="34">
        <v>2</v>
      </c>
      <c r="M1467" s="38">
        <v>0.75</v>
      </c>
      <c r="N1467" s="38">
        <f t="shared" si="22"/>
        <v>1.5</v>
      </c>
    </row>
    <row r="1468" spans="1:14">
      <c r="A1468" s="29">
        <v>43431</v>
      </c>
      <c r="B1468" s="22" t="s">
        <v>63</v>
      </c>
      <c r="C1468" s="22" t="s">
        <v>57</v>
      </c>
      <c r="D1468" s="48" t="s">
        <v>5</v>
      </c>
      <c r="E1468" t="s">
        <v>255</v>
      </c>
      <c r="F1468">
        <v>2018</v>
      </c>
      <c r="G1468" t="s">
        <v>326</v>
      </c>
      <c r="H1468" s="42">
        <v>52</v>
      </c>
      <c r="J1468" t="s">
        <v>248</v>
      </c>
      <c r="L1468" s="34">
        <v>2</v>
      </c>
      <c r="M1468" s="38">
        <v>0.75</v>
      </c>
      <c r="N1468" s="38">
        <f t="shared" si="22"/>
        <v>1.5</v>
      </c>
    </row>
    <row r="1469" spans="1:14">
      <c r="A1469" s="29">
        <v>43431</v>
      </c>
      <c r="B1469" s="22" t="s">
        <v>63</v>
      </c>
      <c r="C1469" s="22" t="s">
        <v>57</v>
      </c>
      <c r="D1469" s="48" t="s">
        <v>5</v>
      </c>
      <c r="E1469" t="s">
        <v>255</v>
      </c>
      <c r="F1469">
        <v>2018</v>
      </c>
      <c r="G1469" t="s">
        <v>57</v>
      </c>
      <c r="H1469" s="42">
        <v>330</v>
      </c>
      <c r="J1469" t="s">
        <v>248</v>
      </c>
      <c r="K1469" t="s">
        <v>609</v>
      </c>
      <c r="L1469" s="34">
        <v>2</v>
      </c>
      <c r="M1469" s="38">
        <v>0.75</v>
      </c>
      <c r="N1469" s="38">
        <f t="shared" si="22"/>
        <v>1.5</v>
      </c>
    </row>
    <row r="1470" spans="1:14">
      <c r="A1470" s="29">
        <v>43431</v>
      </c>
      <c r="B1470" s="22" t="s">
        <v>9</v>
      </c>
      <c r="C1470" s="22" t="s">
        <v>41</v>
      </c>
      <c r="D1470" s="48" t="s">
        <v>11</v>
      </c>
      <c r="E1470" t="s">
        <v>177</v>
      </c>
      <c r="F1470">
        <v>2018</v>
      </c>
      <c r="G1470" t="s">
        <v>500</v>
      </c>
      <c r="H1470" s="42">
        <v>133</v>
      </c>
      <c r="J1470" t="s">
        <v>248</v>
      </c>
      <c r="L1470" s="34">
        <v>1</v>
      </c>
      <c r="M1470" s="38">
        <v>0.75</v>
      </c>
      <c r="N1470" s="38">
        <f t="shared" si="22"/>
        <v>0.75</v>
      </c>
    </row>
    <row r="1471" spans="1:14">
      <c r="A1471" s="29">
        <v>43431</v>
      </c>
      <c r="B1471" s="22" t="s">
        <v>57</v>
      </c>
      <c r="C1471" s="22" t="s">
        <v>22</v>
      </c>
      <c r="D1471" s="48" t="s">
        <v>5</v>
      </c>
      <c r="E1471" t="s">
        <v>157</v>
      </c>
      <c r="F1471">
        <v>2018</v>
      </c>
      <c r="G1471" t="s">
        <v>247</v>
      </c>
      <c r="H1471" s="42" t="s">
        <v>545</v>
      </c>
      <c r="J1471" t="s">
        <v>248</v>
      </c>
      <c r="L1471" s="34">
        <v>2</v>
      </c>
      <c r="M1471" s="38">
        <v>0.75</v>
      </c>
      <c r="N1471" s="38">
        <f t="shared" si="22"/>
        <v>1.5</v>
      </c>
    </row>
    <row r="1472" spans="1:14">
      <c r="A1472" s="29">
        <v>43431</v>
      </c>
      <c r="B1472" s="22" t="s">
        <v>57</v>
      </c>
      <c r="C1472" s="22" t="s">
        <v>22</v>
      </c>
      <c r="D1472" s="48" t="s">
        <v>5</v>
      </c>
      <c r="E1472" t="s">
        <v>157</v>
      </c>
      <c r="F1472">
        <v>2018</v>
      </c>
      <c r="G1472" t="s">
        <v>326</v>
      </c>
      <c r="H1472" s="42" t="s">
        <v>57</v>
      </c>
      <c r="J1472" t="s">
        <v>248</v>
      </c>
      <c r="L1472" s="34">
        <v>2</v>
      </c>
      <c r="M1472" s="38">
        <v>0.75</v>
      </c>
      <c r="N1472" s="38">
        <f t="shared" si="22"/>
        <v>1.5</v>
      </c>
    </row>
    <row r="1473" spans="1:14">
      <c r="A1473" s="29">
        <v>43432</v>
      </c>
      <c r="B1473" s="22" t="s">
        <v>62</v>
      </c>
      <c r="C1473" s="22" t="s">
        <v>57</v>
      </c>
      <c r="D1473" s="48" t="s">
        <v>5</v>
      </c>
      <c r="E1473" t="s">
        <v>262</v>
      </c>
      <c r="F1473">
        <v>2018</v>
      </c>
      <c r="G1473" t="s">
        <v>404</v>
      </c>
      <c r="H1473" s="42">
        <v>408</v>
      </c>
      <c r="J1473" t="s">
        <v>248</v>
      </c>
      <c r="L1473" s="34">
        <v>2</v>
      </c>
      <c r="M1473" s="38">
        <v>0.75</v>
      </c>
      <c r="N1473" s="38">
        <f t="shared" si="22"/>
        <v>1.5</v>
      </c>
    </row>
    <row r="1474" spans="1:14">
      <c r="A1474" s="29">
        <v>43432</v>
      </c>
      <c r="B1474" s="22" t="s">
        <v>62</v>
      </c>
      <c r="C1474" s="22" t="s">
        <v>57</v>
      </c>
      <c r="D1474" s="48" t="s">
        <v>5</v>
      </c>
      <c r="E1474" t="s">
        <v>262</v>
      </c>
      <c r="F1474">
        <v>2018</v>
      </c>
      <c r="G1474" t="s">
        <v>494</v>
      </c>
      <c r="H1474" s="42" t="s">
        <v>57</v>
      </c>
      <c r="J1474" t="s">
        <v>248</v>
      </c>
      <c r="L1474" s="34">
        <v>2</v>
      </c>
      <c r="M1474" s="38">
        <v>0.75</v>
      </c>
      <c r="N1474" s="38">
        <f t="shared" si="22"/>
        <v>1.5</v>
      </c>
    </row>
    <row r="1475" spans="1:14">
      <c r="A1475" s="29">
        <v>43432</v>
      </c>
      <c r="B1475" s="22" t="s">
        <v>81</v>
      </c>
      <c r="C1475" s="22" t="s">
        <v>57</v>
      </c>
      <c r="D1475" s="48" t="s">
        <v>5</v>
      </c>
      <c r="E1475" t="s">
        <v>158</v>
      </c>
      <c r="F1475">
        <v>2018</v>
      </c>
      <c r="G1475" t="s">
        <v>326</v>
      </c>
      <c r="H1475" s="42" t="s">
        <v>57</v>
      </c>
      <c r="J1475" t="s">
        <v>248</v>
      </c>
      <c r="L1475" s="34">
        <v>1</v>
      </c>
      <c r="M1475" s="38">
        <v>10</v>
      </c>
      <c r="N1475" s="38">
        <f t="shared" ref="N1475:N1538" si="23">M1475*L1475</f>
        <v>10</v>
      </c>
    </row>
    <row r="1476" spans="1:14">
      <c r="A1476" s="29">
        <v>43432</v>
      </c>
      <c r="B1476" s="22" t="s">
        <v>81</v>
      </c>
      <c r="C1476" s="22" t="s">
        <v>57</v>
      </c>
      <c r="D1476" s="48" t="s">
        <v>5</v>
      </c>
      <c r="E1476" t="s">
        <v>159</v>
      </c>
      <c r="F1476">
        <v>2018</v>
      </c>
      <c r="G1476" t="s">
        <v>247</v>
      </c>
      <c r="H1476" s="42">
        <v>421</v>
      </c>
      <c r="J1476" t="s">
        <v>248</v>
      </c>
      <c r="L1476" s="34">
        <v>6</v>
      </c>
      <c r="M1476" s="38">
        <v>0.75</v>
      </c>
      <c r="N1476" s="38">
        <f t="shared" si="23"/>
        <v>4.5</v>
      </c>
    </row>
    <row r="1477" spans="1:14">
      <c r="A1477" s="29">
        <v>43432</v>
      </c>
      <c r="B1477" s="22" t="s">
        <v>123</v>
      </c>
      <c r="C1477" s="22" t="s">
        <v>45</v>
      </c>
      <c r="D1477" s="48" t="s">
        <v>8</v>
      </c>
      <c r="E1477" t="s">
        <v>272</v>
      </c>
      <c r="F1477">
        <v>2018</v>
      </c>
      <c r="G1477" t="s">
        <v>567</v>
      </c>
      <c r="H1477" s="42" t="s">
        <v>57</v>
      </c>
      <c r="J1477" t="s">
        <v>248</v>
      </c>
      <c r="L1477" s="34">
        <v>3</v>
      </c>
      <c r="M1477" s="38">
        <v>0.75</v>
      </c>
      <c r="N1477" s="38">
        <f t="shared" si="23"/>
        <v>2.25</v>
      </c>
    </row>
    <row r="1478" spans="1:14">
      <c r="A1478" s="29">
        <v>43432</v>
      </c>
      <c r="B1478" s="22" t="s">
        <v>57</v>
      </c>
      <c r="C1478" s="22" t="s">
        <v>45</v>
      </c>
      <c r="D1478" s="48" t="s">
        <v>5</v>
      </c>
      <c r="E1478" t="s">
        <v>255</v>
      </c>
      <c r="F1478">
        <v>2018</v>
      </c>
      <c r="G1478" t="s">
        <v>326</v>
      </c>
      <c r="H1478" s="42">
        <v>52</v>
      </c>
      <c r="J1478" t="s">
        <v>248</v>
      </c>
      <c r="L1478" s="34">
        <v>1</v>
      </c>
      <c r="M1478" s="38">
        <v>0.75</v>
      </c>
      <c r="N1478" s="38">
        <f t="shared" si="23"/>
        <v>0.75</v>
      </c>
    </row>
    <row r="1479" spans="1:14">
      <c r="A1479" s="29">
        <v>43432</v>
      </c>
      <c r="B1479" s="22" t="s">
        <v>293</v>
      </c>
      <c r="C1479" s="22" t="s">
        <v>57</v>
      </c>
      <c r="D1479" s="48" t="s">
        <v>5</v>
      </c>
      <c r="E1479" t="s">
        <v>159</v>
      </c>
      <c r="F1479">
        <v>2018</v>
      </c>
      <c r="G1479" t="s">
        <v>247</v>
      </c>
      <c r="H1479" s="42">
        <v>421</v>
      </c>
      <c r="J1479" t="s">
        <v>248</v>
      </c>
      <c r="L1479" s="34">
        <v>8</v>
      </c>
      <c r="M1479" s="38">
        <v>0.75</v>
      </c>
      <c r="N1479" s="38">
        <f t="shared" si="23"/>
        <v>6</v>
      </c>
    </row>
    <row r="1480" spans="1:14">
      <c r="A1480" s="29">
        <v>43432</v>
      </c>
      <c r="B1480" s="22" t="s">
        <v>293</v>
      </c>
      <c r="C1480" s="22" t="s">
        <v>57</v>
      </c>
      <c r="D1480" s="48" t="s">
        <v>5</v>
      </c>
      <c r="E1480" t="s">
        <v>255</v>
      </c>
      <c r="F1480">
        <v>2018</v>
      </c>
      <c r="G1480" t="s">
        <v>247</v>
      </c>
      <c r="H1480" s="42" t="s">
        <v>57</v>
      </c>
      <c r="J1480" t="s">
        <v>248</v>
      </c>
      <c r="L1480" s="34">
        <v>4</v>
      </c>
      <c r="M1480" s="38">
        <v>0.75</v>
      </c>
      <c r="N1480" s="38">
        <f t="shared" si="23"/>
        <v>3</v>
      </c>
    </row>
    <row r="1481" spans="1:14">
      <c r="A1481" s="29">
        <v>43433</v>
      </c>
      <c r="B1481" s="22" t="s">
        <v>60</v>
      </c>
      <c r="C1481" s="22" t="s">
        <v>7</v>
      </c>
      <c r="D1481" s="48" t="s">
        <v>5</v>
      </c>
      <c r="E1481" t="s">
        <v>157</v>
      </c>
      <c r="F1481">
        <v>2018</v>
      </c>
      <c r="G1481" t="s">
        <v>338</v>
      </c>
      <c r="H1481" s="42">
        <v>96</v>
      </c>
      <c r="J1481" t="s">
        <v>248</v>
      </c>
      <c r="L1481" s="34">
        <v>2</v>
      </c>
      <c r="M1481" s="38">
        <v>0.75</v>
      </c>
      <c r="N1481" s="38">
        <f t="shared" si="23"/>
        <v>1.5</v>
      </c>
    </row>
    <row r="1482" spans="1:14">
      <c r="A1482" s="29">
        <v>43433</v>
      </c>
      <c r="B1482" s="22" t="s">
        <v>60</v>
      </c>
      <c r="C1482" s="22" t="s">
        <v>7</v>
      </c>
      <c r="D1482" s="48" t="s">
        <v>5</v>
      </c>
      <c r="E1482" t="s">
        <v>159</v>
      </c>
      <c r="F1482">
        <v>2018</v>
      </c>
      <c r="G1482" t="s">
        <v>338</v>
      </c>
      <c r="H1482" s="42">
        <v>38</v>
      </c>
      <c r="J1482" t="s">
        <v>248</v>
      </c>
      <c r="L1482" s="34">
        <v>2</v>
      </c>
      <c r="M1482" s="38">
        <v>0.75</v>
      </c>
      <c r="N1482" s="38">
        <f t="shared" si="23"/>
        <v>1.5</v>
      </c>
    </row>
    <row r="1483" spans="1:14">
      <c r="A1483" s="29">
        <v>43433</v>
      </c>
      <c r="B1483" s="22" t="s">
        <v>60</v>
      </c>
      <c r="C1483" s="22" t="s">
        <v>7</v>
      </c>
      <c r="D1483" s="48" t="s">
        <v>8</v>
      </c>
      <c r="E1483" t="s">
        <v>182</v>
      </c>
      <c r="F1483">
        <v>2018</v>
      </c>
      <c r="G1483" t="s">
        <v>338</v>
      </c>
      <c r="H1483" s="42">
        <v>47</v>
      </c>
      <c r="J1483" t="s">
        <v>248</v>
      </c>
      <c r="L1483" s="34">
        <v>2</v>
      </c>
      <c r="M1483" s="38">
        <v>0.75</v>
      </c>
      <c r="N1483" s="38">
        <f t="shared" si="23"/>
        <v>1.5</v>
      </c>
    </row>
    <row r="1484" spans="1:14">
      <c r="A1484" s="29">
        <v>43433</v>
      </c>
      <c r="B1484" s="22" t="s">
        <v>60</v>
      </c>
      <c r="C1484" s="22" t="s">
        <v>7</v>
      </c>
      <c r="D1484" s="48" t="s">
        <v>8</v>
      </c>
      <c r="E1484" t="s">
        <v>178</v>
      </c>
      <c r="F1484">
        <v>2018</v>
      </c>
      <c r="G1484" t="s">
        <v>338</v>
      </c>
      <c r="H1484" s="42">
        <v>411</v>
      </c>
      <c r="J1484" t="s">
        <v>248</v>
      </c>
      <c r="L1484" s="34">
        <v>2</v>
      </c>
      <c r="M1484" s="38">
        <v>0.75</v>
      </c>
      <c r="N1484" s="38">
        <f t="shared" si="23"/>
        <v>1.5</v>
      </c>
    </row>
    <row r="1485" spans="1:14">
      <c r="A1485" s="29">
        <v>43433</v>
      </c>
      <c r="B1485" s="22" t="s">
        <v>60</v>
      </c>
      <c r="C1485" s="22" t="s">
        <v>7</v>
      </c>
      <c r="D1485" s="48" t="s">
        <v>11</v>
      </c>
      <c r="E1485" t="s">
        <v>179</v>
      </c>
      <c r="F1485">
        <v>2018</v>
      </c>
      <c r="G1485" t="s">
        <v>338</v>
      </c>
      <c r="H1485" s="42" t="s">
        <v>57</v>
      </c>
      <c r="J1485" t="s">
        <v>248</v>
      </c>
      <c r="L1485" s="34">
        <v>2</v>
      </c>
      <c r="M1485" s="38">
        <v>0.75</v>
      </c>
      <c r="N1485" s="38">
        <f t="shared" si="23"/>
        <v>1.5</v>
      </c>
    </row>
    <row r="1486" spans="1:14">
      <c r="A1486" s="29">
        <v>43433</v>
      </c>
      <c r="B1486" s="22" t="s">
        <v>63</v>
      </c>
      <c r="C1486" s="22" t="s">
        <v>57</v>
      </c>
      <c r="D1486" s="48" t="s">
        <v>5</v>
      </c>
      <c r="E1486" t="s">
        <v>159</v>
      </c>
      <c r="F1486">
        <v>2018</v>
      </c>
      <c r="G1486" t="s">
        <v>319</v>
      </c>
      <c r="H1486" s="42">
        <v>420</v>
      </c>
      <c r="J1486" t="s">
        <v>248</v>
      </c>
      <c r="L1486" s="34">
        <v>3</v>
      </c>
      <c r="M1486" s="38">
        <v>0.75</v>
      </c>
      <c r="N1486" s="38">
        <f t="shared" si="23"/>
        <v>2.25</v>
      </c>
    </row>
    <row r="1487" spans="1:14">
      <c r="A1487" s="29">
        <v>43433</v>
      </c>
      <c r="B1487" s="22" t="s">
        <v>63</v>
      </c>
      <c r="C1487" s="22" t="s">
        <v>57</v>
      </c>
      <c r="D1487" s="48" t="s">
        <v>5</v>
      </c>
      <c r="E1487" t="s">
        <v>159</v>
      </c>
      <c r="F1487">
        <v>2018</v>
      </c>
      <c r="G1487" t="s">
        <v>326</v>
      </c>
      <c r="H1487" s="42">
        <v>401</v>
      </c>
      <c r="J1487" t="s">
        <v>248</v>
      </c>
      <c r="L1487" s="34">
        <v>3</v>
      </c>
      <c r="M1487" s="38">
        <v>0.75</v>
      </c>
      <c r="N1487" s="38">
        <f t="shared" si="23"/>
        <v>2.25</v>
      </c>
    </row>
    <row r="1488" spans="1:14">
      <c r="A1488" s="29">
        <v>43433</v>
      </c>
      <c r="B1488" s="22" t="s">
        <v>63</v>
      </c>
      <c r="C1488" s="22" t="s">
        <v>57</v>
      </c>
      <c r="D1488" s="48" t="s">
        <v>5</v>
      </c>
      <c r="E1488" t="s">
        <v>159</v>
      </c>
      <c r="F1488">
        <v>2018</v>
      </c>
      <c r="G1488" t="s">
        <v>247</v>
      </c>
      <c r="H1488" s="42">
        <v>421</v>
      </c>
      <c r="J1488" t="s">
        <v>248</v>
      </c>
      <c r="L1488" s="34">
        <v>3</v>
      </c>
      <c r="M1488" s="38">
        <v>0.75</v>
      </c>
      <c r="N1488" s="38">
        <f t="shared" si="23"/>
        <v>2.25</v>
      </c>
    </row>
    <row r="1489" spans="1:14">
      <c r="A1489" s="29">
        <v>43433</v>
      </c>
      <c r="B1489" s="22" t="s">
        <v>57</v>
      </c>
      <c r="C1489" s="22" t="s">
        <v>24</v>
      </c>
      <c r="D1489" s="48" t="s">
        <v>5</v>
      </c>
      <c r="E1489" t="s">
        <v>267</v>
      </c>
      <c r="F1489">
        <v>2018</v>
      </c>
      <c r="G1489" t="s">
        <v>57</v>
      </c>
      <c r="H1489" s="42">
        <v>45</v>
      </c>
      <c r="J1489" t="s">
        <v>248</v>
      </c>
      <c r="L1489" s="34">
        <v>2</v>
      </c>
      <c r="M1489" s="38">
        <v>0.75</v>
      </c>
      <c r="N1489" s="38">
        <f t="shared" si="23"/>
        <v>1.5</v>
      </c>
    </row>
    <row r="1490" spans="1:14">
      <c r="A1490" s="29">
        <v>43433</v>
      </c>
      <c r="B1490" s="22" t="s">
        <v>57</v>
      </c>
      <c r="C1490" s="22" t="s">
        <v>24</v>
      </c>
      <c r="D1490" s="48" t="s">
        <v>5</v>
      </c>
      <c r="E1490" t="s">
        <v>287</v>
      </c>
      <c r="F1490">
        <v>2018</v>
      </c>
      <c r="G1490" t="s">
        <v>57</v>
      </c>
      <c r="H1490" s="42">
        <v>333</v>
      </c>
      <c r="J1490" t="s">
        <v>248</v>
      </c>
      <c r="L1490" s="34">
        <v>2</v>
      </c>
      <c r="M1490" s="38">
        <v>0.75</v>
      </c>
      <c r="N1490" s="38">
        <f t="shared" si="23"/>
        <v>1.5</v>
      </c>
    </row>
    <row r="1491" spans="1:14">
      <c r="A1491" s="29">
        <v>43433</v>
      </c>
      <c r="B1491" s="22" t="s">
        <v>57</v>
      </c>
      <c r="C1491" s="22" t="s">
        <v>24</v>
      </c>
      <c r="D1491" s="48" t="s">
        <v>5</v>
      </c>
      <c r="E1491" t="s">
        <v>159</v>
      </c>
      <c r="F1491">
        <v>2018</v>
      </c>
      <c r="G1491" t="s">
        <v>319</v>
      </c>
      <c r="H1491" s="42">
        <v>420</v>
      </c>
      <c r="J1491" t="s">
        <v>248</v>
      </c>
      <c r="L1491" s="34">
        <v>2</v>
      </c>
      <c r="M1491" s="38">
        <v>0.75</v>
      </c>
      <c r="N1491" s="38">
        <f t="shared" si="23"/>
        <v>1.5</v>
      </c>
    </row>
    <row r="1492" spans="1:14">
      <c r="A1492" s="29">
        <v>43433</v>
      </c>
      <c r="B1492" s="22" t="s">
        <v>57</v>
      </c>
      <c r="C1492" s="22" t="s">
        <v>24</v>
      </c>
      <c r="D1492" s="48" t="s">
        <v>5</v>
      </c>
      <c r="E1492" t="s">
        <v>157</v>
      </c>
      <c r="F1492">
        <v>2018</v>
      </c>
      <c r="G1492" t="s">
        <v>326</v>
      </c>
      <c r="H1492" s="42" t="s">
        <v>57</v>
      </c>
      <c r="J1492" t="s">
        <v>248</v>
      </c>
      <c r="L1492" s="34">
        <v>1</v>
      </c>
      <c r="M1492" s="38">
        <v>0.75</v>
      </c>
      <c r="N1492" s="38">
        <f t="shared" si="23"/>
        <v>0.75</v>
      </c>
    </row>
    <row r="1493" spans="1:14">
      <c r="A1493" s="29">
        <v>43433</v>
      </c>
      <c r="B1493" s="22" t="s">
        <v>57</v>
      </c>
      <c r="C1493" s="22" t="s">
        <v>24</v>
      </c>
      <c r="D1493" s="48" t="s">
        <v>5</v>
      </c>
      <c r="E1493" t="s">
        <v>157</v>
      </c>
      <c r="F1493">
        <v>2018</v>
      </c>
      <c r="G1493" t="s">
        <v>247</v>
      </c>
      <c r="H1493" s="42" t="s">
        <v>545</v>
      </c>
      <c r="J1493" t="s">
        <v>248</v>
      </c>
      <c r="L1493" s="34">
        <v>2</v>
      </c>
      <c r="M1493" s="38">
        <v>0.75</v>
      </c>
      <c r="N1493" s="38">
        <f t="shared" si="23"/>
        <v>1.5</v>
      </c>
    </row>
    <row r="1494" spans="1:14">
      <c r="A1494" s="29">
        <v>43433</v>
      </c>
      <c r="B1494" s="22" t="s">
        <v>57</v>
      </c>
      <c r="C1494" s="22" t="s">
        <v>53</v>
      </c>
      <c r="D1494" s="48" t="s">
        <v>8</v>
      </c>
      <c r="E1494" t="s">
        <v>273</v>
      </c>
      <c r="F1494">
        <v>2018</v>
      </c>
      <c r="G1494" t="s">
        <v>357</v>
      </c>
      <c r="H1494" s="42">
        <v>200</v>
      </c>
      <c r="J1494" t="s">
        <v>248</v>
      </c>
      <c r="L1494" s="34">
        <v>2</v>
      </c>
      <c r="M1494" s="38">
        <v>0.75</v>
      </c>
      <c r="N1494" s="38">
        <f t="shared" si="23"/>
        <v>1.5</v>
      </c>
    </row>
    <row r="1495" spans="1:14">
      <c r="A1495" s="29">
        <v>43437</v>
      </c>
      <c r="B1495" s="22" t="s">
        <v>109</v>
      </c>
      <c r="C1495" s="22" t="s">
        <v>57</v>
      </c>
      <c r="D1495" s="48" t="s">
        <v>5</v>
      </c>
      <c r="E1495" t="s">
        <v>179</v>
      </c>
      <c r="F1495">
        <v>2018</v>
      </c>
      <c r="G1495" t="s">
        <v>309</v>
      </c>
      <c r="H1495" s="42">
        <v>418</v>
      </c>
      <c r="J1495" t="s">
        <v>248</v>
      </c>
      <c r="L1495" s="34">
        <v>2</v>
      </c>
      <c r="M1495" s="38">
        <v>0.75</v>
      </c>
      <c r="N1495" s="38">
        <f t="shared" si="23"/>
        <v>1.5</v>
      </c>
    </row>
    <row r="1496" spans="1:14">
      <c r="A1496" s="29">
        <v>43437</v>
      </c>
      <c r="B1496" s="22" t="s">
        <v>109</v>
      </c>
      <c r="C1496" s="22" t="s">
        <v>57</v>
      </c>
      <c r="D1496" s="48" t="s">
        <v>8</v>
      </c>
      <c r="E1496" t="s">
        <v>184</v>
      </c>
      <c r="F1496">
        <v>2018</v>
      </c>
      <c r="G1496" t="s">
        <v>567</v>
      </c>
      <c r="H1496" s="42" t="s">
        <v>57</v>
      </c>
      <c r="J1496" t="s">
        <v>248</v>
      </c>
      <c r="L1496" s="34">
        <v>8</v>
      </c>
      <c r="M1496" s="38">
        <v>0.75</v>
      </c>
      <c r="N1496" s="38">
        <f t="shared" si="23"/>
        <v>6</v>
      </c>
    </row>
    <row r="1497" spans="1:14">
      <c r="A1497" s="29">
        <v>43437</v>
      </c>
      <c r="B1497" s="22" t="s">
        <v>63</v>
      </c>
      <c r="C1497" s="22" t="s">
        <v>57</v>
      </c>
      <c r="D1497" s="48" t="s">
        <v>5</v>
      </c>
      <c r="E1497" t="s">
        <v>255</v>
      </c>
      <c r="F1497">
        <v>2018</v>
      </c>
      <c r="G1497" t="s">
        <v>247</v>
      </c>
      <c r="H1497" s="42" t="s">
        <v>57</v>
      </c>
      <c r="J1497" t="s">
        <v>248</v>
      </c>
      <c r="L1497" s="34">
        <v>3</v>
      </c>
      <c r="M1497" s="38">
        <v>0.75</v>
      </c>
      <c r="N1497" s="38">
        <f t="shared" si="23"/>
        <v>2.25</v>
      </c>
    </row>
    <row r="1498" spans="1:14">
      <c r="A1498" s="29">
        <v>43437</v>
      </c>
      <c r="B1498" s="22" t="s">
        <v>9</v>
      </c>
      <c r="C1498" s="22" t="s">
        <v>41</v>
      </c>
      <c r="D1498" s="48" t="s">
        <v>5</v>
      </c>
      <c r="E1498" t="s">
        <v>381</v>
      </c>
      <c r="F1498">
        <v>2018</v>
      </c>
      <c r="G1498" t="s">
        <v>558</v>
      </c>
      <c r="H1498" s="42">
        <v>68</v>
      </c>
      <c r="J1498" t="s">
        <v>248</v>
      </c>
      <c r="L1498" s="34">
        <v>1</v>
      </c>
      <c r="M1498" s="38">
        <v>0.75</v>
      </c>
      <c r="N1498" s="38">
        <f t="shared" si="23"/>
        <v>0.75</v>
      </c>
    </row>
    <row r="1499" spans="1:14">
      <c r="A1499" s="29">
        <v>43437</v>
      </c>
      <c r="B1499" s="22" t="s">
        <v>9</v>
      </c>
      <c r="C1499" s="22" t="s">
        <v>41</v>
      </c>
      <c r="D1499" s="48" t="s">
        <v>11</v>
      </c>
      <c r="E1499" t="s">
        <v>259</v>
      </c>
      <c r="F1499">
        <v>2018</v>
      </c>
      <c r="G1499" t="s">
        <v>316</v>
      </c>
      <c r="H1499" s="42" t="s">
        <v>57</v>
      </c>
      <c r="J1499" t="s">
        <v>248</v>
      </c>
      <c r="K1499" t="s">
        <v>603</v>
      </c>
      <c r="L1499" s="34">
        <v>1</v>
      </c>
      <c r="M1499" s="38">
        <v>0.75</v>
      </c>
      <c r="N1499" s="38">
        <f t="shared" si="23"/>
        <v>0.75</v>
      </c>
    </row>
    <row r="1500" spans="1:14">
      <c r="A1500" s="29">
        <v>43438</v>
      </c>
      <c r="B1500" s="22" t="s">
        <v>79</v>
      </c>
      <c r="C1500" s="22" t="s">
        <v>57</v>
      </c>
      <c r="D1500" s="48" t="s">
        <v>5</v>
      </c>
      <c r="E1500" t="s">
        <v>157</v>
      </c>
      <c r="F1500">
        <v>2018</v>
      </c>
      <c r="G1500" t="s">
        <v>247</v>
      </c>
      <c r="H1500" s="42" t="s">
        <v>545</v>
      </c>
      <c r="J1500" t="s">
        <v>248</v>
      </c>
      <c r="L1500" s="34">
        <v>2</v>
      </c>
      <c r="M1500" s="38">
        <v>0.75</v>
      </c>
      <c r="N1500" s="38">
        <f t="shared" si="23"/>
        <v>1.5</v>
      </c>
    </row>
    <row r="1501" spans="1:14">
      <c r="A1501" s="29">
        <v>43438</v>
      </c>
      <c r="B1501" s="22" t="s">
        <v>79</v>
      </c>
      <c r="C1501" s="22" t="s">
        <v>57</v>
      </c>
      <c r="D1501" s="48" t="s">
        <v>5</v>
      </c>
      <c r="E1501" t="s">
        <v>159</v>
      </c>
      <c r="F1501">
        <v>2018</v>
      </c>
      <c r="G1501" t="s">
        <v>319</v>
      </c>
      <c r="H1501" s="42">
        <v>420</v>
      </c>
      <c r="J1501" t="s">
        <v>248</v>
      </c>
      <c r="K1501" t="s">
        <v>495</v>
      </c>
      <c r="L1501" s="34">
        <v>2</v>
      </c>
      <c r="M1501" s="38">
        <v>0.75</v>
      </c>
      <c r="N1501" s="38">
        <f t="shared" si="23"/>
        <v>1.5</v>
      </c>
    </row>
    <row r="1502" spans="1:14">
      <c r="A1502" s="29">
        <v>43438</v>
      </c>
      <c r="B1502" s="22" t="s">
        <v>79</v>
      </c>
      <c r="C1502" s="22" t="s">
        <v>57</v>
      </c>
      <c r="D1502" s="48" t="s">
        <v>8</v>
      </c>
      <c r="E1502" t="s">
        <v>179</v>
      </c>
      <c r="F1502">
        <v>2018</v>
      </c>
      <c r="G1502" t="s">
        <v>57</v>
      </c>
      <c r="H1502" s="42">
        <v>202</v>
      </c>
      <c r="J1502" t="s">
        <v>248</v>
      </c>
      <c r="K1502" t="s">
        <v>610</v>
      </c>
      <c r="L1502" s="34">
        <v>2</v>
      </c>
      <c r="M1502" s="38">
        <v>0.75</v>
      </c>
      <c r="N1502" s="38">
        <f t="shared" si="23"/>
        <v>1.5</v>
      </c>
    </row>
    <row r="1503" spans="1:14">
      <c r="A1503" s="29">
        <v>43438</v>
      </c>
      <c r="B1503" s="22" t="s">
        <v>60</v>
      </c>
      <c r="C1503" s="22" t="s">
        <v>53</v>
      </c>
      <c r="D1503" s="48" t="s">
        <v>5</v>
      </c>
      <c r="E1503" t="s">
        <v>158</v>
      </c>
      <c r="F1503">
        <v>2018</v>
      </c>
      <c r="G1503" t="s">
        <v>611</v>
      </c>
      <c r="H1503" s="42">
        <v>16</v>
      </c>
      <c r="J1503" t="s">
        <v>248</v>
      </c>
      <c r="L1503" s="34">
        <v>1</v>
      </c>
      <c r="M1503" s="38">
        <v>0.75</v>
      </c>
      <c r="N1503" s="38">
        <f t="shared" si="23"/>
        <v>0.75</v>
      </c>
    </row>
    <row r="1504" spans="1:14">
      <c r="A1504" s="29">
        <v>43438</v>
      </c>
      <c r="B1504" s="22" t="s">
        <v>60</v>
      </c>
      <c r="C1504" s="22" t="s">
        <v>53</v>
      </c>
      <c r="D1504" s="48" t="s">
        <v>5</v>
      </c>
      <c r="E1504" t="s">
        <v>157</v>
      </c>
      <c r="F1504">
        <v>2018</v>
      </c>
      <c r="G1504" t="s">
        <v>247</v>
      </c>
      <c r="H1504" s="42" t="s">
        <v>545</v>
      </c>
      <c r="J1504" t="s">
        <v>248</v>
      </c>
      <c r="L1504" s="34">
        <v>5</v>
      </c>
      <c r="M1504" s="38">
        <v>0.75</v>
      </c>
      <c r="N1504" s="38">
        <f t="shared" si="23"/>
        <v>3.75</v>
      </c>
    </row>
    <row r="1505" spans="1:14">
      <c r="A1505" s="29">
        <v>43438</v>
      </c>
      <c r="B1505" s="22" t="s">
        <v>60</v>
      </c>
      <c r="C1505" s="22" t="s">
        <v>53</v>
      </c>
      <c r="D1505" s="48" t="s">
        <v>11</v>
      </c>
      <c r="E1505" t="s">
        <v>179</v>
      </c>
      <c r="F1505">
        <v>2018</v>
      </c>
      <c r="G1505" t="s">
        <v>605</v>
      </c>
      <c r="H1505" s="42" t="s">
        <v>57</v>
      </c>
      <c r="J1505" t="s">
        <v>248</v>
      </c>
      <c r="L1505" s="34">
        <v>3</v>
      </c>
      <c r="M1505" s="38">
        <v>0.75</v>
      </c>
      <c r="N1505" s="38">
        <f t="shared" si="23"/>
        <v>2.25</v>
      </c>
    </row>
    <row r="1506" spans="1:14">
      <c r="A1506" s="29">
        <v>43438</v>
      </c>
      <c r="B1506" s="22" t="s">
        <v>60</v>
      </c>
      <c r="C1506" s="22" t="s">
        <v>53</v>
      </c>
      <c r="D1506" s="48" t="s">
        <v>11</v>
      </c>
      <c r="E1506" t="s">
        <v>513</v>
      </c>
      <c r="F1506">
        <v>2018</v>
      </c>
      <c r="G1506" t="s">
        <v>604</v>
      </c>
      <c r="H1506" s="42" t="s">
        <v>57</v>
      </c>
      <c r="J1506" t="s">
        <v>248</v>
      </c>
      <c r="L1506" s="34">
        <v>3</v>
      </c>
      <c r="M1506" s="38">
        <v>0.75</v>
      </c>
      <c r="N1506" s="38">
        <f t="shared" si="23"/>
        <v>2.25</v>
      </c>
    </row>
    <row r="1507" spans="1:14">
      <c r="A1507" s="29">
        <v>43438</v>
      </c>
      <c r="B1507" s="22" t="s">
        <v>60</v>
      </c>
      <c r="C1507" s="22" t="s">
        <v>53</v>
      </c>
      <c r="D1507" s="48" t="s">
        <v>11</v>
      </c>
      <c r="E1507" t="s">
        <v>177</v>
      </c>
      <c r="F1507">
        <v>2018</v>
      </c>
      <c r="G1507" t="s">
        <v>317</v>
      </c>
      <c r="H1507" s="42" t="s">
        <v>57</v>
      </c>
      <c r="J1507" t="s">
        <v>248</v>
      </c>
      <c r="L1507" s="34">
        <v>3</v>
      </c>
      <c r="M1507" s="38">
        <v>0.75</v>
      </c>
      <c r="N1507" s="38">
        <f t="shared" si="23"/>
        <v>2.25</v>
      </c>
    </row>
    <row r="1508" spans="1:14">
      <c r="A1508" s="29">
        <v>43438</v>
      </c>
      <c r="B1508" s="22" t="s">
        <v>81</v>
      </c>
      <c r="C1508" s="22" t="s">
        <v>57</v>
      </c>
      <c r="D1508" s="48" t="s">
        <v>5</v>
      </c>
      <c r="E1508" t="s">
        <v>159</v>
      </c>
      <c r="F1508">
        <v>2018</v>
      </c>
      <c r="G1508" t="s">
        <v>253</v>
      </c>
      <c r="H1508" s="42">
        <v>421</v>
      </c>
      <c r="J1508" t="s">
        <v>248</v>
      </c>
      <c r="L1508" s="34">
        <v>1</v>
      </c>
      <c r="M1508" s="38">
        <v>10</v>
      </c>
      <c r="N1508" s="38">
        <f t="shared" si="23"/>
        <v>10</v>
      </c>
    </row>
    <row r="1509" spans="1:14">
      <c r="A1509" s="29">
        <v>43438</v>
      </c>
      <c r="B1509" s="22" t="s">
        <v>81</v>
      </c>
      <c r="C1509" s="22" t="s">
        <v>57</v>
      </c>
      <c r="D1509" s="48" t="s">
        <v>5</v>
      </c>
      <c r="E1509" t="s">
        <v>158</v>
      </c>
      <c r="F1509">
        <v>2018</v>
      </c>
      <c r="G1509" t="s">
        <v>326</v>
      </c>
      <c r="H1509" s="42" t="s">
        <v>57</v>
      </c>
      <c r="J1509" t="s">
        <v>248</v>
      </c>
      <c r="L1509" s="34">
        <v>6</v>
      </c>
      <c r="M1509" s="38">
        <v>0.75</v>
      </c>
      <c r="N1509" s="38">
        <f t="shared" si="23"/>
        <v>4.5</v>
      </c>
    </row>
    <row r="1510" spans="1:14">
      <c r="A1510" s="29">
        <v>43438</v>
      </c>
      <c r="B1510" s="22" t="s">
        <v>81</v>
      </c>
      <c r="C1510" s="22" t="s">
        <v>57</v>
      </c>
      <c r="D1510" s="48" t="s">
        <v>5</v>
      </c>
      <c r="E1510" t="s">
        <v>157</v>
      </c>
      <c r="F1510">
        <v>2018</v>
      </c>
      <c r="G1510" t="s">
        <v>253</v>
      </c>
      <c r="H1510" s="42" t="s">
        <v>545</v>
      </c>
      <c r="J1510" t="s">
        <v>248</v>
      </c>
      <c r="L1510" s="34">
        <v>1</v>
      </c>
      <c r="M1510" s="38">
        <v>10</v>
      </c>
      <c r="N1510" s="38">
        <f t="shared" si="23"/>
        <v>10</v>
      </c>
    </row>
    <row r="1511" spans="1:14">
      <c r="A1511" s="29">
        <v>43439</v>
      </c>
      <c r="B1511" s="22" t="s">
        <v>28</v>
      </c>
      <c r="C1511" s="22" t="s">
        <v>271</v>
      </c>
      <c r="D1511" s="48" t="s">
        <v>5</v>
      </c>
      <c r="E1511" t="s">
        <v>157</v>
      </c>
      <c r="F1511">
        <v>2018</v>
      </c>
      <c r="G1511" t="s">
        <v>439</v>
      </c>
      <c r="H1511" s="42" t="s">
        <v>57</v>
      </c>
      <c r="J1511" t="s">
        <v>248</v>
      </c>
      <c r="K1511" t="s">
        <v>612</v>
      </c>
      <c r="L1511" s="34">
        <v>6</v>
      </c>
      <c r="M1511" s="38">
        <v>0.75</v>
      </c>
      <c r="N1511" s="38">
        <f t="shared" si="23"/>
        <v>4.5</v>
      </c>
    </row>
    <row r="1512" spans="1:14">
      <c r="A1512" s="29">
        <v>43439</v>
      </c>
      <c r="B1512" s="22" t="s">
        <v>28</v>
      </c>
      <c r="C1512" s="22" t="s">
        <v>271</v>
      </c>
      <c r="D1512" s="48" t="s">
        <v>5</v>
      </c>
      <c r="E1512" t="s">
        <v>255</v>
      </c>
      <c r="F1512">
        <v>2018</v>
      </c>
      <c r="G1512" t="s">
        <v>439</v>
      </c>
      <c r="H1512" s="42" t="s">
        <v>57</v>
      </c>
      <c r="J1512" t="s">
        <v>248</v>
      </c>
      <c r="K1512" t="s">
        <v>613</v>
      </c>
      <c r="L1512" s="34">
        <v>6</v>
      </c>
      <c r="M1512" s="38">
        <v>0.75</v>
      </c>
      <c r="N1512" s="38">
        <f t="shared" si="23"/>
        <v>4.5</v>
      </c>
    </row>
    <row r="1513" spans="1:14">
      <c r="A1513" s="29">
        <v>43439</v>
      </c>
      <c r="B1513" s="22" t="s">
        <v>60</v>
      </c>
      <c r="C1513" s="22" t="s">
        <v>53</v>
      </c>
      <c r="D1513" s="48" t="s">
        <v>11</v>
      </c>
      <c r="E1513" t="s">
        <v>513</v>
      </c>
      <c r="F1513">
        <v>2018</v>
      </c>
      <c r="G1513" t="s">
        <v>604</v>
      </c>
      <c r="H1513" s="42" t="s">
        <v>57</v>
      </c>
      <c r="J1513" t="s">
        <v>248</v>
      </c>
      <c r="L1513" s="34">
        <v>3</v>
      </c>
      <c r="M1513" s="38">
        <v>0.75</v>
      </c>
      <c r="N1513" s="38">
        <f t="shared" si="23"/>
        <v>2.25</v>
      </c>
    </row>
    <row r="1514" spans="1:14">
      <c r="A1514" s="29">
        <v>43440</v>
      </c>
      <c r="B1514" s="22" t="s">
        <v>40</v>
      </c>
      <c r="C1514" s="22" t="s">
        <v>57</v>
      </c>
      <c r="D1514" s="48" t="s">
        <v>11</v>
      </c>
      <c r="E1514" t="s">
        <v>179</v>
      </c>
      <c r="F1514">
        <v>2018</v>
      </c>
      <c r="G1514" t="s">
        <v>605</v>
      </c>
      <c r="H1514" s="42" t="s">
        <v>57</v>
      </c>
      <c r="J1514" t="s">
        <v>248</v>
      </c>
      <c r="L1514" s="34">
        <v>2</v>
      </c>
      <c r="M1514" s="38">
        <v>0.75</v>
      </c>
      <c r="N1514" s="38">
        <f t="shared" si="23"/>
        <v>1.5</v>
      </c>
    </row>
    <row r="1515" spans="1:14">
      <c r="A1515" s="29">
        <v>43440</v>
      </c>
      <c r="B1515" s="22" t="s">
        <v>40</v>
      </c>
      <c r="C1515" s="22" t="s">
        <v>57</v>
      </c>
      <c r="D1515" s="48" t="s">
        <v>11</v>
      </c>
      <c r="E1515" t="s">
        <v>179</v>
      </c>
      <c r="F1515">
        <v>2018</v>
      </c>
      <c r="G1515" t="s">
        <v>606</v>
      </c>
      <c r="H1515" s="42" t="s">
        <v>57</v>
      </c>
      <c r="J1515" t="s">
        <v>248</v>
      </c>
      <c r="L1515" s="34">
        <v>2</v>
      </c>
      <c r="M1515" s="38">
        <v>0.75</v>
      </c>
      <c r="N1515" s="38">
        <f t="shared" si="23"/>
        <v>1.5</v>
      </c>
    </row>
    <row r="1516" spans="1:14">
      <c r="A1516" s="29">
        <v>43444</v>
      </c>
      <c r="B1516" s="22" t="s">
        <v>81</v>
      </c>
      <c r="C1516" s="22" t="s">
        <v>57</v>
      </c>
      <c r="D1516" s="48" t="s">
        <v>5</v>
      </c>
      <c r="E1516" t="s">
        <v>262</v>
      </c>
      <c r="F1516">
        <v>2018</v>
      </c>
      <c r="G1516" t="s">
        <v>597</v>
      </c>
      <c r="H1516" s="42">
        <v>199</v>
      </c>
      <c r="J1516" t="s">
        <v>248</v>
      </c>
      <c r="K1516" t="s">
        <v>262</v>
      </c>
      <c r="L1516" s="34">
        <v>3</v>
      </c>
      <c r="M1516" s="38">
        <v>0.75</v>
      </c>
      <c r="N1516" s="38">
        <f t="shared" si="23"/>
        <v>2.25</v>
      </c>
    </row>
    <row r="1517" spans="1:14">
      <c r="A1517" s="29">
        <v>43444</v>
      </c>
      <c r="B1517" s="22" t="s">
        <v>81</v>
      </c>
      <c r="C1517" s="22" t="s">
        <v>57</v>
      </c>
      <c r="D1517" s="48" t="s">
        <v>5</v>
      </c>
      <c r="E1517" t="s">
        <v>262</v>
      </c>
      <c r="F1517">
        <v>2018</v>
      </c>
      <c r="G1517" t="s">
        <v>558</v>
      </c>
      <c r="H1517" s="42">
        <v>68</v>
      </c>
      <c r="J1517" t="s">
        <v>248</v>
      </c>
      <c r="K1517" t="s">
        <v>614</v>
      </c>
      <c r="L1517" s="34">
        <v>3</v>
      </c>
      <c r="M1517" s="38">
        <v>0.75</v>
      </c>
      <c r="N1517" s="38">
        <f t="shared" si="23"/>
        <v>2.25</v>
      </c>
    </row>
    <row r="1518" spans="1:14">
      <c r="A1518" s="29">
        <v>43444</v>
      </c>
      <c r="B1518" s="22" t="s">
        <v>79</v>
      </c>
      <c r="C1518" s="22" t="s">
        <v>57</v>
      </c>
      <c r="D1518" s="48" t="s">
        <v>5</v>
      </c>
      <c r="E1518" t="s">
        <v>159</v>
      </c>
      <c r="F1518">
        <v>2018</v>
      </c>
      <c r="G1518" t="s">
        <v>319</v>
      </c>
      <c r="H1518" s="42">
        <v>413</v>
      </c>
      <c r="J1518" t="s">
        <v>248</v>
      </c>
      <c r="K1518" t="s">
        <v>518</v>
      </c>
      <c r="L1518" s="34">
        <v>2</v>
      </c>
      <c r="M1518" s="38">
        <v>0.75</v>
      </c>
      <c r="N1518" s="38">
        <f t="shared" si="23"/>
        <v>1.5</v>
      </c>
    </row>
    <row r="1519" spans="1:14">
      <c r="A1519" s="29">
        <v>43444</v>
      </c>
      <c r="B1519" s="22" t="s">
        <v>293</v>
      </c>
      <c r="C1519" s="22" t="s">
        <v>57</v>
      </c>
      <c r="D1519" s="48" t="s">
        <v>5</v>
      </c>
      <c r="E1519" t="s">
        <v>159</v>
      </c>
      <c r="F1519">
        <v>2018</v>
      </c>
      <c r="G1519" t="s">
        <v>247</v>
      </c>
      <c r="H1519" s="42">
        <v>421</v>
      </c>
      <c r="J1519" t="s">
        <v>248</v>
      </c>
      <c r="L1519" s="34">
        <v>1</v>
      </c>
      <c r="M1519" s="38">
        <v>0.75</v>
      </c>
      <c r="N1519" s="38">
        <f t="shared" si="23"/>
        <v>0.75</v>
      </c>
    </row>
    <row r="1520" spans="1:14">
      <c r="A1520" s="29">
        <v>43444</v>
      </c>
      <c r="B1520" s="22" t="s">
        <v>293</v>
      </c>
      <c r="C1520" s="22" t="s">
        <v>57</v>
      </c>
      <c r="D1520" s="48" t="s">
        <v>5</v>
      </c>
      <c r="E1520" t="s">
        <v>158</v>
      </c>
      <c r="F1520">
        <v>2018</v>
      </c>
      <c r="G1520" t="s">
        <v>57</v>
      </c>
      <c r="H1520" s="42">
        <v>14</v>
      </c>
      <c r="J1520" t="s">
        <v>248</v>
      </c>
      <c r="L1520" s="34">
        <v>1</v>
      </c>
      <c r="M1520" s="38">
        <v>0.75</v>
      </c>
      <c r="N1520" s="38">
        <f t="shared" si="23"/>
        <v>0.75</v>
      </c>
    </row>
    <row r="1521" spans="1:14">
      <c r="A1521" s="29">
        <v>43444</v>
      </c>
      <c r="B1521" s="22" t="s">
        <v>293</v>
      </c>
      <c r="C1521" s="22" t="s">
        <v>57</v>
      </c>
      <c r="D1521" s="48" t="s">
        <v>8</v>
      </c>
      <c r="E1521" t="s">
        <v>177</v>
      </c>
      <c r="F1521">
        <v>2018</v>
      </c>
      <c r="G1521" t="s">
        <v>57</v>
      </c>
      <c r="H1521" s="42">
        <v>424</v>
      </c>
      <c r="J1521" t="s">
        <v>248</v>
      </c>
      <c r="L1521" s="34">
        <v>1</v>
      </c>
      <c r="M1521" s="38">
        <v>0.75</v>
      </c>
      <c r="N1521" s="38">
        <f t="shared" si="23"/>
        <v>0.75</v>
      </c>
    </row>
    <row r="1522" spans="1:14">
      <c r="A1522" s="29">
        <v>43444</v>
      </c>
      <c r="B1522" s="22" t="s">
        <v>293</v>
      </c>
      <c r="C1522" s="22" t="s">
        <v>57</v>
      </c>
      <c r="D1522" s="48" t="s">
        <v>8</v>
      </c>
      <c r="E1522" t="s">
        <v>179</v>
      </c>
      <c r="F1522">
        <v>2018</v>
      </c>
      <c r="G1522" t="s">
        <v>309</v>
      </c>
      <c r="H1522" s="42">
        <v>418</v>
      </c>
      <c r="J1522" t="s">
        <v>248</v>
      </c>
      <c r="L1522" s="34">
        <v>1</v>
      </c>
      <c r="M1522" s="38">
        <v>0.75</v>
      </c>
      <c r="N1522" s="38">
        <f t="shared" si="23"/>
        <v>0.75</v>
      </c>
    </row>
    <row r="1523" spans="1:14">
      <c r="A1523" s="29">
        <v>43444</v>
      </c>
      <c r="B1523" s="22" t="s">
        <v>293</v>
      </c>
      <c r="C1523" s="22" t="s">
        <v>57</v>
      </c>
      <c r="D1523" s="48" t="s">
        <v>8</v>
      </c>
      <c r="E1523" t="s">
        <v>178</v>
      </c>
      <c r="F1523">
        <v>2018</v>
      </c>
      <c r="G1523" t="s">
        <v>337</v>
      </c>
      <c r="H1523" s="42">
        <v>411</v>
      </c>
      <c r="J1523" t="s">
        <v>248</v>
      </c>
      <c r="L1523" s="34">
        <v>1</v>
      </c>
      <c r="M1523" s="38">
        <v>0.75</v>
      </c>
      <c r="N1523" s="38">
        <f t="shared" si="23"/>
        <v>0.75</v>
      </c>
    </row>
    <row r="1524" spans="1:14">
      <c r="A1524" s="29">
        <v>43444</v>
      </c>
      <c r="B1524" s="22" t="s">
        <v>293</v>
      </c>
      <c r="C1524" s="22" t="s">
        <v>57</v>
      </c>
      <c r="D1524" s="48" t="s">
        <v>8</v>
      </c>
      <c r="E1524" t="s">
        <v>273</v>
      </c>
      <c r="F1524">
        <v>2018</v>
      </c>
      <c r="G1524" t="s">
        <v>567</v>
      </c>
      <c r="H1524" s="42" t="s">
        <v>57</v>
      </c>
      <c r="J1524" t="s">
        <v>248</v>
      </c>
      <c r="L1524" s="34">
        <v>1</v>
      </c>
      <c r="M1524" s="38">
        <v>0.75</v>
      </c>
      <c r="N1524" s="38">
        <f t="shared" si="23"/>
        <v>0.75</v>
      </c>
    </row>
    <row r="1525" spans="1:14">
      <c r="A1525" s="29">
        <v>43444</v>
      </c>
      <c r="B1525" s="22" t="s">
        <v>293</v>
      </c>
      <c r="C1525" s="22" t="s">
        <v>57</v>
      </c>
      <c r="D1525" s="48" t="s">
        <v>8</v>
      </c>
      <c r="E1525" t="s">
        <v>275</v>
      </c>
      <c r="F1525">
        <v>2018</v>
      </c>
      <c r="G1525" t="s">
        <v>600</v>
      </c>
      <c r="H1525" s="42" t="s">
        <v>57</v>
      </c>
      <c r="J1525" t="s">
        <v>248</v>
      </c>
      <c r="L1525" s="34">
        <v>1</v>
      </c>
      <c r="M1525" s="38">
        <v>0.75</v>
      </c>
      <c r="N1525" s="38">
        <f t="shared" si="23"/>
        <v>0.75</v>
      </c>
    </row>
    <row r="1526" spans="1:14">
      <c r="A1526" s="29">
        <v>43444</v>
      </c>
      <c r="B1526" s="22" t="s">
        <v>293</v>
      </c>
      <c r="C1526" s="22" t="s">
        <v>57</v>
      </c>
      <c r="D1526" s="48" t="s">
        <v>5</v>
      </c>
      <c r="E1526" t="s">
        <v>157</v>
      </c>
      <c r="F1526">
        <v>2018</v>
      </c>
      <c r="G1526" t="s">
        <v>319</v>
      </c>
      <c r="H1526" s="42" t="s">
        <v>544</v>
      </c>
      <c r="J1526" t="s">
        <v>248</v>
      </c>
      <c r="L1526" s="34">
        <v>1</v>
      </c>
      <c r="M1526" s="38">
        <v>0.75</v>
      </c>
      <c r="N1526" s="38">
        <f t="shared" si="23"/>
        <v>0.75</v>
      </c>
    </row>
    <row r="1527" spans="1:14">
      <c r="A1527" s="29">
        <v>43444</v>
      </c>
      <c r="B1527" s="22" t="s">
        <v>57</v>
      </c>
      <c r="C1527" s="22" t="s">
        <v>38</v>
      </c>
      <c r="D1527" s="48" t="s">
        <v>5</v>
      </c>
      <c r="E1527" t="s">
        <v>158</v>
      </c>
      <c r="F1527">
        <v>2018</v>
      </c>
      <c r="G1527" t="s">
        <v>257</v>
      </c>
      <c r="H1527" s="42" t="s">
        <v>57</v>
      </c>
      <c r="J1527" t="s">
        <v>248</v>
      </c>
      <c r="L1527" s="34">
        <v>3</v>
      </c>
      <c r="M1527" s="38">
        <v>0.75</v>
      </c>
      <c r="N1527" s="38">
        <f t="shared" si="23"/>
        <v>2.25</v>
      </c>
    </row>
    <row r="1528" spans="1:14">
      <c r="A1528" s="29">
        <v>43444</v>
      </c>
      <c r="B1528" s="22" t="s">
        <v>50</v>
      </c>
      <c r="C1528" s="22" t="s">
        <v>57</v>
      </c>
      <c r="D1528" s="48" t="s">
        <v>5</v>
      </c>
      <c r="E1528" t="s">
        <v>262</v>
      </c>
      <c r="F1528">
        <v>2018</v>
      </c>
      <c r="G1528" t="s">
        <v>597</v>
      </c>
      <c r="H1528" s="42">
        <v>199</v>
      </c>
      <c r="J1528" t="s">
        <v>248</v>
      </c>
      <c r="L1528" s="34">
        <v>1</v>
      </c>
      <c r="M1528" s="38">
        <v>0.75</v>
      </c>
      <c r="N1528" s="38">
        <f t="shared" si="23"/>
        <v>0.75</v>
      </c>
    </row>
    <row r="1529" spans="1:14">
      <c r="A1529" s="29">
        <v>43444</v>
      </c>
      <c r="B1529" s="22" t="s">
        <v>50</v>
      </c>
      <c r="C1529" s="22" t="s">
        <v>57</v>
      </c>
      <c r="D1529" s="48" t="s">
        <v>5</v>
      </c>
      <c r="E1529" t="s">
        <v>262</v>
      </c>
      <c r="F1529">
        <v>2018</v>
      </c>
      <c r="G1529" t="s">
        <v>558</v>
      </c>
      <c r="H1529" s="42">
        <v>68</v>
      </c>
      <c r="J1529" t="s">
        <v>248</v>
      </c>
      <c r="L1529" s="34">
        <v>1</v>
      </c>
      <c r="M1529" s="38">
        <v>0.75</v>
      </c>
      <c r="N1529" s="38">
        <f t="shared" si="23"/>
        <v>0.75</v>
      </c>
    </row>
    <row r="1530" spans="1:14">
      <c r="A1530" s="29">
        <v>43444</v>
      </c>
      <c r="B1530" s="22" t="s">
        <v>50</v>
      </c>
      <c r="C1530" s="22" t="s">
        <v>57</v>
      </c>
      <c r="D1530" s="48" t="s">
        <v>5</v>
      </c>
      <c r="E1530" t="s">
        <v>159</v>
      </c>
      <c r="F1530">
        <v>2018</v>
      </c>
      <c r="G1530" t="s">
        <v>247</v>
      </c>
      <c r="H1530" s="42">
        <v>421</v>
      </c>
      <c r="J1530" t="s">
        <v>248</v>
      </c>
      <c r="L1530" s="34">
        <v>1</v>
      </c>
      <c r="M1530" s="38">
        <v>0.75</v>
      </c>
      <c r="N1530" s="38">
        <f t="shared" si="23"/>
        <v>0.75</v>
      </c>
    </row>
    <row r="1531" spans="1:14">
      <c r="A1531" s="29">
        <v>43444</v>
      </c>
      <c r="B1531" s="22" t="s">
        <v>50</v>
      </c>
      <c r="C1531" s="22" t="s">
        <v>57</v>
      </c>
      <c r="D1531" s="48" t="s">
        <v>5</v>
      </c>
      <c r="E1531" t="s">
        <v>157</v>
      </c>
      <c r="F1531">
        <v>2018</v>
      </c>
      <c r="G1531" t="s">
        <v>247</v>
      </c>
      <c r="H1531" s="42" t="s">
        <v>545</v>
      </c>
      <c r="J1531" t="s">
        <v>248</v>
      </c>
      <c r="L1531" s="34">
        <v>1</v>
      </c>
      <c r="M1531" s="38">
        <v>0.75</v>
      </c>
      <c r="N1531" s="38">
        <f t="shared" si="23"/>
        <v>0.75</v>
      </c>
    </row>
    <row r="1532" spans="1:14">
      <c r="A1532" s="29">
        <v>43445</v>
      </c>
      <c r="B1532" s="22" t="s">
        <v>109</v>
      </c>
      <c r="C1532" s="22" t="s">
        <v>57</v>
      </c>
      <c r="D1532" s="48" t="s">
        <v>8</v>
      </c>
      <c r="E1532" t="s">
        <v>275</v>
      </c>
      <c r="F1532">
        <v>2018</v>
      </c>
      <c r="G1532" t="s">
        <v>359</v>
      </c>
      <c r="H1532" s="42">
        <v>414</v>
      </c>
      <c r="J1532" t="s">
        <v>248</v>
      </c>
      <c r="L1532" s="34">
        <v>4</v>
      </c>
      <c r="M1532" s="38">
        <v>0.75</v>
      </c>
      <c r="N1532" s="38">
        <f t="shared" si="23"/>
        <v>3</v>
      </c>
    </row>
    <row r="1533" spans="1:14">
      <c r="A1533" s="29">
        <v>43445</v>
      </c>
      <c r="B1533" s="22" t="s">
        <v>109</v>
      </c>
      <c r="C1533" s="22" t="s">
        <v>57</v>
      </c>
      <c r="D1533" s="48" t="s">
        <v>8</v>
      </c>
      <c r="E1533" t="s">
        <v>184</v>
      </c>
      <c r="F1533">
        <v>2018</v>
      </c>
      <c r="G1533" t="s">
        <v>567</v>
      </c>
      <c r="H1533" s="42" t="s">
        <v>57</v>
      </c>
      <c r="J1533" t="s">
        <v>248</v>
      </c>
      <c r="L1533" s="34">
        <v>10</v>
      </c>
      <c r="M1533" s="38">
        <v>0.75</v>
      </c>
      <c r="N1533" s="38">
        <f t="shared" si="23"/>
        <v>7.5</v>
      </c>
    </row>
    <row r="1534" spans="1:14">
      <c r="A1534" s="29">
        <v>43445</v>
      </c>
      <c r="B1534" s="22" t="s">
        <v>109</v>
      </c>
      <c r="C1534" s="22" t="s">
        <v>57</v>
      </c>
      <c r="D1534" s="48" t="s">
        <v>5</v>
      </c>
      <c r="E1534" t="s">
        <v>159</v>
      </c>
      <c r="F1534">
        <v>2018</v>
      </c>
      <c r="G1534" t="s">
        <v>309</v>
      </c>
      <c r="H1534" s="42">
        <v>410</v>
      </c>
      <c r="J1534" t="s">
        <v>248</v>
      </c>
      <c r="L1534" s="34">
        <v>2</v>
      </c>
      <c r="M1534" s="38">
        <v>0.75</v>
      </c>
      <c r="N1534" s="38">
        <f t="shared" si="23"/>
        <v>1.5</v>
      </c>
    </row>
    <row r="1535" spans="1:14">
      <c r="A1535" s="29">
        <v>43445</v>
      </c>
      <c r="B1535" s="22" t="s">
        <v>109</v>
      </c>
      <c r="C1535" s="22" t="s">
        <v>57</v>
      </c>
      <c r="D1535" s="48" t="s">
        <v>8</v>
      </c>
      <c r="E1535" t="s">
        <v>179</v>
      </c>
      <c r="F1535">
        <v>2018</v>
      </c>
      <c r="G1535" t="s">
        <v>309</v>
      </c>
      <c r="H1535" s="42">
        <v>418</v>
      </c>
      <c r="J1535" t="s">
        <v>248</v>
      </c>
      <c r="L1535" s="34">
        <v>3</v>
      </c>
      <c r="M1535" s="38">
        <v>0.75</v>
      </c>
      <c r="N1535" s="38">
        <f t="shared" si="23"/>
        <v>2.25</v>
      </c>
    </row>
    <row r="1536" spans="1:14">
      <c r="A1536" s="29">
        <v>43445</v>
      </c>
      <c r="B1536" s="22" t="s">
        <v>77</v>
      </c>
      <c r="C1536" s="22" t="s">
        <v>57</v>
      </c>
      <c r="D1536" s="48" t="s">
        <v>5</v>
      </c>
      <c r="E1536" t="s">
        <v>159</v>
      </c>
      <c r="F1536">
        <v>2018</v>
      </c>
      <c r="G1536" t="s">
        <v>253</v>
      </c>
      <c r="H1536" s="42">
        <v>419</v>
      </c>
      <c r="J1536" t="s">
        <v>248</v>
      </c>
      <c r="L1536" s="34">
        <v>3</v>
      </c>
      <c r="M1536" s="38">
        <v>0.75</v>
      </c>
      <c r="N1536" s="38">
        <f t="shared" si="23"/>
        <v>2.25</v>
      </c>
    </row>
    <row r="1537" spans="1:14">
      <c r="A1537" s="29">
        <v>43446</v>
      </c>
      <c r="B1537" s="22" t="s">
        <v>23</v>
      </c>
      <c r="C1537" s="22" t="s">
        <v>34</v>
      </c>
      <c r="D1537" s="48" t="s">
        <v>5</v>
      </c>
      <c r="E1537" t="s">
        <v>157</v>
      </c>
      <c r="F1537">
        <v>2018</v>
      </c>
      <c r="G1537" t="s">
        <v>257</v>
      </c>
      <c r="H1537" s="42">
        <v>405</v>
      </c>
      <c r="J1537" t="s">
        <v>248</v>
      </c>
      <c r="L1537" s="34">
        <v>3</v>
      </c>
      <c r="M1537" s="38">
        <v>0.75</v>
      </c>
      <c r="N1537" s="38">
        <f t="shared" si="23"/>
        <v>2.25</v>
      </c>
    </row>
    <row r="1538" spans="1:14">
      <c r="A1538" s="29">
        <v>43446</v>
      </c>
      <c r="B1538" s="22" t="s">
        <v>16</v>
      </c>
      <c r="C1538" s="22" t="s">
        <v>49</v>
      </c>
      <c r="D1538" s="48" t="s">
        <v>5</v>
      </c>
      <c r="E1538" t="s">
        <v>255</v>
      </c>
      <c r="F1538">
        <v>2018</v>
      </c>
      <c r="G1538" t="s">
        <v>247</v>
      </c>
      <c r="H1538" s="42">
        <v>404</v>
      </c>
      <c r="J1538" t="s">
        <v>248</v>
      </c>
      <c r="L1538" s="34">
        <v>6</v>
      </c>
      <c r="M1538" s="38">
        <v>0.75</v>
      </c>
      <c r="N1538" s="38">
        <f t="shared" si="23"/>
        <v>4.5</v>
      </c>
    </row>
    <row r="1539" spans="1:14">
      <c r="A1539" s="29">
        <v>43446</v>
      </c>
      <c r="B1539" s="22" t="s">
        <v>40</v>
      </c>
      <c r="C1539" s="22" t="s">
        <v>57</v>
      </c>
      <c r="D1539" s="48" t="s">
        <v>5</v>
      </c>
      <c r="E1539" t="s">
        <v>255</v>
      </c>
      <c r="F1539">
        <v>2018</v>
      </c>
      <c r="G1539" t="s">
        <v>247</v>
      </c>
      <c r="H1539" s="42">
        <v>404</v>
      </c>
      <c r="J1539" t="s">
        <v>248</v>
      </c>
      <c r="L1539" s="34">
        <v>3</v>
      </c>
      <c r="M1539" s="38">
        <v>0.75</v>
      </c>
      <c r="N1539" s="38">
        <f t="shared" ref="N1539:N1602" si="24">M1539*L1539</f>
        <v>2.25</v>
      </c>
    </row>
    <row r="1540" spans="1:14">
      <c r="A1540" s="29">
        <v>43446</v>
      </c>
      <c r="B1540" s="22" t="s">
        <v>40</v>
      </c>
      <c r="C1540" s="22" t="s">
        <v>57</v>
      </c>
      <c r="D1540" s="48" t="s">
        <v>5</v>
      </c>
      <c r="E1540" t="s">
        <v>157</v>
      </c>
      <c r="F1540">
        <v>2018</v>
      </c>
      <c r="G1540" t="s">
        <v>326</v>
      </c>
      <c r="H1540" s="42" t="s">
        <v>57</v>
      </c>
      <c r="J1540" t="s">
        <v>248</v>
      </c>
      <c r="L1540" s="34">
        <v>3</v>
      </c>
      <c r="M1540" s="38">
        <v>0.75</v>
      </c>
      <c r="N1540" s="38">
        <f t="shared" si="24"/>
        <v>2.25</v>
      </c>
    </row>
    <row r="1541" spans="1:14">
      <c r="A1541" s="29">
        <v>43447</v>
      </c>
      <c r="B1541" s="22" t="s">
        <v>109</v>
      </c>
      <c r="C1541" s="22" t="s">
        <v>57</v>
      </c>
      <c r="D1541" s="48" t="s">
        <v>8</v>
      </c>
      <c r="E1541" t="s">
        <v>184</v>
      </c>
      <c r="F1541">
        <v>2018</v>
      </c>
      <c r="G1541" t="s">
        <v>565</v>
      </c>
      <c r="H1541" s="42" t="s">
        <v>57</v>
      </c>
      <c r="J1541" t="s">
        <v>248</v>
      </c>
      <c r="L1541" s="34">
        <v>3</v>
      </c>
      <c r="M1541" s="38">
        <v>0.75</v>
      </c>
      <c r="N1541" s="38">
        <f t="shared" si="24"/>
        <v>2.25</v>
      </c>
    </row>
    <row r="1542" spans="1:14">
      <c r="A1542" s="29">
        <v>43447</v>
      </c>
      <c r="B1542" s="22" t="s">
        <v>109</v>
      </c>
      <c r="C1542" s="22" t="s">
        <v>57</v>
      </c>
      <c r="D1542" s="48" t="s">
        <v>8</v>
      </c>
      <c r="E1542" t="s">
        <v>184</v>
      </c>
      <c r="F1542">
        <v>2018</v>
      </c>
      <c r="G1542" t="s">
        <v>566</v>
      </c>
      <c r="H1542" s="42" t="s">
        <v>57</v>
      </c>
      <c r="J1542" t="s">
        <v>248</v>
      </c>
      <c r="L1542" s="34">
        <v>3</v>
      </c>
      <c r="M1542" s="38">
        <v>0.75</v>
      </c>
      <c r="N1542" s="38">
        <f t="shared" si="24"/>
        <v>2.25</v>
      </c>
    </row>
    <row r="1543" spans="1:14">
      <c r="A1543" s="29">
        <v>43447</v>
      </c>
      <c r="B1543" s="22" t="s">
        <v>109</v>
      </c>
      <c r="C1543" s="22" t="s">
        <v>57</v>
      </c>
      <c r="D1543" s="48" t="s">
        <v>8</v>
      </c>
      <c r="E1543" t="s">
        <v>184</v>
      </c>
      <c r="F1543">
        <v>2018</v>
      </c>
      <c r="G1543" t="s">
        <v>567</v>
      </c>
      <c r="H1543" s="42" t="s">
        <v>57</v>
      </c>
      <c r="J1543" t="s">
        <v>248</v>
      </c>
      <c r="L1543" s="34">
        <v>4</v>
      </c>
      <c r="M1543" s="38">
        <v>0.75</v>
      </c>
      <c r="N1543" s="38">
        <f t="shared" si="24"/>
        <v>3</v>
      </c>
    </row>
    <row r="1544" spans="1:14">
      <c r="A1544" s="29">
        <v>43447</v>
      </c>
      <c r="B1544" s="22" t="s">
        <v>109</v>
      </c>
      <c r="C1544" s="22" t="s">
        <v>57</v>
      </c>
      <c r="D1544" s="48" t="s">
        <v>8</v>
      </c>
      <c r="E1544" t="s">
        <v>178</v>
      </c>
      <c r="F1544">
        <v>2018</v>
      </c>
      <c r="G1544" t="s">
        <v>57</v>
      </c>
      <c r="H1544" s="42">
        <v>411</v>
      </c>
      <c r="J1544" t="s">
        <v>248</v>
      </c>
      <c r="L1544" s="34">
        <v>1</v>
      </c>
      <c r="M1544" s="38">
        <v>0.75</v>
      </c>
      <c r="N1544" s="38">
        <f t="shared" si="24"/>
        <v>0.75</v>
      </c>
    </row>
    <row r="1545" spans="1:14">
      <c r="A1545" s="29">
        <v>43447</v>
      </c>
      <c r="B1545" s="22" t="s">
        <v>109</v>
      </c>
      <c r="C1545" s="22" t="s">
        <v>57</v>
      </c>
      <c r="D1545" s="48" t="s">
        <v>8</v>
      </c>
      <c r="E1545" t="s">
        <v>272</v>
      </c>
      <c r="F1545">
        <v>2018</v>
      </c>
      <c r="G1545" t="s">
        <v>359</v>
      </c>
      <c r="H1545" s="42">
        <v>414</v>
      </c>
      <c r="J1545" t="s">
        <v>248</v>
      </c>
      <c r="K1545" t="s">
        <v>615</v>
      </c>
      <c r="L1545" s="34">
        <v>1</v>
      </c>
      <c r="M1545" s="38">
        <v>0.75</v>
      </c>
      <c r="N1545" s="38">
        <f t="shared" si="24"/>
        <v>0.75</v>
      </c>
    </row>
    <row r="1546" spans="1:14">
      <c r="A1546" s="29">
        <v>43447</v>
      </c>
      <c r="B1546" s="22" t="s">
        <v>109</v>
      </c>
      <c r="C1546" s="22" t="s">
        <v>57</v>
      </c>
      <c r="D1546" s="48" t="s">
        <v>8</v>
      </c>
      <c r="E1546" t="s">
        <v>182</v>
      </c>
      <c r="F1546">
        <v>2018</v>
      </c>
      <c r="G1546" t="s">
        <v>57</v>
      </c>
      <c r="H1546" s="42">
        <v>203</v>
      </c>
      <c r="J1546" t="s">
        <v>248</v>
      </c>
      <c r="L1546" s="34">
        <v>1</v>
      </c>
      <c r="M1546" s="38">
        <v>0.75</v>
      </c>
      <c r="N1546" s="38">
        <f t="shared" si="24"/>
        <v>0.75</v>
      </c>
    </row>
    <row r="1547" spans="1:14">
      <c r="A1547" s="29">
        <v>43447</v>
      </c>
      <c r="B1547" s="22" t="s">
        <v>109</v>
      </c>
      <c r="C1547" s="22" t="s">
        <v>57</v>
      </c>
      <c r="D1547" s="48" t="s">
        <v>5</v>
      </c>
      <c r="E1547" t="s">
        <v>262</v>
      </c>
      <c r="F1547">
        <v>2018</v>
      </c>
      <c r="G1547" t="s">
        <v>494</v>
      </c>
      <c r="H1547" s="42">
        <v>200</v>
      </c>
      <c r="J1547" t="s">
        <v>248</v>
      </c>
      <c r="L1547" s="34">
        <v>1</v>
      </c>
      <c r="M1547" s="38">
        <v>0.75</v>
      </c>
      <c r="N1547" s="38">
        <f t="shared" si="24"/>
        <v>0.75</v>
      </c>
    </row>
    <row r="1548" spans="1:14">
      <c r="A1548" s="29">
        <v>43447</v>
      </c>
      <c r="B1548" s="22" t="s">
        <v>109</v>
      </c>
      <c r="C1548" s="22" t="s">
        <v>57</v>
      </c>
      <c r="D1548" s="48" t="s">
        <v>5</v>
      </c>
      <c r="E1548" t="s">
        <v>157</v>
      </c>
      <c r="F1548">
        <v>2018</v>
      </c>
      <c r="G1548" t="s">
        <v>326</v>
      </c>
      <c r="H1548" s="42" t="s">
        <v>57</v>
      </c>
      <c r="J1548" t="s">
        <v>248</v>
      </c>
      <c r="L1548" s="34">
        <v>1</v>
      </c>
      <c r="M1548" s="38">
        <v>0.75</v>
      </c>
      <c r="N1548" s="38">
        <f t="shared" si="24"/>
        <v>0.75</v>
      </c>
    </row>
    <row r="1549" spans="1:14">
      <c r="A1549" s="29">
        <v>43451</v>
      </c>
      <c r="B1549" s="22" t="s">
        <v>13</v>
      </c>
      <c r="C1549" s="22" t="s">
        <v>57</v>
      </c>
      <c r="D1549" s="48" t="s">
        <v>5</v>
      </c>
      <c r="E1549" t="s">
        <v>157</v>
      </c>
      <c r="F1549">
        <v>2018</v>
      </c>
      <c r="G1549" t="s">
        <v>500</v>
      </c>
      <c r="H1549" s="42">
        <v>37</v>
      </c>
      <c r="J1549" t="s">
        <v>248</v>
      </c>
      <c r="L1549" s="34">
        <v>6</v>
      </c>
      <c r="M1549" s="38">
        <v>0.75</v>
      </c>
      <c r="N1549" s="38">
        <f t="shared" si="24"/>
        <v>4.5</v>
      </c>
    </row>
    <row r="1550" spans="1:14">
      <c r="A1550" s="29">
        <v>43451</v>
      </c>
      <c r="B1550" s="22" t="s">
        <v>13</v>
      </c>
      <c r="C1550" s="22" t="s">
        <v>57</v>
      </c>
      <c r="D1550" s="48" t="s">
        <v>5</v>
      </c>
      <c r="E1550" t="s">
        <v>159</v>
      </c>
      <c r="F1550">
        <v>2018</v>
      </c>
      <c r="G1550" t="s">
        <v>500</v>
      </c>
      <c r="H1550" s="42">
        <v>38</v>
      </c>
      <c r="J1550" t="s">
        <v>248</v>
      </c>
      <c r="L1550" s="34">
        <v>6</v>
      </c>
      <c r="M1550" s="38">
        <v>0.75</v>
      </c>
      <c r="N1550" s="38">
        <f t="shared" si="24"/>
        <v>4.5</v>
      </c>
    </row>
    <row r="1551" spans="1:14">
      <c r="A1551" s="29">
        <v>43451</v>
      </c>
      <c r="B1551" s="22" t="s">
        <v>13</v>
      </c>
      <c r="C1551" s="22" t="s">
        <v>57</v>
      </c>
      <c r="D1551" s="48" t="s">
        <v>11</v>
      </c>
      <c r="E1551" t="s">
        <v>179</v>
      </c>
      <c r="F1551">
        <v>2018</v>
      </c>
      <c r="G1551" t="s">
        <v>500</v>
      </c>
      <c r="H1551" s="42">
        <v>122</v>
      </c>
      <c r="J1551" t="s">
        <v>248</v>
      </c>
      <c r="L1551" s="34">
        <v>6</v>
      </c>
      <c r="M1551" s="38">
        <v>0.75</v>
      </c>
      <c r="N1551" s="38">
        <f t="shared" si="24"/>
        <v>4.5</v>
      </c>
    </row>
    <row r="1552" spans="1:14">
      <c r="A1552" s="29">
        <v>43451</v>
      </c>
      <c r="B1552" s="22" t="s">
        <v>13</v>
      </c>
      <c r="C1552" s="22" t="s">
        <v>57</v>
      </c>
      <c r="D1552" s="48" t="s">
        <v>11</v>
      </c>
      <c r="E1552" t="s">
        <v>177</v>
      </c>
      <c r="F1552">
        <v>2018</v>
      </c>
      <c r="G1552" t="s">
        <v>500</v>
      </c>
      <c r="H1552" s="42">
        <v>116</v>
      </c>
      <c r="J1552" t="s">
        <v>248</v>
      </c>
      <c r="L1552" s="34">
        <v>6</v>
      </c>
      <c r="M1552" s="38">
        <v>0.75</v>
      </c>
      <c r="N1552" s="38">
        <f t="shared" si="24"/>
        <v>4.5</v>
      </c>
    </row>
    <row r="1553" spans="1:14">
      <c r="A1553" s="29">
        <v>43451</v>
      </c>
      <c r="B1553" s="22" t="s">
        <v>13</v>
      </c>
      <c r="C1553" s="22" t="s">
        <v>57</v>
      </c>
      <c r="D1553" s="48" t="s">
        <v>11</v>
      </c>
      <c r="E1553" t="s">
        <v>513</v>
      </c>
      <c r="F1553">
        <v>2018</v>
      </c>
      <c r="G1553" t="s">
        <v>500</v>
      </c>
      <c r="H1553" s="42" t="s">
        <v>368</v>
      </c>
      <c r="J1553" t="s">
        <v>248</v>
      </c>
      <c r="L1553" s="34">
        <v>2</v>
      </c>
      <c r="M1553" s="38">
        <v>0.75</v>
      </c>
      <c r="N1553" s="38">
        <f t="shared" si="24"/>
        <v>1.5</v>
      </c>
    </row>
    <row r="1554" spans="1:14">
      <c r="A1554" s="29">
        <v>43454</v>
      </c>
      <c r="B1554" s="22" t="s">
        <v>28</v>
      </c>
      <c r="C1554" s="22" t="s">
        <v>57</v>
      </c>
      <c r="D1554" s="48" t="s">
        <v>5</v>
      </c>
      <c r="E1554" t="s">
        <v>262</v>
      </c>
      <c r="F1554">
        <v>2018</v>
      </c>
      <c r="G1554" t="s">
        <v>404</v>
      </c>
      <c r="H1554" s="42">
        <v>409</v>
      </c>
      <c r="J1554" t="s">
        <v>248</v>
      </c>
      <c r="L1554" s="34">
        <v>4</v>
      </c>
      <c r="M1554" s="38">
        <v>0.75</v>
      </c>
      <c r="N1554" s="38">
        <f t="shared" si="24"/>
        <v>3</v>
      </c>
    </row>
    <row r="1555" spans="1:14">
      <c r="A1555" s="29">
        <v>43454</v>
      </c>
      <c r="B1555" s="22" t="s">
        <v>28</v>
      </c>
      <c r="C1555" s="22" t="s">
        <v>57</v>
      </c>
      <c r="D1555" s="48" t="s">
        <v>8</v>
      </c>
      <c r="E1555" t="s">
        <v>177</v>
      </c>
      <c r="F1555">
        <v>2018</v>
      </c>
      <c r="G1555" t="s">
        <v>57</v>
      </c>
      <c r="H1555" s="42">
        <v>424</v>
      </c>
      <c r="J1555" t="s">
        <v>248</v>
      </c>
      <c r="L1555" s="34">
        <v>4</v>
      </c>
      <c r="M1555" s="38">
        <v>0.75</v>
      </c>
      <c r="N1555" s="38">
        <f t="shared" si="24"/>
        <v>3</v>
      </c>
    </row>
    <row r="1556" spans="1:14">
      <c r="A1556" s="29">
        <v>43468</v>
      </c>
      <c r="B1556" s="22" t="s">
        <v>19</v>
      </c>
      <c r="C1556" s="22" t="s">
        <v>47</v>
      </c>
      <c r="D1556" s="48" t="s">
        <v>5</v>
      </c>
      <c r="E1556" t="s">
        <v>161</v>
      </c>
      <c r="F1556">
        <v>2018</v>
      </c>
      <c r="G1556" t="s">
        <v>57</v>
      </c>
      <c r="H1556" s="42">
        <v>49</v>
      </c>
      <c r="J1556" t="s">
        <v>248</v>
      </c>
      <c r="K1556" t="s">
        <v>616</v>
      </c>
      <c r="L1556" s="34">
        <v>1</v>
      </c>
      <c r="M1556" s="38">
        <v>0.75</v>
      </c>
      <c r="N1556" s="38">
        <f t="shared" si="24"/>
        <v>0.75</v>
      </c>
    </row>
    <row r="1557" spans="1:14">
      <c r="A1557" s="29">
        <v>43468</v>
      </c>
      <c r="B1557" s="22" t="s">
        <v>19</v>
      </c>
      <c r="C1557" s="22" t="s">
        <v>47</v>
      </c>
      <c r="D1557" s="48" t="s">
        <v>5</v>
      </c>
      <c r="E1557" t="s">
        <v>161</v>
      </c>
      <c r="F1557">
        <v>2018</v>
      </c>
      <c r="G1557" t="s">
        <v>57</v>
      </c>
      <c r="H1557" s="42">
        <v>76</v>
      </c>
      <c r="J1557" t="s">
        <v>248</v>
      </c>
      <c r="L1557" s="34">
        <v>1</v>
      </c>
      <c r="M1557" s="38">
        <v>0.75</v>
      </c>
      <c r="N1557" s="38">
        <f t="shared" si="24"/>
        <v>0.75</v>
      </c>
    </row>
    <row r="1558" spans="1:14">
      <c r="A1558" s="29">
        <v>43469</v>
      </c>
      <c r="B1558" s="22" t="s">
        <v>57</v>
      </c>
      <c r="C1558" s="22" t="s">
        <v>49</v>
      </c>
      <c r="D1558" s="48" t="s">
        <v>5</v>
      </c>
      <c r="E1558" t="s">
        <v>158</v>
      </c>
      <c r="F1558">
        <v>2018</v>
      </c>
      <c r="G1558" t="s">
        <v>57</v>
      </c>
      <c r="H1558" s="42">
        <v>90</v>
      </c>
      <c r="J1558" t="s">
        <v>248</v>
      </c>
      <c r="L1558" s="34">
        <v>3</v>
      </c>
      <c r="M1558" s="38">
        <v>0.75</v>
      </c>
      <c r="N1558" s="38">
        <f t="shared" si="24"/>
        <v>2.25</v>
      </c>
    </row>
    <row r="1559" spans="1:14">
      <c r="A1559" s="29">
        <v>43469</v>
      </c>
      <c r="B1559" s="22" t="s">
        <v>57</v>
      </c>
      <c r="C1559" s="22" t="s">
        <v>49</v>
      </c>
      <c r="D1559" s="48" t="s">
        <v>5</v>
      </c>
      <c r="E1559" t="s">
        <v>158</v>
      </c>
      <c r="F1559">
        <v>2018</v>
      </c>
      <c r="G1559" t="s">
        <v>57</v>
      </c>
      <c r="H1559" s="42" t="s">
        <v>617</v>
      </c>
      <c r="J1559" t="s">
        <v>248</v>
      </c>
      <c r="L1559" s="34">
        <v>3</v>
      </c>
      <c r="M1559" s="38">
        <v>0.75</v>
      </c>
      <c r="N1559" s="38">
        <f t="shared" si="24"/>
        <v>2.25</v>
      </c>
    </row>
    <row r="1560" spans="1:14">
      <c r="A1560" s="29">
        <v>43469</v>
      </c>
      <c r="B1560" s="22" t="s">
        <v>57</v>
      </c>
      <c r="C1560" s="22" t="s">
        <v>49</v>
      </c>
      <c r="D1560" s="48" t="s">
        <v>5</v>
      </c>
      <c r="E1560" t="s">
        <v>158</v>
      </c>
      <c r="F1560">
        <v>2018</v>
      </c>
      <c r="G1560" t="s">
        <v>57</v>
      </c>
      <c r="H1560" s="42">
        <v>310</v>
      </c>
      <c r="J1560" t="s">
        <v>248</v>
      </c>
      <c r="L1560" s="34">
        <v>3</v>
      </c>
      <c r="M1560" s="38">
        <v>0.75</v>
      </c>
      <c r="N1560" s="38">
        <f t="shared" si="24"/>
        <v>2.25</v>
      </c>
    </row>
    <row r="1561" spans="1:14">
      <c r="A1561" s="29">
        <v>43469</v>
      </c>
      <c r="B1561" s="22" t="s">
        <v>57</v>
      </c>
      <c r="C1561" s="22" t="s">
        <v>49</v>
      </c>
      <c r="D1561" s="48" t="s">
        <v>5</v>
      </c>
      <c r="E1561" t="s">
        <v>255</v>
      </c>
      <c r="F1561">
        <v>2018</v>
      </c>
      <c r="G1561" t="s">
        <v>247</v>
      </c>
      <c r="H1561" s="42">
        <v>36</v>
      </c>
      <c r="J1561" t="s">
        <v>248</v>
      </c>
      <c r="L1561" s="34">
        <v>4</v>
      </c>
      <c r="M1561" s="38">
        <v>0.75</v>
      </c>
      <c r="N1561" s="38">
        <f t="shared" si="24"/>
        <v>3</v>
      </c>
    </row>
    <row r="1562" spans="1:14">
      <c r="A1562" s="29">
        <v>43471</v>
      </c>
      <c r="B1562" s="22" t="s">
        <v>63</v>
      </c>
      <c r="C1562" s="22" t="s">
        <v>57</v>
      </c>
      <c r="D1562" s="48" t="s">
        <v>5</v>
      </c>
      <c r="E1562" t="s">
        <v>255</v>
      </c>
      <c r="F1562">
        <v>2019</v>
      </c>
      <c r="G1562" t="s">
        <v>618</v>
      </c>
      <c r="H1562" s="42">
        <v>49</v>
      </c>
      <c r="J1562" t="s">
        <v>248</v>
      </c>
      <c r="L1562" s="34">
        <v>3</v>
      </c>
      <c r="M1562" s="38">
        <v>0.75</v>
      </c>
      <c r="N1562" s="38">
        <f t="shared" si="24"/>
        <v>2.25</v>
      </c>
    </row>
    <row r="1563" spans="1:14">
      <c r="A1563" s="29">
        <v>43473</v>
      </c>
      <c r="B1563" s="22" t="s">
        <v>63</v>
      </c>
      <c r="C1563" s="22" t="s">
        <v>57</v>
      </c>
      <c r="D1563" s="48" t="s">
        <v>5</v>
      </c>
      <c r="E1563" t="s">
        <v>262</v>
      </c>
      <c r="F1563">
        <v>2018</v>
      </c>
      <c r="G1563" t="s">
        <v>57</v>
      </c>
      <c r="H1563" s="42" t="s">
        <v>619</v>
      </c>
      <c r="J1563" t="s">
        <v>248</v>
      </c>
      <c r="K1563" t="s">
        <v>620</v>
      </c>
      <c r="L1563" s="34">
        <v>2</v>
      </c>
      <c r="M1563" s="38">
        <v>0.75</v>
      </c>
      <c r="N1563" s="38">
        <f t="shared" si="24"/>
        <v>1.5</v>
      </c>
    </row>
    <row r="1564" spans="1:14">
      <c r="A1564" s="29">
        <v>43473</v>
      </c>
      <c r="B1564" s="22" t="s">
        <v>64</v>
      </c>
      <c r="C1564" s="22" t="s">
        <v>621</v>
      </c>
      <c r="D1564" s="48" t="s">
        <v>8</v>
      </c>
      <c r="E1564" t="s">
        <v>513</v>
      </c>
      <c r="F1564">
        <v>2018</v>
      </c>
      <c r="G1564" t="s">
        <v>338</v>
      </c>
      <c r="H1564" s="42" t="s">
        <v>57</v>
      </c>
      <c r="J1564" t="s">
        <v>248</v>
      </c>
      <c r="L1564" s="34">
        <v>2</v>
      </c>
      <c r="M1564" s="38">
        <v>0.75</v>
      </c>
      <c r="N1564" s="38">
        <f t="shared" si="24"/>
        <v>1.5</v>
      </c>
    </row>
    <row r="1565" spans="1:14">
      <c r="A1565" s="29">
        <v>43473</v>
      </c>
      <c r="B1565" s="22" t="s">
        <v>622</v>
      </c>
      <c r="C1565" s="22" t="s">
        <v>621</v>
      </c>
      <c r="D1565" s="48" t="s">
        <v>8</v>
      </c>
      <c r="E1565" t="s">
        <v>513</v>
      </c>
      <c r="F1565">
        <v>2018</v>
      </c>
      <c r="G1565" t="s">
        <v>338</v>
      </c>
      <c r="H1565" s="42" t="s">
        <v>57</v>
      </c>
      <c r="J1565" t="s">
        <v>248</v>
      </c>
      <c r="L1565" s="34">
        <v>2</v>
      </c>
      <c r="M1565" s="38">
        <v>0.75</v>
      </c>
      <c r="N1565" s="38">
        <f t="shared" si="24"/>
        <v>1.5</v>
      </c>
    </row>
    <row r="1566" spans="1:14">
      <c r="A1566" s="29">
        <v>43473</v>
      </c>
      <c r="B1566" s="22" t="s">
        <v>622</v>
      </c>
      <c r="C1566" s="22" t="s">
        <v>621</v>
      </c>
      <c r="D1566" s="48" t="s">
        <v>11</v>
      </c>
      <c r="E1566" t="s">
        <v>177</v>
      </c>
      <c r="F1566">
        <v>2018</v>
      </c>
      <c r="G1566" t="s">
        <v>338</v>
      </c>
      <c r="H1566" s="42">
        <v>116</v>
      </c>
      <c r="J1566" t="s">
        <v>248</v>
      </c>
      <c r="L1566" s="34">
        <v>2</v>
      </c>
      <c r="M1566" s="38">
        <v>0.75</v>
      </c>
      <c r="N1566" s="38">
        <f t="shared" si="24"/>
        <v>1.5</v>
      </c>
    </row>
    <row r="1567" spans="1:14">
      <c r="A1567" s="29">
        <v>43473</v>
      </c>
      <c r="B1567" s="22" t="s">
        <v>109</v>
      </c>
      <c r="C1567" s="22" t="s">
        <v>57</v>
      </c>
      <c r="D1567" s="48" t="s">
        <v>5</v>
      </c>
      <c r="E1567" t="s">
        <v>159</v>
      </c>
      <c r="F1567">
        <v>2018</v>
      </c>
      <c r="G1567" t="s">
        <v>309</v>
      </c>
      <c r="H1567" s="42">
        <v>410</v>
      </c>
      <c r="J1567" t="s">
        <v>248</v>
      </c>
      <c r="L1567" s="34">
        <v>4</v>
      </c>
      <c r="M1567" s="38">
        <v>0.75</v>
      </c>
      <c r="N1567" s="38">
        <f t="shared" si="24"/>
        <v>3</v>
      </c>
    </row>
    <row r="1568" spans="1:14">
      <c r="A1568" s="29">
        <v>43473</v>
      </c>
      <c r="B1568" s="22" t="s">
        <v>109</v>
      </c>
      <c r="C1568" s="22" t="s">
        <v>57</v>
      </c>
      <c r="D1568" s="48" t="s">
        <v>5</v>
      </c>
      <c r="E1568" t="s">
        <v>157</v>
      </c>
      <c r="F1568">
        <v>2018</v>
      </c>
      <c r="G1568" t="s">
        <v>252</v>
      </c>
      <c r="H1568" s="42" t="s">
        <v>57</v>
      </c>
      <c r="J1568" t="s">
        <v>248</v>
      </c>
      <c r="L1568" s="34">
        <v>2</v>
      </c>
      <c r="M1568" s="38">
        <v>0.75</v>
      </c>
      <c r="N1568" s="38">
        <f t="shared" si="24"/>
        <v>1.5</v>
      </c>
    </row>
    <row r="1569" spans="1:14">
      <c r="A1569" s="29">
        <v>43473</v>
      </c>
      <c r="B1569" s="22" t="s">
        <v>109</v>
      </c>
      <c r="C1569" s="22" t="s">
        <v>57</v>
      </c>
      <c r="D1569" s="48" t="s">
        <v>8</v>
      </c>
      <c r="E1569" t="s">
        <v>178</v>
      </c>
      <c r="F1569">
        <v>2018</v>
      </c>
      <c r="G1569" t="s">
        <v>337</v>
      </c>
      <c r="H1569" s="42">
        <v>411</v>
      </c>
      <c r="J1569" t="s">
        <v>248</v>
      </c>
      <c r="L1569" s="34">
        <v>2</v>
      </c>
      <c r="M1569" s="38">
        <v>0.75</v>
      </c>
      <c r="N1569" s="38">
        <f t="shared" si="24"/>
        <v>1.5</v>
      </c>
    </row>
    <row r="1570" spans="1:14">
      <c r="A1570" s="29">
        <v>43473</v>
      </c>
      <c r="B1570" s="22" t="s">
        <v>109</v>
      </c>
      <c r="C1570" s="22" t="s">
        <v>57</v>
      </c>
      <c r="D1570" s="48" t="s">
        <v>8</v>
      </c>
      <c r="E1570" t="s">
        <v>179</v>
      </c>
      <c r="F1570">
        <v>2018</v>
      </c>
      <c r="G1570" t="s">
        <v>309</v>
      </c>
      <c r="H1570" s="42">
        <v>418</v>
      </c>
      <c r="J1570" t="s">
        <v>248</v>
      </c>
      <c r="L1570" s="34">
        <v>4</v>
      </c>
      <c r="M1570" s="38">
        <v>0.75</v>
      </c>
      <c r="N1570" s="38">
        <f t="shared" si="24"/>
        <v>3</v>
      </c>
    </row>
    <row r="1571" spans="1:14">
      <c r="A1571" s="29">
        <v>43473</v>
      </c>
      <c r="B1571" s="22" t="s">
        <v>109</v>
      </c>
      <c r="C1571" s="22" t="s">
        <v>57</v>
      </c>
      <c r="D1571" s="48" t="s">
        <v>8</v>
      </c>
      <c r="E1571" t="s">
        <v>182</v>
      </c>
      <c r="F1571">
        <v>2018</v>
      </c>
      <c r="G1571" t="s">
        <v>57</v>
      </c>
      <c r="H1571" s="42">
        <v>203</v>
      </c>
      <c r="J1571" t="s">
        <v>248</v>
      </c>
      <c r="L1571" s="34">
        <v>2</v>
      </c>
      <c r="M1571" s="38">
        <v>0.75</v>
      </c>
      <c r="N1571" s="38">
        <f t="shared" si="24"/>
        <v>1.5</v>
      </c>
    </row>
    <row r="1572" spans="1:14">
      <c r="A1572" s="29">
        <v>43474</v>
      </c>
      <c r="B1572" s="22" t="s">
        <v>293</v>
      </c>
      <c r="C1572" s="22" t="s">
        <v>41</v>
      </c>
      <c r="D1572" s="48" t="s">
        <v>5</v>
      </c>
      <c r="E1572" t="s">
        <v>158</v>
      </c>
      <c r="F1572">
        <v>2018</v>
      </c>
      <c r="G1572" t="s">
        <v>57</v>
      </c>
      <c r="H1572" s="42">
        <v>306</v>
      </c>
      <c r="J1572" t="s">
        <v>248</v>
      </c>
      <c r="K1572" t="s">
        <v>623</v>
      </c>
      <c r="L1572" s="34">
        <v>1</v>
      </c>
      <c r="M1572" s="38">
        <v>0.75</v>
      </c>
      <c r="N1572" s="38">
        <f t="shared" si="24"/>
        <v>0.75</v>
      </c>
    </row>
    <row r="1573" spans="1:14">
      <c r="A1573" s="29">
        <v>43474</v>
      </c>
      <c r="B1573" s="22" t="s">
        <v>109</v>
      </c>
      <c r="C1573" s="22" t="s">
        <v>57</v>
      </c>
      <c r="D1573" s="48" t="s">
        <v>5</v>
      </c>
      <c r="E1573" t="s">
        <v>157</v>
      </c>
      <c r="F1573">
        <v>2018</v>
      </c>
      <c r="G1573" t="s">
        <v>252</v>
      </c>
      <c r="H1573" s="42">
        <v>199</v>
      </c>
      <c r="J1573" t="s">
        <v>248</v>
      </c>
      <c r="L1573" s="34">
        <v>3</v>
      </c>
      <c r="M1573" s="38">
        <v>0.75</v>
      </c>
      <c r="N1573" s="38">
        <f t="shared" si="24"/>
        <v>2.25</v>
      </c>
    </row>
    <row r="1574" spans="1:14">
      <c r="A1574" s="29">
        <v>43474</v>
      </c>
      <c r="B1574" s="22" t="s">
        <v>109</v>
      </c>
      <c r="C1574" s="22" t="s">
        <v>57</v>
      </c>
      <c r="D1574" s="48" t="s">
        <v>8</v>
      </c>
      <c r="E1574" t="s">
        <v>178</v>
      </c>
      <c r="F1574">
        <v>2018</v>
      </c>
      <c r="G1574" t="s">
        <v>337</v>
      </c>
      <c r="H1574" s="42">
        <v>411</v>
      </c>
      <c r="J1574" t="s">
        <v>248</v>
      </c>
      <c r="L1574" s="34">
        <v>3</v>
      </c>
      <c r="M1574" s="38">
        <v>0.75</v>
      </c>
      <c r="N1574" s="38">
        <f t="shared" si="24"/>
        <v>2.25</v>
      </c>
    </row>
    <row r="1575" spans="1:14">
      <c r="A1575" s="29">
        <v>43474</v>
      </c>
      <c r="B1575" s="22" t="s">
        <v>109</v>
      </c>
      <c r="C1575" s="22" t="s">
        <v>57</v>
      </c>
      <c r="D1575" s="48" t="s">
        <v>8</v>
      </c>
      <c r="E1575" t="s">
        <v>182</v>
      </c>
      <c r="F1575">
        <v>2018</v>
      </c>
      <c r="G1575" t="s">
        <v>57</v>
      </c>
      <c r="H1575" s="42">
        <v>203</v>
      </c>
      <c r="J1575" t="s">
        <v>248</v>
      </c>
      <c r="L1575" s="34">
        <v>3</v>
      </c>
      <c r="M1575" s="38">
        <v>0.75</v>
      </c>
      <c r="N1575" s="38">
        <f t="shared" si="24"/>
        <v>2.25</v>
      </c>
    </row>
    <row r="1576" spans="1:14">
      <c r="A1576" s="29">
        <v>43474</v>
      </c>
      <c r="B1576" s="22" t="s">
        <v>109</v>
      </c>
      <c r="C1576" s="22" t="s">
        <v>57</v>
      </c>
      <c r="D1576" s="48" t="s">
        <v>8</v>
      </c>
      <c r="E1576" t="s">
        <v>184</v>
      </c>
      <c r="F1576">
        <v>2018</v>
      </c>
      <c r="G1576" t="s">
        <v>567</v>
      </c>
      <c r="H1576" s="42">
        <v>406</v>
      </c>
      <c r="J1576" t="s">
        <v>248</v>
      </c>
      <c r="L1576" s="34">
        <f>26+6</f>
        <v>32</v>
      </c>
      <c r="M1576" s="38">
        <v>0.75</v>
      </c>
      <c r="N1576" s="38">
        <f t="shared" si="24"/>
        <v>24</v>
      </c>
    </row>
    <row r="1577" spans="1:14">
      <c r="A1577" s="29">
        <v>43474</v>
      </c>
      <c r="B1577" s="22" t="s">
        <v>109</v>
      </c>
      <c r="C1577" s="22" t="s">
        <v>57</v>
      </c>
      <c r="D1577" s="48" t="s">
        <v>5</v>
      </c>
      <c r="E1577" t="s">
        <v>262</v>
      </c>
      <c r="F1577">
        <v>2018</v>
      </c>
      <c r="G1577" t="s">
        <v>494</v>
      </c>
      <c r="H1577" s="42">
        <v>78</v>
      </c>
      <c r="J1577" t="s">
        <v>248</v>
      </c>
      <c r="L1577" s="34">
        <v>3</v>
      </c>
      <c r="M1577" s="38">
        <v>0.75</v>
      </c>
      <c r="N1577" s="38">
        <f t="shared" si="24"/>
        <v>2.25</v>
      </c>
    </row>
    <row r="1578" spans="1:14">
      <c r="A1578" s="29">
        <v>43475</v>
      </c>
      <c r="B1578" s="22" t="s">
        <v>64</v>
      </c>
      <c r="C1578" s="22" t="s">
        <v>621</v>
      </c>
      <c r="D1578" s="48" t="s">
        <v>5</v>
      </c>
      <c r="E1578" t="s">
        <v>624</v>
      </c>
      <c r="F1578">
        <v>2018</v>
      </c>
      <c r="G1578" t="s">
        <v>526</v>
      </c>
      <c r="H1578" s="42">
        <v>21</v>
      </c>
      <c r="J1578" t="s">
        <v>248</v>
      </c>
      <c r="L1578" s="34">
        <v>2</v>
      </c>
      <c r="M1578" s="38">
        <v>0.75</v>
      </c>
      <c r="N1578" s="38">
        <f t="shared" si="24"/>
        <v>1.5</v>
      </c>
    </row>
    <row r="1579" spans="1:14">
      <c r="A1579" s="29">
        <v>43480</v>
      </c>
      <c r="B1579" s="22" t="s">
        <v>293</v>
      </c>
      <c r="C1579" s="22" t="s">
        <v>41</v>
      </c>
      <c r="D1579" s="48" t="s">
        <v>5</v>
      </c>
      <c r="E1579" t="s">
        <v>158</v>
      </c>
      <c r="F1579">
        <v>2018</v>
      </c>
      <c r="G1579" t="s">
        <v>57</v>
      </c>
      <c r="H1579" s="42" t="s">
        <v>617</v>
      </c>
      <c r="J1579" t="s">
        <v>248</v>
      </c>
      <c r="K1579" t="s">
        <v>623</v>
      </c>
      <c r="L1579" s="34">
        <v>2</v>
      </c>
      <c r="M1579" s="38">
        <v>0.75</v>
      </c>
      <c r="N1579" s="38">
        <f t="shared" si="24"/>
        <v>1.5</v>
      </c>
    </row>
    <row r="1580" spans="1:14">
      <c r="A1580" s="29">
        <v>43481</v>
      </c>
      <c r="B1580" s="22" t="s">
        <v>63</v>
      </c>
      <c r="C1580" s="22" t="s">
        <v>57</v>
      </c>
      <c r="D1580" s="48" t="s">
        <v>8</v>
      </c>
      <c r="E1580" t="s">
        <v>272</v>
      </c>
      <c r="F1580">
        <v>2018</v>
      </c>
      <c r="G1580" t="s">
        <v>357</v>
      </c>
      <c r="H1580" s="42">
        <v>407</v>
      </c>
      <c r="J1580" t="s">
        <v>248</v>
      </c>
      <c r="L1580" s="34">
        <v>1</v>
      </c>
      <c r="M1580" s="38">
        <v>0.75</v>
      </c>
      <c r="N1580" s="38">
        <f t="shared" si="24"/>
        <v>0.75</v>
      </c>
    </row>
    <row r="1581" spans="1:14">
      <c r="A1581" s="29">
        <v>43481</v>
      </c>
      <c r="B1581" s="22" t="s">
        <v>63</v>
      </c>
      <c r="C1581" s="22" t="s">
        <v>57</v>
      </c>
      <c r="D1581" s="48" t="s">
        <v>8</v>
      </c>
      <c r="E1581" t="s">
        <v>272</v>
      </c>
      <c r="F1581">
        <v>2018</v>
      </c>
      <c r="G1581" t="s">
        <v>359</v>
      </c>
      <c r="H1581" s="42">
        <v>414</v>
      </c>
      <c r="J1581" t="s">
        <v>248</v>
      </c>
      <c r="L1581" s="34">
        <v>1</v>
      </c>
      <c r="M1581" s="38">
        <v>0.75</v>
      </c>
      <c r="N1581" s="38">
        <f t="shared" si="24"/>
        <v>0.75</v>
      </c>
    </row>
    <row r="1582" spans="1:14">
      <c r="A1582" s="29">
        <v>43482</v>
      </c>
      <c r="B1582" s="22" t="s">
        <v>110</v>
      </c>
      <c r="C1582" s="22" t="s">
        <v>57</v>
      </c>
      <c r="D1582" s="48" t="s">
        <v>5</v>
      </c>
      <c r="E1582" t="s">
        <v>158</v>
      </c>
      <c r="F1582">
        <v>2018</v>
      </c>
      <c r="G1582" t="s">
        <v>57</v>
      </c>
      <c r="H1582" s="42">
        <v>90</v>
      </c>
      <c r="J1582" t="s">
        <v>248</v>
      </c>
      <c r="L1582" s="34">
        <v>2</v>
      </c>
      <c r="M1582" s="38">
        <v>0.75</v>
      </c>
      <c r="N1582" s="38">
        <f t="shared" si="24"/>
        <v>1.5</v>
      </c>
    </row>
    <row r="1583" spans="1:14">
      <c r="A1583" s="29">
        <v>43482</v>
      </c>
      <c r="B1583" s="22" t="s">
        <v>110</v>
      </c>
      <c r="C1583" s="22" t="s">
        <v>57</v>
      </c>
      <c r="D1583" s="48" t="s">
        <v>5</v>
      </c>
      <c r="E1583" t="s">
        <v>158</v>
      </c>
      <c r="F1583">
        <v>2018</v>
      </c>
      <c r="G1583" t="s">
        <v>57</v>
      </c>
      <c r="H1583" s="42">
        <v>329</v>
      </c>
      <c r="J1583" t="s">
        <v>248</v>
      </c>
      <c r="L1583" s="34">
        <v>2</v>
      </c>
      <c r="M1583" s="38">
        <v>0.75</v>
      </c>
      <c r="N1583" s="38">
        <f t="shared" si="24"/>
        <v>1.5</v>
      </c>
    </row>
    <row r="1584" spans="1:14">
      <c r="A1584" s="29">
        <v>43482</v>
      </c>
      <c r="B1584" s="22" t="s">
        <v>110</v>
      </c>
      <c r="C1584" s="22" t="s">
        <v>57</v>
      </c>
      <c r="D1584" s="48" t="s">
        <v>5</v>
      </c>
      <c r="E1584" t="s">
        <v>158</v>
      </c>
      <c r="F1584">
        <v>2018</v>
      </c>
      <c r="G1584" t="s">
        <v>57</v>
      </c>
      <c r="H1584" s="42">
        <v>334</v>
      </c>
      <c r="J1584" t="s">
        <v>248</v>
      </c>
      <c r="L1584" s="34">
        <v>2</v>
      </c>
      <c r="M1584" s="38">
        <v>0.75</v>
      </c>
      <c r="N1584" s="38">
        <f t="shared" si="24"/>
        <v>1.5</v>
      </c>
    </row>
    <row r="1585" spans="1:14">
      <c r="A1585" s="29">
        <v>43482</v>
      </c>
      <c r="B1585" s="22" t="s">
        <v>110</v>
      </c>
      <c r="C1585" s="22" t="s">
        <v>57</v>
      </c>
      <c r="D1585" s="48" t="s">
        <v>5</v>
      </c>
      <c r="E1585" t="s">
        <v>255</v>
      </c>
      <c r="F1585">
        <v>2018</v>
      </c>
      <c r="G1585" t="s">
        <v>247</v>
      </c>
      <c r="H1585" s="42">
        <v>14</v>
      </c>
      <c r="J1585" t="s">
        <v>248</v>
      </c>
      <c r="L1585" s="34">
        <v>2</v>
      </c>
      <c r="M1585" s="38">
        <v>0.75</v>
      </c>
      <c r="N1585" s="38">
        <f t="shared" si="24"/>
        <v>1.5</v>
      </c>
    </row>
    <row r="1586" spans="1:14">
      <c r="A1586" s="29">
        <v>43482</v>
      </c>
      <c r="B1586" s="22" t="s">
        <v>110</v>
      </c>
      <c r="C1586" s="22" t="s">
        <v>57</v>
      </c>
      <c r="D1586" s="48" t="s">
        <v>5</v>
      </c>
      <c r="E1586" t="s">
        <v>255</v>
      </c>
      <c r="F1586">
        <v>2018</v>
      </c>
      <c r="G1586" t="s">
        <v>326</v>
      </c>
      <c r="H1586" s="42">
        <v>52</v>
      </c>
      <c r="J1586" t="s">
        <v>248</v>
      </c>
      <c r="L1586" s="34">
        <v>2</v>
      </c>
      <c r="M1586" s="38">
        <v>0.75</v>
      </c>
      <c r="N1586" s="38">
        <f t="shared" si="24"/>
        <v>1.5</v>
      </c>
    </row>
    <row r="1587" spans="1:14">
      <c r="A1587" s="29">
        <v>43482</v>
      </c>
      <c r="B1587" s="22" t="s">
        <v>110</v>
      </c>
      <c r="C1587" s="22" t="s">
        <v>57</v>
      </c>
      <c r="D1587" s="48" t="s">
        <v>11</v>
      </c>
      <c r="E1587" t="s">
        <v>179</v>
      </c>
      <c r="F1587">
        <v>2018</v>
      </c>
      <c r="G1587" t="s">
        <v>605</v>
      </c>
      <c r="H1587" s="42" t="s">
        <v>57</v>
      </c>
      <c r="J1587" t="s">
        <v>248</v>
      </c>
      <c r="L1587" s="34">
        <v>2</v>
      </c>
      <c r="M1587" s="38">
        <v>0.75</v>
      </c>
      <c r="N1587" s="38">
        <f t="shared" si="24"/>
        <v>1.5</v>
      </c>
    </row>
    <row r="1588" spans="1:14">
      <c r="A1588" s="29">
        <v>43482</v>
      </c>
      <c r="B1588" s="22" t="s">
        <v>110</v>
      </c>
      <c r="C1588" s="22" t="s">
        <v>57</v>
      </c>
      <c r="D1588" s="48" t="s">
        <v>11</v>
      </c>
      <c r="E1588" t="s">
        <v>179</v>
      </c>
      <c r="F1588">
        <v>2018</v>
      </c>
      <c r="G1588" t="s">
        <v>606</v>
      </c>
      <c r="H1588" s="42">
        <v>422</v>
      </c>
      <c r="J1588" t="s">
        <v>248</v>
      </c>
      <c r="L1588" s="34">
        <v>2</v>
      </c>
      <c r="M1588" s="38">
        <v>0.75</v>
      </c>
      <c r="N1588" s="38">
        <f t="shared" si="24"/>
        <v>1.5</v>
      </c>
    </row>
    <row r="1589" spans="1:14">
      <c r="A1589" s="29">
        <v>43482</v>
      </c>
      <c r="B1589" s="22" t="s">
        <v>110</v>
      </c>
      <c r="C1589" s="22" t="s">
        <v>57</v>
      </c>
      <c r="D1589" s="48" t="s">
        <v>11</v>
      </c>
      <c r="E1589" t="s">
        <v>177</v>
      </c>
      <c r="F1589">
        <v>2018</v>
      </c>
      <c r="G1589" t="s">
        <v>317</v>
      </c>
      <c r="H1589" s="42" t="s">
        <v>57</v>
      </c>
      <c r="J1589" t="s">
        <v>248</v>
      </c>
      <c r="L1589" s="34">
        <v>2</v>
      </c>
      <c r="M1589" s="38">
        <v>0.75</v>
      </c>
      <c r="N1589" s="38">
        <f t="shared" si="24"/>
        <v>1.5</v>
      </c>
    </row>
    <row r="1590" spans="1:14">
      <c r="A1590" s="29">
        <v>43486</v>
      </c>
      <c r="B1590" s="22" t="s">
        <v>109</v>
      </c>
      <c r="C1590" s="22" t="s">
        <v>57</v>
      </c>
      <c r="D1590" s="48" t="s">
        <v>8</v>
      </c>
      <c r="E1590" t="s">
        <v>184</v>
      </c>
      <c r="F1590">
        <v>2018</v>
      </c>
      <c r="G1590" t="s">
        <v>57</v>
      </c>
      <c r="H1590" s="42">
        <v>79</v>
      </c>
      <c r="J1590" t="s">
        <v>248</v>
      </c>
      <c r="L1590" s="34">
        <v>6</v>
      </c>
      <c r="M1590" s="38">
        <v>0.75</v>
      </c>
      <c r="N1590" s="38">
        <f t="shared" si="24"/>
        <v>4.5</v>
      </c>
    </row>
    <row r="1591" spans="1:14">
      <c r="A1591" s="29">
        <v>43486</v>
      </c>
      <c r="B1591" s="22" t="s">
        <v>109</v>
      </c>
      <c r="C1591" s="22" t="s">
        <v>57</v>
      </c>
      <c r="D1591" s="48" t="s">
        <v>8</v>
      </c>
      <c r="E1591" t="s">
        <v>272</v>
      </c>
      <c r="F1591">
        <v>2018</v>
      </c>
      <c r="G1591" t="s">
        <v>359</v>
      </c>
      <c r="H1591" s="42">
        <v>414</v>
      </c>
      <c r="J1591" t="s">
        <v>248</v>
      </c>
      <c r="K1591" t="s">
        <v>615</v>
      </c>
      <c r="L1591" s="34">
        <f>6*3</f>
        <v>18</v>
      </c>
      <c r="M1591" s="38">
        <v>0.75</v>
      </c>
      <c r="N1591" s="38">
        <f t="shared" si="24"/>
        <v>13.5</v>
      </c>
    </row>
    <row r="1592" spans="1:14">
      <c r="A1592" s="29">
        <v>43487</v>
      </c>
      <c r="B1592" s="22" t="s">
        <v>79</v>
      </c>
      <c r="C1592" s="22" t="s">
        <v>57</v>
      </c>
      <c r="D1592" s="48" t="s">
        <v>8</v>
      </c>
      <c r="E1592" t="s">
        <v>179</v>
      </c>
      <c r="F1592">
        <v>2018</v>
      </c>
      <c r="G1592" t="s">
        <v>57</v>
      </c>
      <c r="H1592" s="42">
        <v>202</v>
      </c>
      <c r="J1592" t="s">
        <v>248</v>
      </c>
      <c r="L1592" s="34">
        <v>2</v>
      </c>
      <c r="M1592" s="38">
        <v>0.75</v>
      </c>
      <c r="N1592" s="38">
        <f t="shared" si="24"/>
        <v>1.5</v>
      </c>
    </row>
    <row r="1593" spans="1:14">
      <c r="A1593" s="29">
        <v>43487</v>
      </c>
      <c r="B1593" s="22" t="s">
        <v>113</v>
      </c>
      <c r="C1593" s="22" t="s">
        <v>271</v>
      </c>
      <c r="D1593" s="48" t="s">
        <v>5</v>
      </c>
      <c r="E1593" t="s">
        <v>262</v>
      </c>
      <c r="F1593">
        <v>2018</v>
      </c>
      <c r="G1593" t="s">
        <v>404</v>
      </c>
      <c r="H1593" s="42">
        <v>409</v>
      </c>
      <c r="J1593" t="s">
        <v>248</v>
      </c>
      <c r="L1593" s="34">
        <v>4</v>
      </c>
      <c r="M1593" s="38">
        <v>0.75</v>
      </c>
      <c r="N1593" s="38">
        <f t="shared" si="24"/>
        <v>3</v>
      </c>
    </row>
    <row r="1594" spans="1:14">
      <c r="A1594" s="29">
        <v>43487</v>
      </c>
      <c r="B1594" s="22" t="s">
        <v>57</v>
      </c>
      <c r="C1594" s="22" t="s">
        <v>249</v>
      </c>
      <c r="D1594" s="48" t="s">
        <v>5</v>
      </c>
      <c r="E1594" t="s">
        <v>157</v>
      </c>
      <c r="F1594">
        <v>2018</v>
      </c>
      <c r="G1594" t="s">
        <v>326</v>
      </c>
      <c r="H1594" s="42">
        <v>413</v>
      </c>
      <c r="J1594" t="s">
        <v>248</v>
      </c>
      <c r="L1594" s="34">
        <v>4</v>
      </c>
      <c r="M1594" s="38">
        <v>0.75</v>
      </c>
      <c r="N1594" s="38">
        <f t="shared" si="24"/>
        <v>3</v>
      </c>
    </row>
    <row r="1595" spans="1:14">
      <c r="A1595" s="29">
        <v>43487</v>
      </c>
      <c r="B1595" s="22" t="s">
        <v>57</v>
      </c>
      <c r="C1595" s="22" t="s">
        <v>249</v>
      </c>
      <c r="D1595" s="48" t="s">
        <v>11</v>
      </c>
      <c r="E1595" t="s">
        <v>259</v>
      </c>
      <c r="F1595">
        <v>2018</v>
      </c>
      <c r="G1595" t="s">
        <v>57</v>
      </c>
      <c r="H1595" s="42">
        <v>129</v>
      </c>
      <c r="J1595" t="s">
        <v>248</v>
      </c>
      <c r="L1595" s="34">
        <v>4</v>
      </c>
      <c r="M1595" s="38">
        <v>0.75</v>
      </c>
      <c r="N1595" s="38">
        <f t="shared" si="24"/>
        <v>3</v>
      </c>
    </row>
    <row r="1596" spans="1:14">
      <c r="A1596" s="29">
        <v>43487</v>
      </c>
      <c r="B1596" s="22" t="s">
        <v>57</v>
      </c>
      <c r="C1596" s="22" t="s">
        <v>249</v>
      </c>
      <c r="D1596" s="48" t="s">
        <v>5</v>
      </c>
      <c r="E1596" t="s">
        <v>158</v>
      </c>
      <c r="F1596">
        <v>2018</v>
      </c>
      <c r="G1596" t="s">
        <v>57</v>
      </c>
      <c r="H1596" s="42">
        <v>334</v>
      </c>
      <c r="J1596" t="s">
        <v>248</v>
      </c>
      <c r="L1596" s="34">
        <v>1</v>
      </c>
      <c r="M1596" s="38">
        <v>0.75</v>
      </c>
      <c r="N1596" s="38">
        <f t="shared" si="24"/>
        <v>0.75</v>
      </c>
    </row>
    <row r="1597" spans="1:14">
      <c r="A1597" s="29">
        <v>43494</v>
      </c>
      <c r="B1597" s="22" t="s">
        <v>57</v>
      </c>
      <c r="C1597" s="22" t="s">
        <v>49</v>
      </c>
      <c r="D1597" s="48" t="s">
        <v>5</v>
      </c>
      <c r="E1597" t="s">
        <v>255</v>
      </c>
      <c r="F1597">
        <v>2018</v>
      </c>
      <c r="G1597" t="s">
        <v>326</v>
      </c>
      <c r="H1597" s="42">
        <v>52</v>
      </c>
      <c r="J1597" t="s">
        <v>248</v>
      </c>
      <c r="L1597" s="34">
        <v>4</v>
      </c>
      <c r="M1597" s="38">
        <v>0.75</v>
      </c>
      <c r="N1597" s="38">
        <f t="shared" si="24"/>
        <v>3</v>
      </c>
    </row>
    <row r="1598" spans="1:14">
      <c r="A1598" s="29">
        <v>43494</v>
      </c>
      <c r="B1598" s="22" t="s">
        <v>109</v>
      </c>
      <c r="C1598" s="22" t="s">
        <v>57</v>
      </c>
      <c r="D1598" s="48" t="s">
        <v>8</v>
      </c>
      <c r="E1598" t="s">
        <v>272</v>
      </c>
      <c r="F1598">
        <v>2018</v>
      </c>
      <c r="G1598" t="s">
        <v>359</v>
      </c>
      <c r="H1598" s="42">
        <v>414</v>
      </c>
      <c r="J1598" t="s">
        <v>248</v>
      </c>
      <c r="L1598" s="34">
        <v>3</v>
      </c>
      <c r="M1598" s="38">
        <v>0.75</v>
      </c>
      <c r="N1598" s="38">
        <f t="shared" si="24"/>
        <v>2.25</v>
      </c>
    </row>
    <row r="1599" spans="1:14">
      <c r="A1599" s="29">
        <v>43501</v>
      </c>
      <c r="B1599" s="22" t="s">
        <v>60</v>
      </c>
      <c r="C1599" s="22" t="s">
        <v>57</v>
      </c>
      <c r="D1599" s="48" t="s">
        <v>11</v>
      </c>
      <c r="E1599" t="s">
        <v>177</v>
      </c>
      <c r="F1599">
        <v>2018</v>
      </c>
      <c r="G1599" t="s">
        <v>618</v>
      </c>
      <c r="H1599" s="42">
        <v>415</v>
      </c>
      <c r="J1599" t="s">
        <v>248</v>
      </c>
      <c r="L1599" s="34">
        <v>2</v>
      </c>
      <c r="M1599" s="38">
        <v>0.75</v>
      </c>
      <c r="N1599" s="38">
        <f t="shared" si="24"/>
        <v>1.5</v>
      </c>
    </row>
    <row r="1600" spans="1:14">
      <c r="A1600" s="29">
        <v>43501</v>
      </c>
      <c r="B1600" s="22" t="s">
        <v>60</v>
      </c>
      <c r="C1600" s="22" t="s">
        <v>57</v>
      </c>
      <c r="D1600" s="48" t="s">
        <v>11</v>
      </c>
      <c r="E1600" t="s">
        <v>179</v>
      </c>
      <c r="F1600">
        <v>2018</v>
      </c>
      <c r="G1600" t="s">
        <v>605</v>
      </c>
      <c r="H1600" s="42">
        <v>417</v>
      </c>
      <c r="J1600" t="s">
        <v>248</v>
      </c>
      <c r="L1600" s="34">
        <v>2</v>
      </c>
      <c r="M1600" s="38">
        <v>0.75</v>
      </c>
      <c r="N1600" s="38">
        <f t="shared" si="24"/>
        <v>1.5</v>
      </c>
    </row>
    <row r="1601" spans="1:14">
      <c r="A1601" s="29">
        <v>43502</v>
      </c>
      <c r="B1601" s="22" t="s">
        <v>40</v>
      </c>
      <c r="C1601" s="22" t="s">
        <v>57</v>
      </c>
      <c r="D1601" s="48" t="s">
        <v>5</v>
      </c>
      <c r="E1601" t="s">
        <v>307</v>
      </c>
      <c r="F1601">
        <v>2018</v>
      </c>
      <c r="G1601" t="s">
        <v>558</v>
      </c>
      <c r="H1601" s="42">
        <v>15</v>
      </c>
      <c r="J1601" t="s">
        <v>248</v>
      </c>
      <c r="L1601" s="34">
        <v>3</v>
      </c>
      <c r="M1601" s="38">
        <v>0.75</v>
      </c>
      <c r="N1601" s="38">
        <f t="shared" si="24"/>
        <v>2.25</v>
      </c>
    </row>
    <row r="1602" spans="1:14">
      <c r="A1602" s="29">
        <v>43502</v>
      </c>
      <c r="B1602" s="22" t="s">
        <v>40</v>
      </c>
      <c r="C1602" s="22" t="s">
        <v>57</v>
      </c>
      <c r="D1602" s="48" t="s">
        <v>5</v>
      </c>
      <c r="E1602" t="s">
        <v>307</v>
      </c>
      <c r="F1602">
        <v>2018</v>
      </c>
      <c r="G1602" t="s">
        <v>625</v>
      </c>
      <c r="H1602" s="42">
        <v>200</v>
      </c>
      <c r="J1602" t="s">
        <v>248</v>
      </c>
      <c r="L1602" s="34">
        <v>1</v>
      </c>
      <c r="M1602" s="38">
        <v>0.75</v>
      </c>
      <c r="N1602" s="38">
        <f t="shared" si="24"/>
        <v>0.75</v>
      </c>
    </row>
    <row r="1603" spans="1:14">
      <c r="A1603" s="29">
        <v>43502</v>
      </c>
      <c r="B1603" s="22" t="s">
        <v>40</v>
      </c>
      <c r="C1603" s="22" t="s">
        <v>57</v>
      </c>
      <c r="D1603" s="48" t="s">
        <v>5</v>
      </c>
      <c r="E1603" t="s">
        <v>267</v>
      </c>
      <c r="F1603">
        <v>2018</v>
      </c>
      <c r="G1603" t="s">
        <v>57</v>
      </c>
      <c r="H1603" s="42">
        <v>45</v>
      </c>
      <c r="J1603" t="s">
        <v>248</v>
      </c>
      <c r="L1603" s="34">
        <v>1</v>
      </c>
      <c r="M1603" s="38">
        <v>0.75</v>
      </c>
      <c r="N1603" s="38">
        <f t="shared" ref="N1603:N1666" si="25">M1603*L1603</f>
        <v>0.75</v>
      </c>
    </row>
    <row r="1604" spans="1:14">
      <c r="A1604" s="29">
        <v>43502</v>
      </c>
      <c r="B1604" s="22" t="s">
        <v>40</v>
      </c>
      <c r="C1604" s="22" t="s">
        <v>57</v>
      </c>
      <c r="D1604" s="48" t="s">
        <v>5</v>
      </c>
      <c r="E1604" t="s">
        <v>287</v>
      </c>
      <c r="F1604">
        <v>2018</v>
      </c>
      <c r="G1604" t="s">
        <v>57</v>
      </c>
      <c r="H1604" s="42">
        <v>333</v>
      </c>
      <c r="J1604" t="s">
        <v>248</v>
      </c>
      <c r="L1604" s="34">
        <v>1</v>
      </c>
      <c r="M1604" s="38">
        <v>0.75</v>
      </c>
      <c r="N1604" s="38">
        <f t="shared" si="25"/>
        <v>0.75</v>
      </c>
    </row>
    <row r="1605" spans="1:14">
      <c r="A1605" s="29">
        <v>43502</v>
      </c>
      <c r="B1605" s="22" t="s">
        <v>40</v>
      </c>
      <c r="C1605" s="22" t="s">
        <v>57</v>
      </c>
      <c r="D1605" s="48" t="s">
        <v>5</v>
      </c>
      <c r="E1605" t="s">
        <v>157</v>
      </c>
      <c r="F1605">
        <v>2018</v>
      </c>
      <c r="G1605" t="s">
        <v>252</v>
      </c>
      <c r="H1605" s="42">
        <v>10</v>
      </c>
      <c r="J1605" t="s">
        <v>248</v>
      </c>
      <c r="L1605" s="34">
        <v>3</v>
      </c>
      <c r="M1605" s="38">
        <v>0.75</v>
      </c>
      <c r="N1605" s="38">
        <f t="shared" si="25"/>
        <v>2.25</v>
      </c>
    </row>
    <row r="1606" spans="1:14">
      <c r="A1606" s="29">
        <v>43507</v>
      </c>
      <c r="B1606" s="22" t="s">
        <v>63</v>
      </c>
      <c r="C1606" s="22" t="s">
        <v>57</v>
      </c>
      <c r="D1606" s="48" t="s">
        <v>5</v>
      </c>
      <c r="E1606" t="s">
        <v>267</v>
      </c>
      <c r="F1606">
        <v>2018</v>
      </c>
      <c r="G1606" t="s">
        <v>57</v>
      </c>
      <c r="H1606" s="42">
        <v>45</v>
      </c>
      <c r="J1606" t="s">
        <v>248</v>
      </c>
      <c r="L1606" s="34">
        <v>1</v>
      </c>
      <c r="M1606" s="38">
        <v>0.75</v>
      </c>
      <c r="N1606" s="38">
        <f t="shared" si="25"/>
        <v>0.75</v>
      </c>
    </row>
    <row r="1607" spans="1:14">
      <c r="A1607" s="29">
        <v>43507</v>
      </c>
      <c r="B1607" s="22" t="s">
        <v>81</v>
      </c>
      <c r="C1607" s="22" t="s">
        <v>57</v>
      </c>
      <c r="D1607" s="48" t="s">
        <v>5</v>
      </c>
      <c r="E1607" t="s">
        <v>626</v>
      </c>
      <c r="F1607">
        <v>2018</v>
      </c>
      <c r="G1607" t="s">
        <v>57</v>
      </c>
      <c r="H1607" s="42" t="s">
        <v>57</v>
      </c>
      <c r="J1607" t="s">
        <v>248</v>
      </c>
      <c r="K1607" t="s">
        <v>627</v>
      </c>
      <c r="L1607" s="34">
        <v>2</v>
      </c>
      <c r="M1607" s="38">
        <v>0.75</v>
      </c>
      <c r="N1607" s="38">
        <f t="shared" si="25"/>
        <v>1.5</v>
      </c>
    </row>
    <row r="1608" spans="1:14">
      <c r="A1608" s="29">
        <v>43508</v>
      </c>
      <c r="B1608" s="22" t="s">
        <v>110</v>
      </c>
      <c r="C1608" s="22" t="s">
        <v>57</v>
      </c>
      <c r="D1608" s="48" t="s">
        <v>5</v>
      </c>
      <c r="E1608" t="s">
        <v>255</v>
      </c>
      <c r="F1608">
        <v>2018</v>
      </c>
      <c r="G1608" t="s">
        <v>326</v>
      </c>
      <c r="H1608" s="42">
        <v>52</v>
      </c>
      <c r="J1608" t="s">
        <v>248</v>
      </c>
      <c r="L1608" s="34">
        <v>2</v>
      </c>
      <c r="M1608" s="38">
        <v>0.75</v>
      </c>
      <c r="N1608" s="38">
        <f t="shared" si="25"/>
        <v>1.5</v>
      </c>
    </row>
    <row r="1609" spans="1:14">
      <c r="A1609" s="29">
        <v>43508</v>
      </c>
      <c r="B1609" s="22" t="s">
        <v>110</v>
      </c>
      <c r="C1609" s="22" t="s">
        <v>57</v>
      </c>
      <c r="D1609" s="48" t="s">
        <v>5</v>
      </c>
      <c r="E1609" t="s">
        <v>255</v>
      </c>
      <c r="F1609">
        <v>2018</v>
      </c>
      <c r="G1609" t="s">
        <v>247</v>
      </c>
      <c r="H1609" s="42">
        <v>20</v>
      </c>
      <c r="J1609" t="s">
        <v>248</v>
      </c>
      <c r="L1609" s="34">
        <v>2</v>
      </c>
      <c r="M1609" s="38">
        <v>0.75</v>
      </c>
      <c r="N1609" s="38">
        <f t="shared" si="25"/>
        <v>1.5</v>
      </c>
    </row>
    <row r="1610" spans="1:14">
      <c r="A1610" s="29">
        <v>43508</v>
      </c>
      <c r="B1610" s="22" t="s">
        <v>110</v>
      </c>
      <c r="C1610" s="22" t="s">
        <v>57</v>
      </c>
      <c r="D1610" s="48" t="s">
        <v>11</v>
      </c>
      <c r="E1610" t="s">
        <v>179</v>
      </c>
      <c r="F1610">
        <v>2018</v>
      </c>
      <c r="G1610" t="s">
        <v>605</v>
      </c>
      <c r="H1610" s="42">
        <v>418</v>
      </c>
      <c r="J1610" t="s">
        <v>248</v>
      </c>
      <c r="L1610" s="34">
        <v>2</v>
      </c>
      <c r="M1610" s="38">
        <v>0.75</v>
      </c>
      <c r="N1610" s="38">
        <f t="shared" si="25"/>
        <v>1.5</v>
      </c>
    </row>
    <row r="1611" spans="1:14">
      <c r="A1611" s="29">
        <v>43508</v>
      </c>
      <c r="B1611" s="22" t="s">
        <v>110</v>
      </c>
      <c r="C1611" s="22" t="s">
        <v>57</v>
      </c>
      <c r="D1611" s="48" t="s">
        <v>11</v>
      </c>
      <c r="E1611" t="s">
        <v>179</v>
      </c>
      <c r="F1611">
        <v>2018</v>
      </c>
      <c r="G1611" t="s">
        <v>606</v>
      </c>
      <c r="H1611" s="42">
        <v>130</v>
      </c>
      <c r="J1611" t="s">
        <v>248</v>
      </c>
      <c r="L1611" s="34">
        <v>2</v>
      </c>
      <c r="M1611" s="38">
        <v>0.75</v>
      </c>
      <c r="N1611" s="38">
        <f t="shared" si="25"/>
        <v>1.5</v>
      </c>
    </row>
    <row r="1612" spans="1:14">
      <c r="A1612" s="29">
        <v>43509</v>
      </c>
      <c r="B1612" s="22" t="s">
        <v>109</v>
      </c>
      <c r="C1612" s="22" t="s">
        <v>57</v>
      </c>
      <c r="D1612" s="48" t="s">
        <v>8</v>
      </c>
      <c r="E1612" t="s">
        <v>184</v>
      </c>
      <c r="F1612">
        <v>2018</v>
      </c>
      <c r="G1612" t="s">
        <v>57</v>
      </c>
      <c r="H1612" s="42">
        <v>406</v>
      </c>
      <c r="J1612" t="s">
        <v>248</v>
      </c>
      <c r="L1612" s="34">
        <v>1</v>
      </c>
      <c r="M1612" s="38">
        <v>0.75</v>
      </c>
      <c r="N1612" s="38">
        <f t="shared" si="25"/>
        <v>0.75</v>
      </c>
    </row>
    <row r="1613" spans="1:14">
      <c r="A1613" s="29">
        <v>43509</v>
      </c>
      <c r="B1613" s="22" t="s">
        <v>628</v>
      </c>
      <c r="C1613" s="22" t="s">
        <v>57</v>
      </c>
      <c r="D1613" s="48" t="s">
        <v>5</v>
      </c>
      <c r="E1613" t="s">
        <v>158</v>
      </c>
      <c r="F1613">
        <v>2018</v>
      </c>
      <c r="G1613" t="s">
        <v>57</v>
      </c>
      <c r="H1613" s="42">
        <v>334</v>
      </c>
      <c r="J1613" t="s">
        <v>248</v>
      </c>
      <c r="L1613" s="34">
        <v>1</v>
      </c>
      <c r="M1613" s="38">
        <v>0.75</v>
      </c>
      <c r="N1613" s="38">
        <f t="shared" si="25"/>
        <v>0.75</v>
      </c>
    </row>
    <row r="1614" spans="1:14">
      <c r="A1614" s="29">
        <v>43509</v>
      </c>
      <c r="B1614" s="22" t="s">
        <v>628</v>
      </c>
      <c r="C1614" s="22" t="s">
        <v>57</v>
      </c>
      <c r="D1614" s="48" t="s">
        <v>5</v>
      </c>
      <c r="E1614" t="s">
        <v>158</v>
      </c>
      <c r="F1614">
        <v>2018</v>
      </c>
      <c r="G1614" t="s">
        <v>57</v>
      </c>
      <c r="H1614" s="42">
        <v>16</v>
      </c>
      <c r="J1614" t="s">
        <v>248</v>
      </c>
      <c r="L1614" s="34">
        <v>1</v>
      </c>
      <c r="M1614" s="38">
        <v>0.75</v>
      </c>
      <c r="N1614" s="38">
        <f t="shared" si="25"/>
        <v>0.75</v>
      </c>
    </row>
    <row r="1615" spans="1:14">
      <c r="A1615" s="29">
        <v>43509</v>
      </c>
      <c r="B1615" s="22" t="s">
        <v>628</v>
      </c>
      <c r="C1615" s="22" t="s">
        <v>57</v>
      </c>
      <c r="D1615" s="48" t="s">
        <v>5</v>
      </c>
      <c r="E1615" t="s">
        <v>158</v>
      </c>
      <c r="F1615">
        <v>2018</v>
      </c>
      <c r="G1615" t="s">
        <v>57</v>
      </c>
      <c r="H1615" s="42">
        <v>48</v>
      </c>
      <c r="J1615" t="s">
        <v>248</v>
      </c>
      <c r="L1615" s="34">
        <v>1</v>
      </c>
      <c r="M1615" s="38">
        <v>0.75</v>
      </c>
      <c r="N1615" s="38">
        <f t="shared" si="25"/>
        <v>0.75</v>
      </c>
    </row>
    <row r="1616" spans="1:14">
      <c r="A1616" s="29">
        <v>43517</v>
      </c>
      <c r="B1616" s="22" t="s">
        <v>12</v>
      </c>
      <c r="C1616" s="22" t="s">
        <v>249</v>
      </c>
      <c r="D1616" s="48" t="s">
        <v>5</v>
      </c>
      <c r="E1616" t="s">
        <v>255</v>
      </c>
      <c r="F1616">
        <v>2018</v>
      </c>
      <c r="G1616" t="s">
        <v>326</v>
      </c>
      <c r="H1616" s="42">
        <v>52</v>
      </c>
      <c r="J1616" t="s">
        <v>248</v>
      </c>
      <c r="L1616" s="34">
        <v>2</v>
      </c>
      <c r="M1616" s="38">
        <v>0.75</v>
      </c>
      <c r="N1616" s="38">
        <f t="shared" si="25"/>
        <v>1.5</v>
      </c>
    </row>
    <row r="1617" spans="1:14">
      <c r="A1617" s="29">
        <v>43518</v>
      </c>
      <c r="B1617" s="22" t="s">
        <v>80</v>
      </c>
      <c r="C1617" s="22" t="s">
        <v>57</v>
      </c>
      <c r="D1617" s="48" t="s">
        <v>5</v>
      </c>
      <c r="E1617" t="s">
        <v>381</v>
      </c>
      <c r="F1617">
        <v>2018</v>
      </c>
      <c r="G1617" t="s">
        <v>391</v>
      </c>
      <c r="H1617" s="42" t="s">
        <v>57</v>
      </c>
      <c r="J1617" t="s">
        <v>248</v>
      </c>
      <c r="L1617" s="34">
        <v>2</v>
      </c>
      <c r="M1617" s="38">
        <v>0.75</v>
      </c>
      <c r="N1617" s="38">
        <f t="shared" si="25"/>
        <v>1.5</v>
      </c>
    </row>
    <row r="1618" spans="1:14">
      <c r="A1618" s="29">
        <v>43521</v>
      </c>
      <c r="B1618" s="22" t="s">
        <v>63</v>
      </c>
      <c r="C1618" s="22" t="s">
        <v>57</v>
      </c>
      <c r="D1618" s="48" t="s">
        <v>5</v>
      </c>
      <c r="E1618" t="s">
        <v>267</v>
      </c>
      <c r="F1618">
        <v>2018</v>
      </c>
      <c r="G1618" t="s">
        <v>57</v>
      </c>
      <c r="H1618" s="42">
        <v>45</v>
      </c>
      <c r="J1618" t="s">
        <v>248</v>
      </c>
      <c r="L1618" s="34">
        <v>4</v>
      </c>
      <c r="M1618" s="38">
        <v>0.75</v>
      </c>
      <c r="N1618" s="38">
        <f t="shared" si="25"/>
        <v>3</v>
      </c>
    </row>
    <row r="1619" spans="1:14">
      <c r="A1619" s="29">
        <v>43521</v>
      </c>
      <c r="B1619" s="22" t="s">
        <v>57</v>
      </c>
      <c r="C1619" s="22" t="s">
        <v>49</v>
      </c>
      <c r="D1619" s="48" t="s">
        <v>5</v>
      </c>
      <c r="E1619" t="s">
        <v>255</v>
      </c>
      <c r="F1619">
        <v>2018</v>
      </c>
      <c r="G1619" t="s">
        <v>247</v>
      </c>
      <c r="H1619" s="42">
        <v>20</v>
      </c>
      <c r="J1619" t="s">
        <v>248</v>
      </c>
      <c r="L1619" s="34">
        <v>4</v>
      </c>
      <c r="M1619" s="38">
        <v>0.75</v>
      </c>
      <c r="N1619" s="38">
        <f t="shared" si="25"/>
        <v>3</v>
      </c>
    </row>
    <row r="1620" spans="1:14">
      <c r="A1620" s="29">
        <v>43521</v>
      </c>
      <c r="B1620" s="22" t="s">
        <v>57</v>
      </c>
      <c r="C1620" s="22" t="s">
        <v>49</v>
      </c>
      <c r="D1620" s="48" t="s">
        <v>11</v>
      </c>
      <c r="E1620" t="s">
        <v>179</v>
      </c>
      <c r="F1620">
        <v>2018</v>
      </c>
      <c r="G1620" t="s">
        <v>605</v>
      </c>
      <c r="H1620" s="42">
        <v>417</v>
      </c>
      <c r="J1620" t="s">
        <v>248</v>
      </c>
      <c r="L1620" s="34">
        <v>4</v>
      </c>
      <c r="M1620" s="38">
        <v>0.75</v>
      </c>
      <c r="N1620" s="38">
        <f t="shared" si="25"/>
        <v>3</v>
      </c>
    </row>
    <row r="1621" spans="1:14">
      <c r="A1621" s="29">
        <v>43521</v>
      </c>
      <c r="B1621" s="22" t="s">
        <v>57</v>
      </c>
      <c r="C1621" s="22" t="s">
        <v>49</v>
      </c>
      <c r="D1621" s="48" t="s">
        <v>11</v>
      </c>
      <c r="E1621" t="s">
        <v>179</v>
      </c>
      <c r="F1621">
        <v>2018</v>
      </c>
      <c r="G1621" t="s">
        <v>606</v>
      </c>
      <c r="H1621" s="42">
        <v>144</v>
      </c>
      <c r="J1621" t="s">
        <v>248</v>
      </c>
      <c r="L1621" s="34">
        <v>4</v>
      </c>
      <c r="M1621" s="38">
        <v>0.75</v>
      </c>
      <c r="N1621" s="38">
        <f t="shared" si="25"/>
        <v>3</v>
      </c>
    </row>
    <row r="1622" spans="1:14">
      <c r="A1622" s="29">
        <v>43521</v>
      </c>
      <c r="B1622" s="22" t="s">
        <v>57</v>
      </c>
      <c r="C1622" s="22" t="s">
        <v>49</v>
      </c>
      <c r="D1622" s="48" t="s">
        <v>11</v>
      </c>
      <c r="E1622" t="s">
        <v>177</v>
      </c>
      <c r="F1622">
        <v>2018</v>
      </c>
      <c r="G1622" t="s">
        <v>57</v>
      </c>
      <c r="H1622" s="42">
        <v>415</v>
      </c>
      <c r="J1622" t="s">
        <v>248</v>
      </c>
      <c r="L1622" s="34">
        <v>4</v>
      </c>
      <c r="M1622" s="38">
        <v>0.75</v>
      </c>
      <c r="N1622" s="38">
        <f t="shared" si="25"/>
        <v>3</v>
      </c>
    </row>
    <row r="1623" spans="1:14">
      <c r="A1623" s="29">
        <v>43522</v>
      </c>
      <c r="B1623" s="22" t="s">
        <v>40</v>
      </c>
      <c r="C1623" s="22" t="s">
        <v>57</v>
      </c>
      <c r="D1623" s="48" t="s">
        <v>5</v>
      </c>
      <c r="E1623" t="s">
        <v>307</v>
      </c>
      <c r="F1623">
        <v>2018</v>
      </c>
      <c r="G1623" t="s">
        <v>558</v>
      </c>
      <c r="H1623" s="42">
        <v>15</v>
      </c>
      <c r="J1623" t="s">
        <v>248</v>
      </c>
      <c r="L1623" s="34">
        <v>4</v>
      </c>
      <c r="M1623" s="38">
        <v>0.75</v>
      </c>
      <c r="N1623" s="38">
        <f t="shared" si="25"/>
        <v>3</v>
      </c>
    </row>
    <row r="1624" spans="1:14">
      <c r="A1624" s="29">
        <v>43524</v>
      </c>
      <c r="B1624" s="22" t="s">
        <v>28</v>
      </c>
      <c r="C1624" s="22" t="s">
        <v>271</v>
      </c>
      <c r="D1624" s="48" t="s">
        <v>8</v>
      </c>
      <c r="E1624" t="s">
        <v>177</v>
      </c>
      <c r="F1624">
        <v>2018</v>
      </c>
      <c r="G1624" t="s">
        <v>57</v>
      </c>
      <c r="H1624" s="42">
        <v>13</v>
      </c>
      <c r="J1624" t="s">
        <v>248</v>
      </c>
      <c r="L1624" s="34">
        <v>6</v>
      </c>
      <c r="M1624" s="38">
        <v>0.75</v>
      </c>
      <c r="N1624" s="38">
        <f t="shared" si="25"/>
        <v>4.5</v>
      </c>
    </row>
    <row r="1625" spans="1:14">
      <c r="A1625" s="29">
        <v>43525</v>
      </c>
      <c r="B1625" s="22" t="s">
        <v>57</v>
      </c>
      <c r="C1625" s="22" t="s">
        <v>24</v>
      </c>
      <c r="D1625" s="48" t="s">
        <v>5</v>
      </c>
      <c r="E1625" t="s">
        <v>157</v>
      </c>
      <c r="F1625">
        <v>2018</v>
      </c>
      <c r="G1625" t="s">
        <v>247</v>
      </c>
      <c r="H1625" s="42" t="s">
        <v>430</v>
      </c>
      <c r="J1625" t="s">
        <v>248</v>
      </c>
      <c r="K1625" t="s">
        <v>629</v>
      </c>
      <c r="L1625" s="34">
        <v>3</v>
      </c>
      <c r="M1625" s="38">
        <v>0.75</v>
      </c>
      <c r="N1625" s="38">
        <f t="shared" si="25"/>
        <v>2.25</v>
      </c>
    </row>
    <row r="1626" spans="1:14">
      <c r="A1626" s="29">
        <v>43525</v>
      </c>
      <c r="B1626" s="22" t="s">
        <v>57</v>
      </c>
      <c r="C1626" s="22" t="s">
        <v>24</v>
      </c>
      <c r="D1626" s="48" t="s">
        <v>5</v>
      </c>
      <c r="E1626" t="s">
        <v>157</v>
      </c>
      <c r="F1626">
        <v>2018</v>
      </c>
      <c r="G1626" t="s">
        <v>247</v>
      </c>
      <c r="H1626" s="42" t="s">
        <v>430</v>
      </c>
      <c r="J1626" t="s">
        <v>248</v>
      </c>
      <c r="K1626" t="s">
        <v>630</v>
      </c>
      <c r="L1626" s="34">
        <v>3</v>
      </c>
      <c r="M1626" s="38">
        <v>0.75</v>
      </c>
      <c r="N1626" s="38">
        <f t="shared" si="25"/>
        <v>2.25</v>
      </c>
    </row>
    <row r="1627" spans="1:14">
      <c r="A1627" s="29">
        <v>43525</v>
      </c>
      <c r="B1627" s="22" t="s">
        <v>57</v>
      </c>
      <c r="C1627" s="22" t="s">
        <v>24</v>
      </c>
      <c r="D1627" s="48" t="s">
        <v>11</v>
      </c>
      <c r="E1627" t="s">
        <v>179</v>
      </c>
      <c r="F1627">
        <v>2018</v>
      </c>
      <c r="G1627" t="s">
        <v>605</v>
      </c>
      <c r="H1627" s="42">
        <v>417</v>
      </c>
      <c r="J1627" t="s">
        <v>248</v>
      </c>
      <c r="L1627" s="34">
        <v>3</v>
      </c>
      <c r="M1627" s="38">
        <v>0.75</v>
      </c>
      <c r="N1627" s="38">
        <f t="shared" si="25"/>
        <v>2.25</v>
      </c>
    </row>
    <row r="1628" spans="1:14">
      <c r="A1628" s="29">
        <v>43525</v>
      </c>
      <c r="B1628" s="22" t="s">
        <v>57</v>
      </c>
      <c r="C1628" s="22" t="s">
        <v>24</v>
      </c>
      <c r="D1628" s="48" t="s">
        <v>11</v>
      </c>
      <c r="E1628" t="s">
        <v>179</v>
      </c>
      <c r="F1628">
        <v>2018</v>
      </c>
      <c r="G1628" t="s">
        <v>606</v>
      </c>
      <c r="H1628" s="42">
        <v>144</v>
      </c>
      <c r="J1628" t="s">
        <v>248</v>
      </c>
      <c r="L1628" s="34">
        <v>3</v>
      </c>
      <c r="M1628" s="38">
        <v>0.75</v>
      </c>
      <c r="N1628" s="38">
        <f t="shared" si="25"/>
        <v>2.25</v>
      </c>
    </row>
    <row r="1629" spans="1:14">
      <c r="A1629" s="29">
        <v>43525</v>
      </c>
      <c r="B1629" s="22" t="s">
        <v>57</v>
      </c>
      <c r="C1629" s="22" t="s">
        <v>24</v>
      </c>
      <c r="D1629" s="48" t="s">
        <v>11</v>
      </c>
      <c r="E1629" t="s">
        <v>177</v>
      </c>
      <c r="F1629">
        <v>2018</v>
      </c>
      <c r="G1629" t="s">
        <v>57</v>
      </c>
      <c r="H1629" s="42">
        <v>415</v>
      </c>
      <c r="J1629" t="s">
        <v>248</v>
      </c>
      <c r="L1629" s="34">
        <v>3</v>
      </c>
      <c r="M1629" s="38">
        <v>0.75</v>
      </c>
      <c r="N1629" s="38">
        <f t="shared" si="25"/>
        <v>2.25</v>
      </c>
    </row>
    <row r="1630" spans="1:14">
      <c r="A1630" s="29">
        <v>43528</v>
      </c>
      <c r="B1630" s="22" t="s">
        <v>109</v>
      </c>
      <c r="C1630" s="22" t="s">
        <v>57</v>
      </c>
      <c r="D1630" s="48" t="s">
        <v>5</v>
      </c>
      <c r="E1630" t="s">
        <v>183</v>
      </c>
      <c r="F1630">
        <v>2018</v>
      </c>
      <c r="G1630" t="s">
        <v>494</v>
      </c>
      <c r="H1630" s="42">
        <v>200</v>
      </c>
      <c r="J1630" t="s">
        <v>248</v>
      </c>
      <c r="L1630" s="34">
        <v>5</v>
      </c>
      <c r="M1630" s="38">
        <v>0.75</v>
      </c>
      <c r="N1630" s="38">
        <f t="shared" si="25"/>
        <v>3.75</v>
      </c>
    </row>
    <row r="1631" spans="1:14">
      <c r="A1631" s="29">
        <v>43529</v>
      </c>
      <c r="B1631" s="22" t="s">
        <v>109</v>
      </c>
      <c r="C1631" s="22" t="s">
        <v>57</v>
      </c>
      <c r="D1631" s="48" t="s">
        <v>8</v>
      </c>
      <c r="E1631" t="s">
        <v>183</v>
      </c>
      <c r="F1631">
        <v>2018</v>
      </c>
      <c r="G1631" t="s">
        <v>359</v>
      </c>
      <c r="H1631" s="42">
        <v>414</v>
      </c>
      <c r="J1631" t="s">
        <v>248</v>
      </c>
      <c r="K1631" t="s">
        <v>615</v>
      </c>
      <c r="L1631" s="34">
        <v>3</v>
      </c>
      <c r="M1631" s="38">
        <v>0.75</v>
      </c>
      <c r="N1631" s="38">
        <f t="shared" si="25"/>
        <v>2.25</v>
      </c>
    </row>
    <row r="1632" spans="1:14">
      <c r="A1632" s="29">
        <v>43529</v>
      </c>
      <c r="B1632" s="22" t="s">
        <v>63</v>
      </c>
      <c r="C1632" s="22" t="s">
        <v>57</v>
      </c>
      <c r="D1632" s="48" t="s">
        <v>5</v>
      </c>
      <c r="E1632" t="s">
        <v>267</v>
      </c>
      <c r="F1632">
        <v>2018</v>
      </c>
      <c r="G1632" t="s">
        <v>57</v>
      </c>
      <c r="H1632" s="42">
        <v>45</v>
      </c>
      <c r="J1632" t="s">
        <v>248</v>
      </c>
      <c r="L1632" s="34">
        <v>2</v>
      </c>
      <c r="M1632" s="38">
        <v>0.75</v>
      </c>
      <c r="N1632" s="38">
        <f t="shared" si="25"/>
        <v>1.5</v>
      </c>
    </row>
    <row r="1633" spans="1:14">
      <c r="A1633" s="29">
        <v>43530</v>
      </c>
      <c r="B1633" s="22" t="s">
        <v>57</v>
      </c>
      <c r="C1633" s="22" t="s">
        <v>49</v>
      </c>
      <c r="D1633" s="48" t="s">
        <v>5</v>
      </c>
      <c r="E1633" t="s">
        <v>158</v>
      </c>
      <c r="F1633">
        <v>2018</v>
      </c>
      <c r="G1633" t="s">
        <v>57</v>
      </c>
      <c r="H1633" s="42">
        <v>48</v>
      </c>
      <c r="J1633" t="s">
        <v>248</v>
      </c>
      <c r="L1633" s="34">
        <v>3</v>
      </c>
      <c r="M1633" s="38">
        <v>0.75</v>
      </c>
      <c r="N1633" s="38">
        <f t="shared" si="25"/>
        <v>2.25</v>
      </c>
    </row>
    <row r="1634" spans="1:14">
      <c r="A1634" s="29">
        <v>43530</v>
      </c>
      <c r="B1634" s="22" t="s">
        <v>57</v>
      </c>
      <c r="C1634" s="22" t="s">
        <v>49</v>
      </c>
      <c r="D1634" s="48" t="s">
        <v>5</v>
      </c>
      <c r="E1634" t="s">
        <v>158</v>
      </c>
      <c r="F1634">
        <v>2018</v>
      </c>
      <c r="G1634" t="s">
        <v>57</v>
      </c>
      <c r="H1634" s="42">
        <v>329</v>
      </c>
      <c r="J1634" t="s">
        <v>248</v>
      </c>
      <c r="L1634" s="34">
        <v>3</v>
      </c>
      <c r="M1634" s="38">
        <v>0.75</v>
      </c>
      <c r="N1634" s="38">
        <f t="shared" si="25"/>
        <v>2.25</v>
      </c>
    </row>
    <row r="1635" spans="1:14">
      <c r="A1635" s="29">
        <v>43531</v>
      </c>
      <c r="B1635" s="22" t="s">
        <v>13</v>
      </c>
      <c r="C1635" s="22" t="s">
        <v>57</v>
      </c>
      <c r="D1635" s="48" t="s">
        <v>11</v>
      </c>
      <c r="E1635" t="s">
        <v>177</v>
      </c>
      <c r="F1635">
        <v>2018</v>
      </c>
      <c r="G1635" t="s">
        <v>500</v>
      </c>
      <c r="H1635" s="42" t="s">
        <v>631</v>
      </c>
      <c r="J1635" t="s">
        <v>248</v>
      </c>
      <c r="L1635" s="34">
        <v>6</v>
      </c>
      <c r="M1635" s="38">
        <v>0.75</v>
      </c>
      <c r="N1635" s="38">
        <f t="shared" si="25"/>
        <v>4.5</v>
      </c>
    </row>
    <row r="1636" spans="1:14">
      <c r="A1636" s="29">
        <v>43531</v>
      </c>
      <c r="B1636" s="22" t="s">
        <v>13</v>
      </c>
      <c r="C1636" s="22" t="s">
        <v>57</v>
      </c>
      <c r="D1636" s="48" t="s">
        <v>11</v>
      </c>
      <c r="E1636" t="s">
        <v>179</v>
      </c>
      <c r="F1636">
        <v>2018</v>
      </c>
      <c r="G1636" t="s">
        <v>500</v>
      </c>
      <c r="H1636" s="42" t="s">
        <v>341</v>
      </c>
      <c r="J1636" t="s">
        <v>248</v>
      </c>
      <c r="L1636" s="34">
        <v>6</v>
      </c>
      <c r="M1636" s="38">
        <v>0.75</v>
      </c>
      <c r="N1636" s="38">
        <f t="shared" si="25"/>
        <v>4.5</v>
      </c>
    </row>
    <row r="1637" spans="1:14">
      <c r="A1637" s="29">
        <v>43531</v>
      </c>
      <c r="B1637" s="22" t="s">
        <v>86</v>
      </c>
      <c r="C1637" s="22" t="s">
        <v>13</v>
      </c>
      <c r="D1637" s="48" t="s">
        <v>5</v>
      </c>
      <c r="E1637" t="s">
        <v>157</v>
      </c>
      <c r="F1637">
        <v>2018</v>
      </c>
      <c r="G1637" t="s">
        <v>326</v>
      </c>
      <c r="H1637" s="42">
        <v>10</v>
      </c>
      <c r="J1637" t="s">
        <v>248</v>
      </c>
      <c r="L1637" s="34">
        <v>3</v>
      </c>
      <c r="M1637" s="38">
        <v>0.75</v>
      </c>
      <c r="N1637" s="38">
        <f t="shared" si="25"/>
        <v>2.25</v>
      </c>
    </row>
    <row r="1638" spans="1:14">
      <c r="A1638" s="29">
        <v>43535</v>
      </c>
      <c r="B1638" s="22" t="s">
        <v>81</v>
      </c>
      <c r="C1638" s="22" t="s">
        <v>57</v>
      </c>
      <c r="D1638" s="48" t="s">
        <v>5</v>
      </c>
      <c r="E1638" t="s">
        <v>626</v>
      </c>
      <c r="F1638">
        <v>2018</v>
      </c>
      <c r="G1638" t="s">
        <v>57</v>
      </c>
      <c r="H1638" s="42" t="s">
        <v>57</v>
      </c>
      <c r="J1638" t="s">
        <v>248</v>
      </c>
      <c r="K1638" t="s">
        <v>632</v>
      </c>
      <c r="L1638" s="34">
        <v>6</v>
      </c>
      <c r="M1638" s="38">
        <v>0.75</v>
      </c>
      <c r="N1638" s="38">
        <f t="shared" si="25"/>
        <v>4.5</v>
      </c>
    </row>
    <row r="1639" spans="1:14">
      <c r="A1639" s="29">
        <v>43536</v>
      </c>
      <c r="B1639" s="22" t="s">
        <v>110</v>
      </c>
      <c r="C1639" s="22" t="s">
        <v>57</v>
      </c>
      <c r="D1639" s="48" t="s">
        <v>5</v>
      </c>
      <c r="E1639" t="s">
        <v>159</v>
      </c>
      <c r="F1639">
        <v>2018</v>
      </c>
      <c r="G1639" t="s">
        <v>247</v>
      </c>
      <c r="H1639" s="42">
        <v>36</v>
      </c>
      <c r="J1639" t="s">
        <v>248</v>
      </c>
      <c r="L1639" s="34">
        <v>2</v>
      </c>
      <c r="M1639" s="38">
        <v>0.75</v>
      </c>
      <c r="N1639" s="38">
        <f t="shared" si="25"/>
        <v>1.5</v>
      </c>
    </row>
    <row r="1640" spans="1:14">
      <c r="A1640" s="29">
        <v>43536</v>
      </c>
      <c r="B1640" s="22" t="s">
        <v>110</v>
      </c>
      <c r="C1640" s="22" t="s">
        <v>57</v>
      </c>
      <c r="D1640" s="48" t="s">
        <v>11</v>
      </c>
      <c r="E1640" t="s">
        <v>177</v>
      </c>
      <c r="F1640">
        <v>2018</v>
      </c>
      <c r="G1640" t="s">
        <v>57</v>
      </c>
      <c r="H1640" s="42">
        <v>134</v>
      </c>
      <c r="J1640" t="s">
        <v>248</v>
      </c>
      <c r="L1640" s="34">
        <v>2</v>
      </c>
      <c r="M1640" s="38">
        <v>0.75</v>
      </c>
      <c r="N1640" s="38">
        <f t="shared" si="25"/>
        <v>1.5</v>
      </c>
    </row>
    <row r="1641" spans="1:14">
      <c r="A1641" s="29">
        <v>43536</v>
      </c>
      <c r="B1641" s="22" t="s">
        <v>110</v>
      </c>
      <c r="C1641" s="22" t="s">
        <v>57</v>
      </c>
      <c r="D1641" s="48" t="s">
        <v>11</v>
      </c>
      <c r="E1641" t="s">
        <v>179</v>
      </c>
      <c r="F1641">
        <v>2018</v>
      </c>
      <c r="G1641" t="s">
        <v>605</v>
      </c>
      <c r="H1641" s="42">
        <v>148</v>
      </c>
      <c r="J1641" t="s">
        <v>248</v>
      </c>
      <c r="L1641" s="34">
        <v>2</v>
      </c>
      <c r="M1641" s="38">
        <v>0.75</v>
      </c>
      <c r="N1641" s="38">
        <f t="shared" si="25"/>
        <v>1.5</v>
      </c>
    </row>
    <row r="1642" spans="1:14">
      <c r="A1642" s="29">
        <v>43536</v>
      </c>
      <c r="B1642" s="22" t="s">
        <v>110</v>
      </c>
      <c r="C1642" s="22" t="s">
        <v>57</v>
      </c>
      <c r="D1642" s="48" t="s">
        <v>11</v>
      </c>
      <c r="E1642" t="s">
        <v>179</v>
      </c>
      <c r="F1642">
        <v>2018</v>
      </c>
      <c r="G1642" t="s">
        <v>606</v>
      </c>
      <c r="H1642" s="42">
        <v>144</v>
      </c>
      <c r="J1642" t="s">
        <v>248</v>
      </c>
      <c r="L1642" s="34">
        <v>2</v>
      </c>
      <c r="M1642" s="38">
        <v>0.75</v>
      </c>
      <c r="N1642" s="38">
        <f t="shared" si="25"/>
        <v>1.5</v>
      </c>
    </row>
    <row r="1643" spans="1:14">
      <c r="A1643" s="29">
        <v>43536</v>
      </c>
      <c r="B1643" s="22" t="s">
        <v>63</v>
      </c>
      <c r="C1643" s="22" t="s">
        <v>57</v>
      </c>
      <c r="D1643" s="48" t="s">
        <v>5</v>
      </c>
      <c r="E1643" t="s">
        <v>157</v>
      </c>
      <c r="F1643">
        <v>2018</v>
      </c>
      <c r="G1643" t="s">
        <v>57</v>
      </c>
      <c r="H1643" s="42">
        <v>407</v>
      </c>
      <c r="J1643" t="s">
        <v>248</v>
      </c>
      <c r="L1643" s="34">
        <v>2</v>
      </c>
      <c r="M1643" s="38">
        <v>0.75</v>
      </c>
      <c r="N1643" s="38">
        <f t="shared" si="25"/>
        <v>1.5</v>
      </c>
    </row>
    <row r="1644" spans="1:14">
      <c r="A1644" s="29">
        <v>43536</v>
      </c>
      <c r="B1644" s="22" t="s">
        <v>63</v>
      </c>
      <c r="C1644" s="22" t="s">
        <v>57</v>
      </c>
      <c r="D1644" s="48" t="s">
        <v>5</v>
      </c>
      <c r="E1644" t="s">
        <v>157</v>
      </c>
      <c r="F1644">
        <v>2018</v>
      </c>
      <c r="G1644" t="s">
        <v>57</v>
      </c>
      <c r="H1644" s="42">
        <v>85</v>
      </c>
      <c r="J1644" t="s">
        <v>248</v>
      </c>
      <c r="L1644" s="34">
        <v>2</v>
      </c>
      <c r="M1644" s="38">
        <v>0.75</v>
      </c>
      <c r="N1644" s="38">
        <f t="shared" si="25"/>
        <v>1.5</v>
      </c>
    </row>
    <row r="1645" spans="1:14">
      <c r="A1645" s="29">
        <v>43536</v>
      </c>
      <c r="B1645" s="22" t="s">
        <v>63</v>
      </c>
      <c r="C1645" s="22" t="s">
        <v>57</v>
      </c>
      <c r="D1645" s="48" t="s">
        <v>5</v>
      </c>
      <c r="E1645" t="s">
        <v>157</v>
      </c>
      <c r="F1645">
        <v>2018</v>
      </c>
      <c r="G1645" t="s">
        <v>57</v>
      </c>
      <c r="H1645" s="42" t="s">
        <v>633</v>
      </c>
      <c r="J1645" t="s">
        <v>248</v>
      </c>
      <c r="L1645" s="34">
        <v>2</v>
      </c>
      <c r="M1645" s="38">
        <v>0.75</v>
      </c>
      <c r="N1645" s="38">
        <f t="shared" si="25"/>
        <v>1.5</v>
      </c>
    </row>
    <row r="1646" spans="1:14">
      <c r="A1646" s="29">
        <v>43543</v>
      </c>
      <c r="B1646" s="22" t="s">
        <v>86</v>
      </c>
      <c r="C1646" s="22" t="s">
        <v>13</v>
      </c>
      <c r="D1646" s="48" t="s">
        <v>5</v>
      </c>
      <c r="E1646" t="s">
        <v>157</v>
      </c>
      <c r="F1646">
        <v>2018</v>
      </c>
      <c r="G1646" t="s">
        <v>326</v>
      </c>
      <c r="H1646" s="42">
        <v>10</v>
      </c>
      <c r="J1646" t="s">
        <v>248</v>
      </c>
      <c r="L1646" s="34">
        <v>6</v>
      </c>
      <c r="M1646" s="38">
        <v>0.75</v>
      </c>
      <c r="N1646" s="38">
        <f t="shared" si="25"/>
        <v>4.5</v>
      </c>
    </row>
    <row r="1647" spans="1:14">
      <c r="A1647" s="29">
        <v>43543</v>
      </c>
      <c r="B1647" s="22" t="s">
        <v>80</v>
      </c>
      <c r="C1647" s="22" t="s">
        <v>57</v>
      </c>
      <c r="D1647" s="48" t="s">
        <v>5</v>
      </c>
      <c r="E1647" t="s">
        <v>381</v>
      </c>
      <c r="F1647">
        <v>2018</v>
      </c>
      <c r="G1647" t="s">
        <v>357</v>
      </c>
      <c r="H1647" s="42" t="s">
        <v>57</v>
      </c>
      <c r="J1647" t="s">
        <v>248</v>
      </c>
      <c r="K1647" t="s">
        <v>634</v>
      </c>
      <c r="L1647" s="34">
        <v>1</v>
      </c>
      <c r="M1647" s="38">
        <v>0.75</v>
      </c>
      <c r="N1647" s="38">
        <f t="shared" si="25"/>
        <v>0.75</v>
      </c>
    </row>
    <row r="1648" spans="1:14">
      <c r="A1648" s="29">
        <v>43543</v>
      </c>
      <c r="B1648" s="22" t="s">
        <v>80</v>
      </c>
      <c r="C1648" s="22" t="s">
        <v>57</v>
      </c>
      <c r="D1648" s="48" t="s">
        <v>5</v>
      </c>
      <c r="E1648" t="s">
        <v>381</v>
      </c>
      <c r="F1648">
        <v>2018</v>
      </c>
      <c r="G1648" t="s">
        <v>359</v>
      </c>
      <c r="H1648" s="42" t="s">
        <v>57</v>
      </c>
      <c r="J1648" t="s">
        <v>248</v>
      </c>
      <c r="K1648" t="s">
        <v>635</v>
      </c>
      <c r="L1648" s="34">
        <v>1</v>
      </c>
      <c r="M1648" s="38">
        <v>0.75</v>
      </c>
      <c r="N1648" s="38">
        <f t="shared" si="25"/>
        <v>0.75</v>
      </c>
    </row>
    <row r="1649" spans="1:14">
      <c r="A1649" s="29">
        <v>43545</v>
      </c>
      <c r="B1649" s="22" t="s">
        <v>109</v>
      </c>
      <c r="C1649" s="22" t="s">
        <v>57</v>
      </c>
      <c r="D1649" s="48" t="s">
        <v>8</v>
      </c>
      <c r="E1649" t="s">
        <v>272</v>
      </c>
      <c r="F1649">
        <v>2018</v>
      </c>
      <c r="G1649" t="s">
        <v>359</v>
      </c>
      <c r="H1649" s="42">
        <v>414</v>
      </c>
      <c r="J1649" t="s">
        <v>248</v>
      </c>
      <c r="K1649" t="s">
        <v>615</v>
      </c>
      <c r="L1649" s="34">
        <v>4</v>
      </c>
      <c r="M1649" s="38">
        <v>0.75</v>
      </c>
      <c r="N1649" s="38">
        <f t="shared" si="25"/>
        <v>3</v>
      </c>
    </row>
    <row r="1650" spans="1:14">
      <c r="A1650" s="29">
        <v>43549</v>
      </c>
      <c r="B1650" s="22" t="s">
        <v>113</v>
      </c>
      <c r="C1650" s="22" t="s">
        <v>271</v>
      </c>
      <c r="D1650" s="48" t="s">
        <v>5</v>
      </c>
      <c r="E1650" t="s">
        <v>157</v>
      </c>
      <c r="F1650">
        <v>2018</v>
      </c>
      <c r="G1650" t="s">
        <v>257</v>
      </c>
      <c r="H1650" s="42">
        <v>405</v>
      </c>
      <c r="J1650" t="s">
        <v>248</v>
      </c>
      <c r="L1650" s="34">
        <v>4</v>
      </c>
      <c r="M1650" s="38">
        <v>0.75</v>
      </c>
      <c r="N1650" s="38">
        <f t="shared" si="25"/>
        <v>3</v>
      </c>
    </row>
    <row r="1651" spans="1:14">
      <c r="A1651" s="29">
        <v>43549</v>
      </c>
      <c r="B1651" s="22" t="s">
        <v>113</v>
      </c>
      <c r="C1651" s="22" t="s">
        <v>271</v>
      </c>
      <c r="D1651" s="48" t="s">
        <v>5</v>
      </c>
      <c r="E1651" t="s">
        <v>262</v>
      </c>
      <c r="F1651">
        <v>2018</v>
      </c>
      <c r="G1651" t="s">
        <v>307</v>
      </c>
      <c r="H1651" s="42">
        <v>408</v>
      </c>
      <c r="J1651" t="s">
        <v>248</v>
      </c>
      <c r="L1651" s="34">
        <v>10</v>
      </c>
      <c r="M1651" s="38">
        <v>0.75</v>
      </c>
      <c r="N1651" s="38">
        <f t="shared" si="25"/>
        <v>7.5</v>
      </c>
    </row>
    <row r="1652" spans="1:14">
      <c r="A1652" s="29">
        <v>43549</v>
      </c>
      <c r="B1652" s="22" t="s">
        <v>113</v>
      </c>
      <c r="C1652" s="22" t="s">
        <v>271</v>
      </c>
      <c r="D1652" s="48" t="s">
        <v>5</v>
      </c>
      <c r="E1652" t="s">
        <v>157</v>
      </c>
      <c r="F1652">
        <v>2018</v>
      </c>
      <c r="G1652" t="s">
        <v>305</v>
      </c>
      <c r="H1652" s="42" t="s">
        <v>57</v>
      </c>
      <c r="J1652" t="s">
        <v>248</v>
      </c>
      <c r="K1652" t="s">
        <v>636</v>
      </c>
      <c r="L1652" s="34">
        <v>3</v>
      </c>
      <c r="M1652" s="38">
        <v>0.75</v>
      </c>
      <c r="N1652" s="38">
        <f t="shared" si="25"/>
        <v>2.25</v>
      </c>
    </row>
    <row r="1653" spans="1:14">
      <c r="A1653" s="29">
        <v>43549</v>
      </c>
      <c r="B1653" s="22" t="s">
        <v>113</v>
      </c>
      <c r="C1653" s="22" t="s">
        <v>271</v>
      </c>
      <c r="D1653" s="48" t="s">
        <v>8</v>
      </c>
      <c r="E1653" t="s">
        <v>182</v>
      </c>
      <c r="F1653">
        <v>2018</v>
      </c>
      <c r="G1653" t="s">
        <v>57</v>
      </c>
      <c r="H1653" s="42">
        <v>313</v>
      </c>
      <c r="J1653" t="s">
        <v>248</v>
      </c>
      <c r="L1653" s="34">
        <v>3</v>
      </c>
      <c r="M1653" s="38">
        <v>0.75</v>
      </c>
      <c r="N1653" s="38">
        <f t="shared" si="25"/>
        <v>2.25</v>
      </c>
    </row>
    <row r="1654" spans="1:14">
      <c r="A1654" s="29">
        <v>43549</v>
      </c>
      <c r="B1654" s="22" t="s">
        <v>57</v>
      </c>
      <c r="C1654" s="22" t="s">
        <v>49</v>
      </c>
      <c r="D1654" s="48" t="s">
        <v>5</v>
      </c>
      <c r="E1654" t="s">
        <v>158</v>
      </c>
      <c r="F1654">
        <v>2018</v>
      </c>
      <c r="G1654" t="s">
        <v>57</v>
      </c>
      <c r="H1654" s="42">
        <v>48</v>
      </c>
      <c r="J1654" t="s">
        <v>248</v>
      </c>
      <c r="L1654" s="34">
        <v>3</v>
      </c>
      <c r="M1654" s="38">
        <v>0.75</v>
      </c>
      <c r="N1654" s="38">
        <f t="shared" si="25"/>
        <v>2.25</v>
      </c>
    </row>
    <row r="1655" spans="1:14">
      <c r="A1655" s="29">
        <v>43549</v>
      </c>
      <c r="B1655" s="22" t="s">
        <v>57</v>
      </c>
      <c r="C1655" s="22" t="s">
        <v>49</v>
      </c>
      <c r="D1655" s="48" t="s">
        <v>5</v>
      </c>
      <c r="E1655" t="s">
        <v>158</v>
      </c>
      <c r="F1655">
        <v>2018</v>
      </c>
      <c r="G1655" t="s">
        <v>57</v>
      </c>
      <c r="H1655" s="42">
        <v>334</v>
      </c>
      <c r="J1655" t="s">
        <v>248</v>
      </c>
      <c r="L1655" s="34">
        <v>3</v>
      </c>
      <c r="M1655" s="38">
        <v>0.75</v>
      </c>
      <c r="N1655" s="38">
        <f t="shared" si="25"/>
        <v>2.25</v>
      </c>
    </row>
    <row r="1656" spans="1:14">
      <c r="A1656" s="29">
        <v>43549</v>
      </c>
      <c r="B1656" s="22" t="s">
        <v>57</v>
      </c>
      <c r="C1656" s="22" t="s">
        <v>49</v>
      </c>
      <c r="D1656" s="48" t="s">
        <v>5</v>
      </c>
      <c r="E1656" t="s">
        <v>158</v>
      </c>
      <c r="F1656">
        <v>2018</v>
      </c>
      <c r="G1656" t="s">
        <v>57</v>
      </c>
      <c r="H1656" s="42" t="s">
        <v>473</v>
      </c>
      <c r="J1656" t="s">
        <v>248</v>
      </c>
      <c r="L1656" s="34">
        <v>3</v>
      </c>
      <c r="M1656" s="38">
        <v>0.75</v>
      </c>
      <c r="N1656" s="38">
        <f t="shared" si="25"/>
        <v>2.25</v>
      </c>
    </row>
    <row r="1657" spans="1:14">
      <c r="A1657" s="29">
        <v>43550</v>
      </c>
      <c r="B1657" s="22" t="s">
        <v>123</v>
      </c>
      <c r="C1657" s="22" t="s">
        <v>45</v>
      </c>
      <c r="D1657" s="48" t="s">
        <v>8</v>
      </c>
      <c r="E1657" t="s">
        <v>272</v>
      </c>
      <c r="F1657">
        <v>2018</v>
      </c>
      <c r="G1657" t="s">
        <v>600</v>
      </c>
      <c r="H1657" s="42">
        <v>330</v>
      </c>
      <c r="J1657" t="s">
        <v>248</v>
      </c>
      <c r="K1657" t="s">
        <v>275</v>
      </c>
      <c r="L1657" s="34">
        <v>3</v>
      </c>
      <c r="M1657" s="38">
        <v>0.75</v>
      </c>
      <c r="N1657" s="38">
        <f t="shared" si="25"/>
        <v>2.25</v>
      </c>
    </row>
    <row r="1658" spans="1:14">
      <c r="A1658" s="29">
        <v>43550</v>
      </c>
      <c r="B1658" s="22" t="s">
        <v>123</v>
      </c>
      <c r="C1658" s="22" t="s">
        <v>45</v>
      </c>
      <c r="D1658" s="48" t="s">
        <v>8</v>
      </c>
      <c r="E1658" t="s">
        <v>272</v>
      </c>
      <c r="F1658">
        <v>2018</v>
      </c>
      <c r="G1658" t="s">
        <v>357</v>
      </c>
      <c r="H1658" s="42">
        <v>416</v>
      </c>
      <c r="J1658" t="s">
        <v>248</v>
      </c>
      <c r="K1658" t="s">
        <v>273</v>
      </c>
      <c r="L1658" s="34">
        <v>3</v>
      </c>
      <c r="M1658" s="38">
        <v>0.75</v>
      </c>
      <c r="N1658" s="38">
        <f t="shared" si="25"/>
        <v>2.25</v>
      </c>
    </row>
    <row r="1659" spans="1:14">
      <c r="A1659" s="29">
        <v>43550</v>
      </c>
      <c r="B1659" s="22" t="s">
        <v>57</v>
      </c>
      <c r="C1659" s="22" t="s">
        <v>45</v>
      </c>
      <c r="D1659" s="48" t="s">
        <v>11</v>
      </c>
      <c r="E1659" t="s">
        <v>179</v>
      </c>
      <c r="F1659">
        <v>2018</v>
      </c>
      <c r="G1659" t="s">
        <v>605</v>
      </c>
      <c r="H1659" s="42">
        <v>148</v>
      </c>
      <c r="J1659" t="s">
        <v>248</v>
      </c>
      <c r="L1659" s="34">
        <v>1</v>
      </c>
      <c r="M1659" s="38">
        <v>0.75</v>
      </c>
      <c r="N1659" s="38">
        <f t="shared" si="25"/>
        <v>0.75</v>
      </c>
    </row>
    <row r="1660" spans="1:14">
      <c r="A1660" s="29">
        <v>43550</v>
      </c>
      <c r="B1660" s="22" t="s">
        <v>57</v>
      </c>
      <c r="C1660" s="22" t="s">
        <v>45</v>
      </c>
      <c r="D1660" s="48" t="s">
        <v>11</v>
      </c>
      <c r="E1660" t="s">
        <v>179</v>
      </c>
      <c r="F1660">
        <v>2018</v>
      </c>
      <c r="G1660" t="s">
        <v>606</v>
      </c>
      <c r="H1660" s="42">
        <v>149</v>
      </c>
      <c r="J1660" t="s">
        <v>248</v>
      </c>
      <c r="L1660" s="34">
        <v>1</v>
      </c>
      <c r="M1660" s="38">
        <v>0.75</v>
      </c>
      <c r="N1660" s="38">
        <f t="shared" si="25"/>
        <v>0.75</v>
      </c>
    </row>
    <row r="1661" spans="1:14">
      <c r="A1661" s="29">
        <v>43559</v>
      </c>
      <c r="B1661" s="22" t="s">
        <v>63</v>
      </c>
      <c r="C1661" s="22" t="s">
        <v>57</v>
      </c>
      <c r="D1661" s="48" t="s">
        <v>5</v>
      </c>
      <c r="E1661" t="s">
        <v>267</v>
      </c>
      <c r="F1661">
        <v>2018</v>
      </c>
      <c r="G1661" t="s">
        <v>57</v>
      </c>
      <c r="H1661" s="42">
        <v>45</v>
      </c>
      <c r="J1661" t="s">
        <v>248</v>
      </c>
      <c r="L1661" s="34">
        <v>2</v>
      </c>
      <c r="M1661" s="38">
        <v>0.75</v>
      </c>
      <c r="N1661" s="38">
        <f t="shared" si="25"/>
        <v>1.5</v>
      </c>
    </row>
    <row r="1662" spans="1:14">
      <c r="A1662" s="29">
        <v>43560</v>
      </c>
      <c r="B1662" s="22" t="s">
        <v>637</v>
      </c>
      <c r="C1662" s="22" t="s">
        <v>57</v>
      </c>
      <c r="D1662" s="48" t="s">
        <v>5</v>
      </c>
      <c r="E1662" t="s">
        <v>157</v>
      </c>
      <c r="F1662">
        <v>2018</v>
      </c>
      <c r="G1662" t="s">
        <v>57</v>
      </c>
      <c r="H1662" s="42" t="s">
        <v>57</v>
      </c>
      <c r="J1662" t="s">
        <v>248</v>
      </c>
      <c r="K1662" t="s">
        <v>330</v>
      </c>
      <c r="L1662" s="34">
        <v>3</v>
      </c>
      <c r="M1662" s="38">
        <v>0.75</v>
      </c>
      <c r="N1662" s="38">
        <f t="shared" si="25"/>
        <v>2.25</v>
      </c>
    </row>
    <row r="1663" spans="1:14">
      <c r="A1663" s="29">
        <v>43560</v>
      </c>
      <c r="B1663" s="22" t="s">
        <v>637</v>
      </c>
      <c r="C1663" s="22" t="s">
        <v>57</v>
      </c>
      <c r="D1663" s="48" t="s">
        <v>11</v>
      </c>
      <c r="E1663" t="s">
        <v>179</v>
      </c>
      <c r="F1663">
        <v>2018</v>
      </c>
      <c r="G1663" t="s">
        <v>605</v>
      </c>
      <c r="H1663" s="42">
        <v>148</v>
      </c>
      <c r="J1663" t="s">
        <v>248</v>
      </c>
      <c r="L1663" s="34">
        <v>3</v>
      </c>
      <c r="M1663" s="38">
        <v>0.75</v>
      </c>
      <c r="N1663" s="38">
        <f t="shared" si="25"/>
        <v>2.25</v>
      </c>
    </row>
    <row r="1664" spans="1:14">
      <c r="A1664" s="29">
        <v>43560</v>
      </c>
      <c r="B1664" s="22" t="s">
        <v>637</v>
      </c>
      <c r="C1664" s="22" t="s">
        <v>57</v>
      </c>
      <c r="D1664" s="48" t="s">
        <v>11</v>
      </c>
      <c r="E1664" t="s">
        <v>179</v>
      </c>
      <c r="F1664">
        <v>2018</v>
      </c>
      <c r="G1664" t="s">
        <v>606</v>
      </c>
      <c r="H1664" s="42">
        <v>130</v>
      </c>
      <c r="J1664" t="s">
        <v>248</v>
      </c>
      <c r="L1664" s="34">
        <v>3</v>
      </c>
      <c r="M1664" s="38">
        <v>0.75</v>
      </c>
      <c r="N1664" s="38">
        <f t="shared" si="25"/>
        <v>2.25</v>
      </c>
    </row>
    <row r="1665" spans="1:14">
      <c r="A1665" s="29">
        <v>43565</v>
      </c>
      <c r="B1665" s="22" t="s">
        <v>23</v>
      </c>
      <c r="C1665" s="22" t="s">
        <v>34</v>
      </c>
      <c r="D1665" s="48" t="s">
        <v>5</v>
      </c>
      <c r="E1665" t="s">
        <v>157</v>
      </c>
      <c r="F1665">
        <v>2018</v>
      </c>
      <c r="G1665" t="s">
        <v>257</v>
      </c>
      <c r="H1665" s="42">
        <v>22</v>
      </c>
      <c r="J1665" t="s">
        <v>248</v>
      </c>
      <c r="L1665" s="34">
        <v>2</v>
      </c>
      <c r="M1665" s="38">
        <v>0.75</v>
      </c>
      <c r="N1665" s="38">
        <f t="shared" si="25"/>
        <v>1.5</v>
      </c>
    </row>
    <row r="1666" spans="1:14">
      <c r="A1666" s="29">
        <v>43565</v>
      </c>
      <c r="B1666" s="22" t="s">
        <v>23</v>
      </c>
      <c r="C1666" s="22" t="s">
        <v>34</v>
      </c>
      <c r="D1666" s="48" t="s">
        <v>8</v>
      </c>
      <c r="E1666" t="s">
        <v>183</v>
      </c>
      <c r="F1666">
        <v>2018</v>
      </c>
      <c r="G1666" t="s">
        <v>359</v>
      </c>
      <c r="H1666" s="42">
        <v>332</v>
      </c>
      <c r="J1666" t="s">
        <v>248</v>
      </c>
      <c r="L1666" s="34">
        <v>2</v>
      </c>
      <c r="M1666" s="38">
        <v>0.75</v>
      </c>
      <c r="N1666" s="38">
        <f t="shared" si="25"/>
        <v>1.5</v>
      </c>
    </row>
    <row r="1667" spans="1:14">
      <c r="A1667" s="29">
        <v>43565</v>
      </c>
      <c r="B1667" s="22" t="s">
        <v>57</v>
      </c>
      <c r="C1667" s="22" t="s">
        <v>249</v>
      </c>
      <c r="D1667" s="48" t="s">
        <v>11</v>
      </c>
      <c r="E1667" t="s">
        <v>179</v>
      </c>
      <c r="F1667">
        <v>2018</v>
      </c>
      <c r="G1667" t="s">
        <v>605</v>
      </c>
      <c r="H1667" s="42">
        <v>148</v>
      </c>
      <c r="J1667" t="s">
        <v>248</v>
      </c>
      <c r="L1667" s="34">
        <v>3</v>
      </c>
      <c r="M1667" s="38">
        <v>0.75</v>
      </c>
      <c r="N1667" s="38">
        <f t="shared" ref="N1667:N1730" si="26">M1667*L1667</f>
        <v>2.25</v>
      </c>
    </row>
    <row r="1668" spans="1:14">
      <c r="A1668" s="29">
        <v>43565</v>
      </c>
      <c r="B1668" s="22" t="s">
        <v>110</v>
      </c>
      <c r="C1668" s="22" t="s">
        <v>57</v>
      </c>
      <c r="D1668" s="48" t="s">
        <v>5</v>
      </c>
      <c r="E1668" t="s">
        <v>157</v>
      </c>
      <c r="F1668">
        <v>2018</v>
      </c>
      <c r="G1668" t="s">
        <v>57</v>
      </c>
      <c r="H1668" s="42" t="s">
        <v>57</v>
      </c>
      <c r="J1668" t="s">
        <v>248</v>
      </c>
      <c r="K1668" t="s">
        <v>638</v>
      </c>
      <c r="L1668" s="34">
        <v>2</v>
      </c>
      <c r="M1668" s="38">
        <v>0.75</v>
      </c>
      <c r="N1668" s="38">
        <f t="shared" si="26"/>
        <v>1.5</v>
      </c>
    </row>
    <row r="1669" spans="1:14">
      <c r="A1669" s="29">
        <v>43565</v>
      </c>
      <c r="B1669" s="22" t="s">
        <v>110</v>
      </c>
      <c r="C1669" s="22" t="s">
        <v>57</v>
      </c>
      <c r="D1669" s="48" t="s">
        <v>5</v>
      </c>
      <c r="E1669" t="s">
        <v>159</v>
      </c>
      <c r="F1669">
        <v>2018</v>
      </c>
      <c r="G1669" t="s">
        <v>252</v>
      </c>
      <c r="H1669" s="42">
        <v>314</v>
      </c>
      <c r="J1669" t="s">
        <v>248</v>
      </c>
      <c r="L1669" s="34">
        <v>2</v>
      </c>
      <c r="M1669" s="38">
        <v>0.75</v>
      </c>
      <c r="N1669" s="38">
        <f t="shared" si="26"/>
        <v>1.5</v>
      </c>
    </row>
    <row r="1670" spans="1:14">
      <c r="A1670" s="29">
        <v>43565</v>
      </c>
      <c r="B1670" s="22" t="s">
        <v>110</v>
      </c>
      <c r="C1670" s="22" t="s">
        <v>57</v>
      </c>
      <c r="D1670" s="48" t="s">
        <v>11</v>
      </c>
      <c r="E1670" t="s">
        <v>179</v>
      </c>
      <c r="F1670">
        <v>2018</v>
      </c>
      <c r="G1670" t="s">
        <v>605</v>
      </c>
      <c r="H1670" s="42">
        <v>148</v>
      </c>
      <c r="J1670" t="s">
        <v>248</v>
      </c>
      <c r="L1670" s="34">
        <v>2</v>
      </c>
      <c r="M1670" s="38">
        <v>0.75</v>
      </c>
      <c r="N1670" s="38">
        <f t="shared" si="26"/>
        <v>1.5</v>
      </c>
    </row>
    <row r="1671" spans="1:14">
      <c r="A1671" s="29">
        <v>43565</v>
      </c>
      <c r="B1671" s="22" t="s">
        <v>110</v>
      </c>
      <c r="C1671" s="22" t="s">
        <v>57</v>
      </c>
      <c r="D1671" s="48" t="s">
        <v>11</v>
      </c>
      <c r="E1671" t="s">
        <v>179</v>
      </c>
      <c r="F1671">
        <v>2018</v>
      </c>
      <c r="G1671" t="s">
        <v>606</v>
      </c>
      <c r="H1671" s="42">
        <v>149</v>
      </c>
      <c r="J1671" t="s">
        <v>248</v>
      </c>
      <c r="L1671" s="34">
        <v>2</v>
      </c>
      <c r="M1671" s="38">
        <v>0.75</v>
      </c>
      <c r="N1671" s="38">
        <f t="shared" si="26"/>
        <v>1.5</v>
      </c>
    </row>
    <row r="1672" spans="1:14">
      <c r="A1672" s="29">
        <v>43571</v>
      </c>
      <c r="B1672" s="22" t="s">
        <v>81</v>
      </c>
      <c r="C1672" s="22" t="s">
        <v>57</v>
      </c>
      <c r="D1672" s="48" t="s">
        <v>5</v>
      </c>
      <c r="E1672" t="s">
        <v>159</v>
      </c>
      <c r="F1672">
        <v>2018</v>
      </c>
      <c r="G1672" t="s">
        <v>252</v>
      </c>
      <c r="H1672" s="42">
        <v>331</v>
      </c>
      <c r="J1672" t="s">
        <v>248</v>
      </c>
      <c r="L1672" s="34">
        <v>4</v>
      </c>
      <c r="M1672" s="38">
        <v>0.75</v>
      </c>
      <c r="N1672" s="38">
        <f t="shared" si="26"/>
        <v>3</v>
      </c>
    </row>
    <row r="1673" spans="1:14">
      <c r="A1673" s="29">
        <v>43571</v>
      </c>
      <c r="B1673" s="22" t="s">
        <v>81</v>
      </c>
      <c r="C1673" s="22" t="s">
        <v>57</v>
      </c>
      <c r="D1673" s="48" t="s">
        <v>5</v>
      </c>
      <c r="E1673" t="s">
        <v>159</v>
      </c>
      <c r="F1673">
        <v>2018</v>
      </c>
      <c r="G1673" t="s">
        <v>253</v>
      </c>
      <c r="H1673" s="42">
        <v>406</v>
      </c>
      <c r="J1673" t="s">
        <v>248</v>
      </c>
      <c r="L1673" s="34">
        <v>4</v>
      </c>
      <c r="M1673" s="38">
        <v>0.75</v>
      </c>
      <c r="N1673" s="38">
        <f t="shared" si="26"/>
        <v>3</v>
      </c>
    </row>
    <row r="1674" spans="1:14">
      <c r="A1674" s="29">
        <v>43571</v>
      </c>
      <c r="B1674" s="22" t="s">
        <v>81</v>
      </c>
      <c r="C1674" s="22" t="s">
        <v>57</v>
      </c>
      <c r="D1674" s="48" t="s">
        <v>5</v>
      </c>
      <c r="E1674" t="s">
        <v>157</v>
      </c>
      <c r="F1674">
        <v>2018</v>
      </c>
      <c r="G1674" t="s">
        <v>252</v>
      </c>
      <c r="H1674" s="42">
        <v>80</v>
      </c>
      <c r="J1674" t="s">
        <v>248</v>
      </c>
      <c r="L1674" s="34">
        <v>4</v>
      </c>
      <c r="M1674" s="38">
        <v>0.75</v>
      </c>
      <c r="N1674" s="38">
        <f t="shared" si="26"/>
        <v>3</v>
      </c>
    </row>
    <row r="1675" spans="1:14">
      <c r="A1675" s="29">
        <v>43571</v>
      </c>
      <c r="B1675" s="22" t="s">
        <v>81</v>
      </c>
      <c r="C1675" s="22" t="s">
        <v>57</v>
      </c>
      <c r="D1675" s="48" t="s">
        <v>5</v>
      </c>
      <c r="E1675" t="s">
        <v>158</v>
      </c>
      <c r="F1675">
        <v>2018</v>
      </c>
      <c r="G1675" t="s">
        <v>326</v>
      </c>
      <c r="H1675" s="42" t="s">
        <v>639</v>
      </c>
      <c r="J1675" t="s">
        <v>248</v>
      </c>
      <c r="L1675" s="34">
        <v>4</v>
      </c>
      <c r="M1675" s="38">
        <v>0.75</v>
      </c>
      <c r="N1675" s="38">
        <f t="shared" si="26"/>
        <v>3</v>
      </c>
    </row>
    <row r="1676" spans="1:14">
      <c r="A1676" s="29">
        <v>43579</v>
      </c>
      <c r="B1676" s="22" t="s">
        <v>74</v>
      </c>
      <c r="C1676" s="22" t="s">
        <v>57</v>
      </c>
      <c r="D1676" s="48" t="s">
        <v>5</v>
      </c>
      <c r="E1676" t="s">
        <v>262</v>
      </c>
      <c r="F1676">
        <v>2018</v>
      </c>
      <c r="G1676" t="s">
        <v>404</v>
      </c>
      <c r="H1676" s="42">
        <v>19</v>
      </c>
      <c r="J1676" t="s">
        <v>248</v>
      </c>
      <c r="L1676" s="34">
        <v>1</v>
      </c>
      <c r="M1676" s="38">
        <v>0.75</v>
      </c>
      <c r="N1676" s="38">
        <f t="shared" si="26"/>
        <v>0.75</v>
      </c>
    </row>
    <row r="1677" spans="1:14">
      <c r="A1677" s="29">
        <v>43585</v>
      </c>
      <c r="B1677" s="22" t="s">
        <v>81</v>
      </c>
      <c r="C1677" s="22" t="s">
        <v>57</v>
      </c>
      <c r="D1677" s="48" t="s">
        <v>5</v>
      </c>
      <c r="E1677" t="s">
        <v>157</v>
      </c>
      <c r="F1677">
        <v>2018</v>
      </c>
      <c r="G1677" t="s">
        <v>391</v>
      </c>
      <c r="H1677" s="42" t="s">
        <v>57</v>
      </c>
      <c r="J1677" t="s">
        <v>248</v>
      </c>
      <c r="L1677" s="34">
        <v>1</v>
      </c>
      <c r="M1677" s="38">
        <v>10</v>
      </c>
      <c r="N1677" s="38">
        <f t="shared" si="26"/>
        <v>10</v>
      </c>
    </row>
    <row r="1678" spans="1:14">
      <c r="A1678" s="29">
        <v>43585</v>
      </c>
      <c r="B1678" s="22" t="s">
        <v>109</v>
      </c>
      <c r="C1678" s="22" t="s">
        <v>57</v>
      </c>
      <c r="D1678" s="48" t="s">
        <v>11</v>
      </c>
      <c r="E1678" t="s">
        <v>179</v>
      </c>
      <c r="F1678">
        <v>2018</v>
      </c>
      <c r="G1678" t="s">
        <v>605</v>
      </c>
      <c r="H1678" s="42">
        <v>417</v>
      </c>
      <c r="J1678" t="s">
        <v>248</v>
      </c>
      <c r="L1678" s="34">
        <v>1</v>
      </c>
      <c r="M1678" s="38">
        <v>0.75</v>
      </c>
      <c r="N1678" s="38">
        <f t="shared" si="26"/>
        <v>0.75</v>
      </c>
    </row>
    <row r="1679" spans="1:14">
      <c r="A1679" s="29">
        <v>43585</v>
      </c>
      <c r="B1679" s="22" t="s">
        <v>109</v>
      </c>
      <c r="C1679" s="22" t="s">
        <v>57</v>
      </c>
      <c r="D1679" s="48" t="s">
        <v>11</v>
      </c>
      <c r="E1679" t="s">
        <v>179</v>
      </c>
      <c r="F1679">
        <v>2018</v>
      </c>
      <c r="G1679" t="s">
        <v>606</v>
      </c>
      <c r="H1679" s="42">
        <v>130</v>
      </c>
      <c r="J1679" t="s">
        <v>248</v>
      </c>
      <c r="L1679" s="34">
        <v>1</v>
      </c>
      <c r="M1679" s="38">
        <v>0.75</v>
      </c>
      <c r="N1679" s="38">
        <f t="shared" si="26"/>
        <v>0.75</v>
      </c>
    </row>
    <row r="1680" spans="1:14">
      <c r="A1680" s="29">
        <v>43605</v>
      </c>
      <c r="B1680" s="22" t="s">
        <v>74</v>
      </c>
      <c r="C1680" s="22" t="s">
        <v>57</v>
      </c>
      <c r="D1680" s="48" t="s">
        <v>11</v>
      </c>
      <c r="E1680" t="s">
        <v>259</v>
      </c>
      <c r="F1680">
        <v>2018</v>
      </c>
      <c r="G1680" t="s">
        <v>57</v>
      </c>
      <c r="H1680" s="42">
        <v>129</v>
      </c>
      <c r="J1680" t="s">
        <v>248</v>
      </c>
      <c r="L1680" s="34">
        <v>2</v>
      </c>
      <c r="M1680" s="38">
        <v>0.75</v>
      </c>
      <c r="N1680" s="38">
        <f t="shared" si="26"/>
        <v>1.5</v>
      </c>
    </row>
    <row r="1681" spans="1:14">
      <c r="A1681" s="29">
        <v>43605</v>
      </c>
      <c r="B1681" s="22" t="s">
        <v>74</v>
      </c>
      <c r="C1681" s="22" t="s">
        <v>57</v>
      </c>
      <c r="D1681" s="48" t="s">
        <v>11</v>
      </c>
      <c r="E1681" t="s">
        <v>259</v>
      </c>
      <c r="F1681">
        <v>2017</v>
      </c>
      <c r="G1681" t="s">
        <v>640</v>
      </c>
      <c r="H1681" s="42" t="s">
        <v>57</v>
      </c>
      <c r="J1681" t="s">
        <v>248</v>
      </c>
      <c r="L1681" s="34">
        <v>2</v>
      </c>
      <c r="M1681" s="38">
        <v>0.75</v>
      </c>
      <c r="N1681" s="38">
        <f t="shared" si="26"/>
        <v>1.5</v>
      </c>
    </row>
    <row r="1682" spans="1:14">
      <c r="A1682" s="29">
        <v>43606</v>
      </c>
      <c r="B1682" s="22" t="s">
        <v>40</v>
      </c>
      <c r="C1682" s="22" t="s">
        <v>57</v>
      </c>
      <c r="D1682" s="48" t="s">
        <v>5</v>
      </c>
      <c r="E1682" t="s">
        <v>262</v>
      </c>
      <c r="F1682">
        <v>2018</v>
      </c>
      <c r="G1682" t="s">
        <v>404</v>
      </c>
      <c r="H1682" s="42">
        <v>16</v>
      </c>
      <c r="J1682" t="s">
        <v>248</v>
      </c>
      <c r="L1682" s="34">
        <v>3</v>
      </c>
      <c r="M1682" s="38">
        <v>0.75</v>
      </c>
      <c r="N1682" s="38">
        <f t="shared" si="26"/>
        <v>2.25</v>
      </c>
    </row>
    <row r="1683" spans="1:14">
      <c r="A1683" s="29">
        <v>43606</v>
      </c>
      <c r="B1683" s="22" t="s">
        <v>40</v>
      </c>
      <c r="C1683" s="22" t="s">
        <v>57</v>
      </c>
      <c r="D1683" s="48" t="s">
        <v>5</v>
      </c>
      <c r="E1683" t="s">
        <v>157</v>
      </c>
      <c r="F1683">
        <v>2018</v>
      </c>
      <c r="G1683" t="s">
        <v>326</v>
      </c>
      <c r="H1683" s="42">
        <v>412</v>
      </c>
      <c r="J1683" t="s">
        <v>248</v>
      </c>
      <c r="L1683" s="34">
        <v>3</v>
      </c>
      <c r="M1683" s="38">
        <v>0.75</v>
      </c>
      <c r="N1683" s="38">
        <f t="shared" si="26"/>
        <v>2.25</v>
      </c>
    </row>
    <row r="1684" spans="1:14">
      <c r="A1684" s="29">
        <v>43606</v>
      </c>
      <c r="B1684" s="22" t="s">
        <v>79</v>
      </c>
      <c r="C1684" s="22" t="s">
        <v>57</v>
      </c>
      <c r="D1684" s="48" t="s">
        <v>5</v>
      </c>
      <c r="E1684" t="s">
        <v>157</v>
      </c>
      <c r="F1684">
        <v>2018</v>
      </c>
      <c r="G1684" t="s">
        <v>247</v>
      </c>
      <c r="H1684" s="42" t="s">
        <v>430</v>
      </c>
      <c r="J1684" t="s">
        <v>248</v>
      </c>
      <c r="L1684" s="34">
        <v>1</v>
      </c>
      <c r="M1684" s="38">
        <v>0.75</v>
      </c>
      <c r="N1684" s="38">
        <f t="shared" si="26"/>
        <v>0.75</v>
      </c>
    </row>
    <row r="1685" spans="1:14">
      <c r="A1685" s="29">
        <v>43606</v>
      </c>
      <c r="B1685" s="22" t="s">
        <v>79</v>
      </c>
      <c r="C1685" s="22" t="s">
        <v>57</v>
      </c>
      <c r="D1685" s="48" t="s">
        <v>5</v>
      </c>
      <c r="E1685" t="s">
        <v>262</v>
      </c>
      <c r="F1685">
        <v>2018</v>
      </c>
      <c r="G1685" t="s">
        <v>404</v>
      </c>
      <c r="H1685" s="42">
        <v>16</v>
      </c>
      <c r="J1685" t="s">
        <v>248</v>
      </c>
      <c r="L1685" s="34">
        <v>1</v>
      </c>
      <c r="M1685" s="38">
        <v>0.75</v>
      </c>
      <c r="N1685" s="38">
        <f t="shared" si="26"/>
        <v>0.75</v>
      </c>
    </row>
    <row r="1686" spans="1:14">
      <c r="A1686" s="29">
        <v>43606</v>
      </c>
      <c r="B1686" s="22" t="s">
        <v>79</v>
      </c>
      <c r="C1686" s="22" t="s">
        <v>57</v>
      </c>
      <c r="D1686" s="48" t="s">
        <v>8</v>
      </c>
      <c r="E1686" t="s">
        <v>179</v>
      </c>
      <c r="F1686">
        <v>2018</v>
      </c>
      <c r="G1686" t="s">
        <v>641</v>
      </c>
      <c r="H1686" s="42">
        <v>202</v>
      </c>
      <c r="J1686" t="s">
        <v>248</v>
      </c>
      <c r="L1686" s="34">
        <v>1</v>
      </c>
      <c r="M1686" s="38">
        <v>0.75</v>
      </c>
      <c r="N1686" s="38">
        <f t="shared" si="26"/>
        <v>0.75</v>
      </c>
    </row>
    <row r="1687" spans="1:14">
      <c r="A1687" s="29">
        <v>43606</v>
      </c>
      <c r="B1687" s="22" t="s">
        <v>79</v>
      </c>
      <c r="C1687" s="22" t="s">
        <v>57</v>
      </c>
      <c r="D1687" s="48" t="s">
        <v>5</v>
      </c>
      <c r="E1687" t="s">
        <v>159</v>
      </c>
      <c r="F1687">
        <v>2018</v>
      </c>
      <c r="G1687" t="s">
        <v>319</v>
      </c>
      <c r="H1687" s="42">
        <v>333</v>
      </c>
      <c r="J1687" t="s">
        <v>248</v>
      </c>
      <c r="K1687" t="s">
        <v>518</v>
      </c>
      <c r="L1687" s="34">
        <v>1</v>
      </c>
      <c r="M1687" s="38">
        <v>0.75</v>
      </c>
      <c r="N1687" s="38">
        <f t="shared" si="26"/>
        <v>0.75</v>
      </c>
    </row>
    <row r="1688" spans="1:14">
      <c r="A1688" s="29">
        <v>43607</v>
      </c>
      <c r="B1688" s="22" t="s">
        <v>19</v>
      </c>
      <c r="C1688" s="22" t="s">
        <v>47</v>
      </c>
      <c r="D1688" s="48" t="s">
        <v>5</v>
      </c>
      <c r="E1688" t="s">
        <v>161</v>
      </c>
      <c r="F1688">
        <v>2018</v>
      </c>
      <c r="G1688" t="s">
        <v>57</v>
      </c>
      <c r="H1688" s="42">
        <v>49</v>
      </c>
      <c r="J1688" t="s">
        <v>248</v>
      </c>
      <c r="K1688" t="s">
        <v>642</v>
      </c>
      <c r="L1688" s="34">
        <v>2</v>
      </c>
      <c r="M1688" s="38">
        <v>0.75</v>
      </c>
      <c r="N1688" s="38">
        <f t="shared" si="26"/>
        <v>1.5</v>
      </c>
    </row>
    <row r="1689" spans="1:14">
      <c r="A1689" s="29">
        <v>43609</v>
      </c>
      <c r="B1689" s="22" t="s">
        <v>123</v>
      </c>
      <c r="C1689" s="22" t="s">
        <v>45</v>
      </c>
      <c r="D1689" s="48" t="s">
        <v>8</v>
      </c>
      <c r="E1689" t="s">
        <v>273</v>
      </c>
      <c r="F1689">
        <v>2018</v>
      </c>
      <c r="G1689" t="s">
        <v>357</v>
      </c>
      <c r="H1689" s="42">
        <v>416</v>
      </c>
      <c r="J1689" t="s">
        <v>248</v>
      </c>
      <c r="L1689" s="34">
        <v>2</v>
      </c>
      <c r="M1689" s="38">
        <v>0.75</v>
      </c>
      <c r="N1689" s="38">
        <f t="shared" si="26"/>
        <v>1.5</v>
      </c>
    </row>
    <row r="1690" spans="1:14">
      <c r="A1690" s="29">
        <v>43609</v>
      </c>
      <c r="B1690" s="22" t="s">
        <v>123</v>
      </c>
      <c r="C1690" s="22" t="s">
        <v>45</v>
      </c>
      <c r="D1690" s="48" t="s">
        <v>8</v>
      </c>
      <c r="E1690" t="s">
        <v>275</v>
      </c>
      <c r="F1690">
        <v>2018</v>
      </c>
      <c r="G1690" t="s">
        <v>600</v>
      </c>
      <c r="H1690" s="42">
        <v>81</v>
      </c>
      <c r="J1690" t="s">
        <v>248</v>
      </c>
      <c r="L1690" s="34">
        <v>2</v>
      </c>
      <c r="M1690" s="38">
        <v>0.75</v>
      </c>
      <c r="N1690" s="38">
        <f t="shared" si="26"/>
        <v>1.5</v>
      </c>
    </row>
    <row r="1691" spans="1:14">
      <c r="A1691" s="29">
        <v>43612</v>
      </c>
      <c r="B1691" s="22" t="s">
        <v>81</v>
      </c>
      <c r="C1691" s="22" t="s">
        <v>57</v>
      </c>
      <c r="D1691" s="48" t="s">
        <v>5</v>
      </c>
      <c r="E1691" t="s">
        <v>157</v>
      </c>
      <c r="F1691">
        <v>2018</v>
      </c>
      <c r="G1691" t="s">
        <v>247</v>
      </c>
      <c r="H1691" s="42" t="s">
        <v>430</v>
      </c>
      <c r="J1691" t="s">
        <v>248</v>
      </c>
      <c r="L1691" s="34">
        <v>6</v>
      </c>
      <c r="M1691" s="38">
        <v>0.75</v>
      </c>
      <c r="N1691" s="38">
        <f t="shared" si="26"/>
        <v>4.5</v>
      </c>
    </row>
    <row r="1692" spans="1:14">
      <c r="A1692" s="29">
        <v>43612</v>
      </c>
      <c r="B1692" s="22" t="s">
        <v>81</v>
      </c>
      <c r="C1692" s="22" t="s">
        <v>57</v>
      </c>
      <c r="D1692" s="48" t="s">
        <v>5</v>
      </c>
      <c r="E1692" t="s">
        <v>157</v>
      </c>
      <c r="F1692">
        <v>2018</v>
      </c>
      <c r="G1692" t="s">
        <v>569</v>
      </c>
      <c r="H1692" s="42">
        <v>206</v>
      </c>
      <c r="J1692" t="s">
        <v>248</v>
      </c>
      <c r="L1692" s="34">
        <v>6</v>
      </c>
      <c r="M1692" s="38">
        <v>0.75</v>
      </c>
      <c r="N1692" s="38">
        <f t="shared" si="26"/>
        <v>4.5</v>
      </c>
    </row>
    <row r="1693" spans="1:14">
      <c r="A1693" s="29">
        <v>43623</v>
      </c>
      <c r="B1693" s="22" t="s">
        <v>63</v>
      </c>
      <c r="C1693" s="22" t="s">
        <v>57</v>
      </c>
      <c r="D1693" s="48" t="s">
        <v>11</v>
      </c>
      <c r="E1693" t="s">
        <v>179</v>
      </c>
      <c r="F1693">
        <v>2018</v>
      </c>
      <c r="G1693" t="s">
        <v>605</v>
      </c>
      <c r="H1693" s="42">
        <v>144</v>
      </c>
      <c r="J1693" t="s">
        <v>248</v>
      </c>
      <c r="L1693" s="34">
        <v>2</v>
      </c>
      <c r="M1693" s="38">
        <v>0.75</v>
      </c>
      <c r="N1693" s="38">
        <f t="shared" si="26"/>
        <v>1.5</v>
      </c>
    </row>
    <row r="1694" spans="1:14">
      <c r="A1694" s="29">
        <v>43623</v>
      </c>
      <c r="B1694" s="22" t="s">
        <v>63</v>
      </c>
      <c r="C1694" s="22" t="s">
        <v>57</v>
      </c>
      <c r="D1694" s="48" t="s">
        <v>11</v>
      </c>
      <c r="E1694" t="s">
        <v>179</v>
      </c>
      <c r="F1694">
        <v>2018</v>
      </c>
      <c r="G1694" t="s">
        <v>606</v>
      </c>
      <c r="H1694" s="42">
        <v>130</v>
      </c>
      <c r="J1694" t="s">
        <v>248</v>
      </c>
      <c r="L1694" s="34">
        <v>2</v>
      </c>
      <c r="M1694" s="38">
        <v>0.75</v>
      </c>
      <c r="N1694" s="38">
        <f t="shared" si="26"/>
        <v>1.5</v>
      </c>
    </row>
    <row r="1695" spans="1:14">
      <c r="A1695" s="29">
        <v>43629</v>
      </c>
      <c r="B1695" s="22" t="s">
        <v>110</v>
      </c>
      <c r="C1695" s="22" t="s">
        <v>57</v>
      </c>
      <c r="D1695" s="48" t="s">
        <v>5</v>
      </c>
      <c r="E1695" t="s">
        <v>255</v>
      </c>
      <c r="F1695">
        <v>2018</v>
      </c>
      <c r="G1695" t="s">
        <v>500</v>
      </c>
      <c r="H1695" s="42">
        <v>40</v>
      </c>
      <c r="J1695" t="s">
        <v>248</v>
      </c>
      <c r="L1695" s="34">
        <v>2</v>
      </c>
      <c r="M1695" s="38">
        <v>0.75</v>
      </c>
      <c r="N1695" s="38">
        <f t="shared" si="26"/>
        <v>1.5</v>
      </c>
    </row>
    <row r="1696" spans="1:14">
      <c r="A1696" s="29">
        <v>43629</v>
      </c>
      <c r="B1696" s="22" t="s">
        <v>110</v>
      </c>
      <c r="C1696" s="22" t="s">
        <v>57</v>
      </c>
      <c r="D1696" s="48" t="s">
        <v>5</v>
      </c>
      <c r="E1696" t="s">
        <v>255</v>
      </c>
      <c r="F1696">
        <v>2018</v>
      </c>
      <c r="G1696" t="s">
        <v>326</v>
      </c>
      <c r="H1696" s="42">
        <v>52</v>
      </c>
      <c r="J1696" t="s">
        <v>248</v>
      </c>
      <c r="L1696" s="34">
        <v>2</v>
      </c>
      <c r="M1696" s="38">
        <v>0.75</v>
      </c>
      <c r="N1696" s="38">
        <f t="shared" si="26"/>
        <v>1.5</v>
      </c>
    </row>
    <row r="1697" spans="1:14">
      <c r="A1697" s="29">
        <v>43629</v>
      </c>
      <c r="B1697" s="22" t="s">
        <v>40</v>
      </c>
      <c r="C1697" s="22" t="s">
        <v>57</v>
      </c>
      <c r="D1697" s="48" t="s">
        <v>5</v>
      </c>
      <c r="E1697" t="s">
        <v>157</v>
      </c>
      <c r="F1697">
        <v>2018</v>
      </c>
      <c r="G1697" t="s">
        <v>326</v>
      </c>
      <c r="H1697" s="42">
        <v>85</v>
      </c>
      <c r="J1697" t="s">
        <v>248</v>
      </c>
      <c r="L1697" s="34">
        <v>2</v>
      </c>
      <c r="M1697" s="38">
        <v>0.75</v>
      </c>
      <c r="N1697" s="38">
        <f t="shared" si="26"/>
        <v>1.5</v>
      </c>
    </row>
    <row r="1698" spans="1:14">
      <c r="A1698" s="29">
        <v>43635</v>
      </c>
      <c r="B1698" s="22" t="s">
        <v>40</v>
      </c>
      <c r="C1698" s="22" t="s">
        <v>57</v>
      </c>
      <c r="D1698" s="48" t="s">
        <v>5</v>
      </c>
      <c r="E1698" t="s">
        <v>157</v>
      </c>
      <c r="F1698">
        <v>2018</v>
      </c>
      <c r="G1698" t="s">
        <v>326</v>
      </c>
      <c r="H1698" s="42">
        <v>330</v>
      </c>
      <c r="J1698" t="s">
        <v>248</v>
      </c>
      <c r="L1698" s="34">
        <v>2</v>
      </c>
      <c r="M1698" s="38">
        <v>0.75</v>
      </c>
      <c r="N1698" s="38">
        <f t="shared" si="26"/>
        <v>1.5</v>
      </c>
    </row>
    <row r="1699" spans="1:14">
      <c r="A1699" s="29">
        <v>43635</v>
      </c>
      <c r="B1699" s="22" t="s">
        <v>63</v>
      </c>
      <c r="C1699" s="22" t="s">
        <v>57</v>
      </c>
      <c r="D1699" s="48" t="s">
        <v>5</v>
      </c>
      <c r="E1699" t="s">
        <v>267</v>
      </c>
      <c r="F1699">
        <v>2018</v>
      </c>
      <c r="G1699" t="s">
        <v>57</v>
      </c>
      <c r="H1699" s="42">
        <v>45</v>
      </c>
      <c r="J1699" t="s">
        <v>248</v>
      </c>
      <c r="L1699" s="34">
        <v>4</v>
      </c>
      <c r="M1699" s="38">
        <v>0.75</v>
      </c>
      <c r="N1699" s="38">
        <f t="shared" si="26"/>
        <v>3</v>
      </c>
    </row>
    <row r="1700" spans="1:14">
      <c r="A1700" s="29">
        <v>43635</v>
      </c>
      <c r="B1700" s="22" t="s">
        <v>643</v>
      </c>
      <c r="C1700" s="22" t="s">
        <v>249</v>
      </c>
      <c r="D1700" s="48" t="s">
        <v>11</v>
      </c>
      <c r="E1700" t="s">
        <v>179</v>
      </c>
      <c r="F1700">
        <v>2018</v>
      </c>
      <c r="G1700" t="s">
        <v>606</v>
      </c>
      <c r="H1700" s="42">
        <v>149</v>
      </c>
      <c r="J1700" t="s">
        <v>248</v>
      </c>
      <c r="L1700" s="34">
        <v>2</v>
      </c>
      <c r="M1700" s="38">
        <v>0.75</v>
      </c>
      <c r="N1700" s="38">
        <f t="shared" si="26"/>
        <v>1.5</v>
      </c>
    </row>
    <row r="1701" spans="1:14">
      <c r="A1701" s="29">
        <v>43663</v>
      </c>
      <c r="B1701" s="22" t="s">
        <v>28</v>
      </c>
      <c r="C1701" s="22" t="s">
        <v>271</v>
      </c>
      <c r="D1701" s="48" t="s">
        <v>5</v>
      </c>
      <c r="E1701" t="s">
        <v>157</v>
      </c>
      <c r="F1701">
        <v>2018</v>
      </c>
      <c r="G1701" t="s">
        <v>247</v>
      </c>
      <c r="H1701" s="42" t="s">
        <v>544</v>
      </c>
      <c r="J1701" t="s">
        <v>248</v>
      </c>
      <c r="L1701" s="34">
        <v>3</v>
      </c>
      <c r="M1701" s="38">
        <v>0.75</v>
      </c>
      <c r="N1701" s="38">
        <f t="shared" si="26"/>
        <v>2.25</v>
      </c>
    </row>
    <row r="1702" spans="1:14">
      <c r="A1702" s="29">
        <v>43663</v>
      </c>
      <c r="B1702" s="22" t="s">
        <v>28</v>
      </c>
      <c r="C1702" s="22" t="s">
        <v>271</v>
      </c>
      <c r="D1702" s="48" t="s">
        <v>5</v>
      </c>
      <c r="E1702" t="s">
        <v>157</v>
      </c>
      <c r="F1702">
        <v>2018</v>
      </c>
      <c r="G1702" t="s">
        <v>252</v>
      </c>
      <c r="H1702" s="42">
        <v>324</v>
      </c>
      <c r="J1702" t="s">
        <v>248</v>
      </c>
      <c r="L1702" s="34">
        <v>3</v>
      </c>
      <c r="M1702" s="38">
        <v>0.75</v>
      </c>
      <c r="N1702" s="38">
        <f t="shared" si="26"/>
        <v>2.25</v>
      </c>
    </row>
    <row r="1703" spans="1:14">
      <c r="A1703" s="29">
        <v>43668</v>
      </c>
      <c r="B1703" s="22" t="s">
        <v>109</v>
      </c>
      <c r="C1703" s="22" t="s">
        <v>57</v>
      </c>
      <c r="D1703" s="48" t="s">
        <v>8</v>
      </c>
      <c r="E1703" t="s">
        <v>183</v>
      </c>
      <c r="F1703">
        <v>2018</v>
      </c>
      <c r="G1703" t="s">
        <v>502</v>
      </c>
      <c r="H1703" s="42">
        <v>14</v>
      </c>
      <c r="J1703" t="s">
        <v>248</v>
      </c>
      <c r="L1703" s="34">
        <v>1</v>
      </c>
      <c r="M1703" s="38">
        <v>0.75</v>
      </c>
      <c r="N1703" s="38">
        <f t="shared" si="26"/>
        <v>0.75</v>
      </c>
    </row>
    <row r="1704" spans="1:14">
      <c r="A1704" s="29">
        <v>43670</v>
      </c>
      <c r="B1704" s="22" t="s">
        <v>78</v>
      </c>
      <c r="C1704" s="22" t="s">
        <v>41</v>
      </c>
      <c r="D1704" s="48" t="s">
        <v>5</v>
      </c>
      <c r="E1704" t="s">
        <v>157</v>
      </c>
      <c r="F1704">
        <v>2018</v>
      </c>
      <c r="G1704" t="s">
        <v>247</v>
      </c>
      <c r="H1704" s="42" t="s">
        <v>644</v>
      </c>
      <c r="J1704" t="s">
        <v>248</v>
      </c>
      <c r="L1704" s="34">
        <v>2</v>
      </c>
      <c r="M1704" s="38">
        <v>0.75</v>
      </c>
      <c r="N1704" s="38">
        <f t="shared" si="26"/>
        <v>1.5</v>
      </c>
    </row>
    <row r="1705" spans="1:14">
      <c r="A1705" s="29">
        <v>43684</v>
      </c>
      <c r="B1705" s="22" t="s">
        <v>645</v>
      </c>
      <c r="C1705" s="22" t="s">
        <v>57</v>
      </c>
      <c r="D1705" s="48" t="s">
        <v>11</v>
      </c>
      <c r="E1705" t="s">
        <v>179</v>
      </c>
      <c r="F1705">
        <v>2018</v>
      </c>
      <c r="G1705" t="s">
        <v>646</v>
      </c>
      <c r="H1705" s="42">
        <v>152</v>
      </c>
      <c r="J1705" t="s">
        <v>248</v>
      </c>
      <c r="L1705" s="34">
        <v>2</v>
      </c>
      <c r="M1705" s="38">
        <v>0.75</v>
      </c>
      <c r="N1705" s="38">
        <f t="shared" si="26"/>
        <v>1.5</v>
      </c>
    </row>
    <row r="1706" spans="1:14">
      <c r="A1706" s="29">
        <v>43684</v>
      </c>
      <c r="B1706" s="22" t="s">
        <v>40</v>
      </c>
      <c r="C1706" s="22" t="s">
        <v>57</v>
      </c>
      <c r="D1706" s="48" t="s">
        <v>5</v>
      </c>
      <c r="E1706" t="s">
        <v>157</v>
      </c>
      <c r="F1706">
        <v>2018</v>
      </c>
      <c r="G1706" t="s">
        <v>252</v>
      </c>
      <c r="H1706" s="42">
        <v>77</v>
      </c>
      <c r="J1706" t="s">
        <v>248</v>
      </c>
      <c r="L1706" s="34">
        <v>2</v>
      </c>
      <c r="M1706" s="38">
        <v>0.75</v>
      </c>
      <c r="N1706" s="38">
        <f t="shared" si="26"/>
        <v>1.5</v>
      </c>
    </row>
    <row r="1707" spans="1:14">
      <c r="A1707" s="29">
        <v>43747</v>
      </c>
      <c r="B1707" s="22" t="s">
        <v>60</v>
      </c>
      <c r="C1707" s="22" t="s">
        <v>53</v>
      </c>
      <c r="D1707" s="48" t="s">
        <v>8</v>
      </c>
      <c r="E1707" t="s">
        <v>179</v>
      </c>
      <c r="F1707">
        <v>2019</v>
      </c>
      <c r="G1707" t="s">
        <v>57</v>
      </c>
      <c r="H1707" s="42">
        <v>199</v>
      </c>
      <c r="J1707" t="s">
        <v>248</v>
      </c>
      <c r="L1707" s="34">
        <v>2</v>
      </c>
      <c r="M1707" s="38">
        <v>0.75</v>
      </c>
      <c r="N1707" s="38">
        <f t="shared" si="26"/>
        <v>1.5</v>
      </c>
    </row>
    <row r="1708" spans="1:14">
      <c r="A1708" s="29">
        <v>43747</v>
      </c>
      <c r="B1708" s="22" t="s">
        <v>57</v>
      </c>
      <c r="C1708" s="22" t="s">
        <v>22</v>
      </c>
      <c r="D1708" s="48" t="s">
        <v>5</v>
      </c>
      <c r="E1708" t="s">
        <v>157</v>
      </c>
      <c r="F1708">
        <v>2019</v>
      </c>
      <c r="G1708" t="s">
        <v>326</v>
      </c>
      <c r="H1708" s="42" t="s">
        <v>57</v>
      </c>
      <c r="J1708" t="s">
        <v>248</v>
      </c>
      <c r="L1708" s="34">
        <v>1</v>
      </c>
      <c r="M1708" s="38">
        <v>0.75</v>
      </c>
      <c r="N1708" s="38">
        <f t="shared" si="26"/>
        <v>0.75</v>
      </c>
    </row>
    <row r="1709" spans="1:14">
      <c r="A1709" s="29">
        <v>43747</v>
      </c>
      <c r="B1709" s="22" t="s">
        <v>57</v>
      </c>
      <c r="C1709" s="22" t="s">
        <v>22</v>
      </c>
      <c r="D1709" s="48" t="s">
        <v>5</v>
      </c>
      <c r="E1709" t="s">
        <v>157</v>
      </c>
      <c r="F1709">
        <v>2019</v>
      </c>
      <c r="G1709" t="s">
        <v>247</v>
      </c>
      <c r="H1709" s="42" t="s">
        <v>57</v>
      </c>
      <c r="J1709" t="s">
        <v>248</v>
      </c>
      <c r="L1709" s="34">
        <v>1</v>
      </c>
      <c r="M1709" s="38">
        <v>0.75</v>
      </c>
      <c r="N1709" s="38">
        <f t="shared" si="26"/>
        <v>0.75</v>
      </c>
    </row>
    <row r="1710" spans="1:14">
      <c r="A1710" s="29">
        <v>43748</v>
      </c>
      <c r="B1710" s="22" t="s">
        <v>63</v>
      </c>
      <c r="C1710" s="22" t="s">
        <v>57</v>
      </c>
      <c r="D1710" s="48" t="s">
        <v>5</v>
      </c>
      <c r="E1710" t="s">
        <v>159</v>
      </c>
      <c r="F1710">
        <v>2019</v>
      </c>
      <c r="G1710" t="s">
        <v>319</v>
      </c>
      <c r="H1710" s="42" t="s">
        <v>57</v>
      </c>
      <c r="J1710" t="s">
        <v>248</v>
      </c>
      <c r="L1710" s="34">
        <v>2</v>
      </c>
      <c r="M1710" s="38">
        <v>0.75</v>
      </c>
      <c r="N1710" s="38">
        <f t="shared" si="26"/>
        <v>1.5</v>
      </c>
    </row>
    <row r="1711" spans="1:14">
      <c r="A1711" s="29">
        <v>43748</v>
      </c>
      <c r="B1711" s="22" t="s">
        <v>63</v>
      </c>
      <c r="C1711" s="22" t="s">
        <v>57</v>
      </c>
      <c r="D1711" s="48" t="s">
        <v>5</v>
      </c>
      <c r="E1711" t="s">
        <v>159</v>
      </c>
      <c r="F1711">
        <v>2019</v>
      </c>
      <c r="G1711" t="s">
        <v>326</v>
      </c>
      <c r="H1711" s="42" t="s">
        <v>57</v>
      </c>
      <c r="J1711" t="s">
        <v>248</v>
      </c>
      <c r="L1711" s="34">
        <v>2</v>
      </c>
      <c r="M1711" s="38">
        <v>0.75</v>
      </c>
      <c r="N1711" s="38">
        <f t="shared" si="26"/>
        <v>1.5</v>
      </c>
    </row>
    <row r="1712" spans="1:14">
      <c r="A1712" s="29">
        <v>43748</v>
      </c>
      <c r="B1712" s="22" t="s">
        <v>63</v>
      </c>
      <c r="C1712" s="22" t="s">
        <v>57</v>
      </c>
      <c r="D1712" s="48" t="s">
        <v>5</v>
      </c>
      <c r="E1712" t="s">
        <v>159</v>
      </c>
      <c r="F1712">
        <v>2019</v>
      </c>
      <c r="G1712" t="s">
        <v>247</v>
      </c>
      <c r="H1712" s="42" t="s">
        <v>57</v>
      </c>
      <c r="J1712" t="s">
        <v>248</v>
      </c>
      <c r="L1712" s="34">
        <v>2</v>
      </c>
      <c r="M1712" s="38">
        <v>0.75</v>
      </c>
      <c r="N1712" s="38">
        <f t="shared" si="26"/>
        <v>1.5</v>
      </c>
    </row>
    <row r="1713" spans="1:14">
      <c r="A1713" s="29">
        <v>43752</v>
      </c>
      <c r="B1713" s="22" t="s">
        <v>63</v>
      </c>
      <c r="C1713" s="22" t="s">
        <v>57</v>
      </c>
      <c r="D1713" s="48" t="s">
        <v>5</v>
      </c>
      <c r="E1713" t="s">
        <v>157</v>
      </c>
      <c r="F1713">
        <v>2019</v>
      </c>
      <c r="G1713" t="s">
        <v>319</v>
      </c>
      <c r="H1713" s="42" t="s">
        <v>57</v>
      </c>
      <c r="J1713" t="s">
        <v>248</v>
      </c>
      <c r="L1713" s="34">
        <v>4</v>
      </c>
      <c r="M1713" s="38">
        <v>0.75</v>
      </c>
      <c r="N1713" s="38">
        <f t="shared" si="26"/>
        <v>3</v>
      </c>
    </row>
    <row r="1714" spans="1:14">
      <c r="A1714" s="29">
        <v>43752</v>
      </c>
      <c r="B1714" s="22" t="s">
        <v>63</v>
      </c>
      <c r="C1714" s="22" t="s">
        <v>57</v>
      </c>
      <c r="D1714" s="48" t="s">
        <v>5</v>
      </c>
      <c r="E1714" t="s">
        <v>157</v>
      </c>
      <c r="F1714">
        <v>2019</v>
      </c>
      <c r="G1714" t="s">
        <v>326</v>
      </c>
      <c r="H1714" s="42" t="s">
        <v>57</v>
      </c>
      <c r="J1714" t="s">
        <v>248</v>
      </c>
      <c r="L1714" s="34">
        <v>4</v>
      </c>
      <c r="M1714" s="38">
        <v>0.75</v>
      </c>
      <c r="N1714" s="38">
        <f t="shared" si="26"/>
        <v>3</v>
      </c>
    </row>
    <row r="1715" spans="1:14">
      <c r="A1715" s="29">
        <v>43752</v>
      </c>
      <c r="B1715" s="22" t="s">
        <v>63</v>
      </c>
      <c r="C1715" s="22" t="s">
        <v>57</v>
      </c>
      <c r="D1715" s="48" t="s">
        <v>5</v>
      </c>
      <c r="E1715" t="s">
        <v>157</v>
      </c>
      <c r="F1715">
        <v>2019</v>
      </c>
      <c r="G1715" t="s">
        <v>247</v>
      </c>
      <c r="H1715" s="42" t="s">
        <v>57</v>
      </c>
      <c r="J1715" t="s">
        <v>248</v>
      </c>
      <c r="L1715" s="34">
        <v>4</v>
      </c>
      <c r="M1715" s="38">
        <v>0.75</v>
      </c>
      <c r="N1715" s="38">
        <f t="shared" si="26"/>
        <v>3</v>
      </c>
    </row>
    <row r="1716" spans="1:14">
      <c r="A1716" s="29">
        <v>43752</v>
      </c>
      <c r="B1716" s="22" t="s">
        <v>63</v>
      </c>
      <c r="C1716" s="22" t="s">
        <v>57</v>
      </c>
      <c r="D1716" s="48" t="s">
        <v>5</v>
      </c>
      <c r="E1716" t="s">
        <v>159</v>
      </c>
      <c r="F1716">
        <v>2019</v>
      </c>
      <c r="G1716" t="s">
        <v>247</v>
      </c>
      <c r="H1716" s="42" t="s">
        <v>57</v>
      </c>
      <c r="J1716" t="s">
        <v>248</v>
      </c>
      <c r="L1716" s="34">
        <v>4</v>
      </c>
      <c r="M1716" s="38">
        <v>0.75</v>
      </c>
      <c r="N1716" s="38">
        <f t="shared" si="26"/>
        <v>3</v>
      </c>
    </row>
    <row r="1717" spans="1:14">
      <c r="A1717" s="29">
        <v>43752</v>
      </c>
      <c r="B1717" s="22" t="s">
        <v>63</v>
      </c>
      <c r="C1717" s="22" t="s">
        <v>57</v>
      </c>
      <c r="D1717" s="48" t="s">
        <v>5</v>
      </c>
      <c r="E1717" t="s">
        <v>159</v>
      </c>
      <c r="F1717">
        <v>2019</v>
      </c>
      <c r="G1717" t="s">
        <v>319</v>
      </c>
      <c r="H1717" s="42" t="s">
        <v>57</v>
      </c>
      <c r="J1717" t="s">
        <v>248</v>
      </c>
      <c r="L1717" s="34">
        <v>4</v>
      </c>
      <c r="M1717" s="38">
        <v>0.75</v>
      </c>
      <c r="N1717" s="38">
        <f t="shared" si="26"/>
        <v>3</v>
      </c>
    </row>
    <row r="1718" spans="1:14">
      <c r="A1718" s="29">
        <v>43752</v>
      </c>
      <c r="B1718" s="22" t="s">
        <v>63</v>
      </c>
      <c r="C1718" s="22" t="s">
        <v>57</v>
      </c>
      <c r="D1718" s="48" t="s">
        <v>5</v>
      </c>
      <c r="E1718" t="s">
        <v>159</v>
      </c>
      <c r="F1718">
        <v>2019</v>
      </c>
      <c r="G1718" t="s">
        <v>326</v>
      </c>
      <c r="H1718" s="42" t="s">
        <v>57</v>
      </c>
      <c r="J1718" t="s">
        <v>248</v>
      </c>
      <c r="L1718" s="34">
        <v>4</v>
      </c>
      <c r="M1718" s="38">
        <v>0.75</v>
      </c>
      <c r="N1718" s="38">
        <f t="shared" si="26"/>
        <v>3</v>
      </c>
    </row>
    <row r="1719" spans="1:14">
      <c r="A1719" s="29">
        <v>43752</v>
      </c>
      <c r="B1719" s="22" t="s">
        <v>57</v>
      </c>
      <c r="C1719" s="22" t="s">
        <v>45</v>
      </c>
      <c r="D1719" s="48" t="s">
        <v>5</v>
      </c>
      <c r="E1719" t="s">
        <v>157</v>
      </c>
      <c r="F1719">
        <v>2019</v>
      </c>
      <c r="G1719" t="s">
        <v>319</v>
      </c>
      <c r="H1719" s="42" t="s">
        <v>57</v>
      </c>
      <c r="J1719" t="s">
        <v>248</v>
      </c>
      <c r="L1719" s="34">
        <v>3</v>
      </c>
      <c r="M1719" s="38">
        <v>0.75</v>
      </c>
      <c r="N1719" s="38">
        <f t="shared" si="26"/>
        <v>2.25</v>
      </c>
    </row>
    <row r="1720" spans="1:14">
      <c r="A1720" s="29">
        <v>43752</v>
      </c>
      <c r="B1720" s="22" t="s">
        <v>57</v>
      </c>
      <c r="C1720" s="22" t="s">
        <v>45</v>
      </c>
      <c r="D1720" s="48" t="s">
        <v>5</v>
      </c>
      <c r="E1720" t="s">
        <v>157</v>
      </c>
      <c r="F1720">
        <v>2019</v>
      </c>
      <c r="G1720" t="s">
        <v>326</v>
      </c>
      <c r="H1720" s="42" t="s">
        <v>57</v>
      </c>
      <c r="J1720" t="s">
        <v>248</v>
      </c>
      <c r="L1720" s="34">
        <v>3</v>
      </c>
      <c r="M1720" s="38">
        <v>0.75</v>
      </c>
      <c r="N1720" s="38">
        <f t="shared" si="26"/>
        <v>2.25</v>
      </c>
    </row>
    <row r="1721" spans="1:14">
      <c r="A1721" s="29">
        <v>43752</v>
      </c>
      <c r="B1721" s="22" t="s">
        <v>57</v>
      </c>
      <c r="C1721" s="22" t="s">
        <v>45</v>
      </c>
      <c r="D1721" s="48" t="s">
        <v>5</v>
      </c>
      <c r="E1721" t="s">
        <v>157</v>
      </c>
      <c r="F1721">
        <v>2019</v>
      </c>
      <c r="G1721" t="s">
        <v>247</v>
      </c>
      <c r="H1721" s="42" t="s">
        <v>57</v>
      </c>
      <c r="J1721" t="s">
        <v>248</v>
      </c>
      <c r="L1721" s="34">
        <v>3</v>
      </c>
      <c r="M1721" s="38">
        <v>0.75</v>
      </c>
      <c r="N1721" s="38">
        <f t="shared" si="26"/>
        <v>2.25</v>
      </c>
    </row>
    <row r="1722" spans="1:14">
      <c r="A1722" s="29">
        <v>43752</v>
      </c>
      <c r="B1722" s="22" t="s">
        <v>57</v>
      </c>
      <c r="C1722" s="22" t="s">
        <v>45</v>
      </c>
      <c r="D1722" s="48" t="s">
        <v>5</v>
      </c>
      <c r="E1722" t="s">
        <v>159</v>
      </c>
      <c r="F1722">
        <v>2019</v>
      </c>
      <c r="G1722" t="s">
        <v>247</v>
      </c>
      <c r="H1722" s="42" t="s">
        <v>57</v>
      </c>
      <c r="J1722" t="s">
        <v>248</v>
      </c>
      <c r="L1722" s="34">
        <v>3</v>
      </c>
      <c r="M1722" s="38">
        <v>0.75</v>
      </c>
      <c r="N1722" s="38">
        <f t="shared" si="26"/>
        <v>2.25</v>
      </c>
    </row>
    <row r="1723" spans="1:14">
      <c r="A1723" s="29">
        <v>43752</v>
      </c>
      <c r="B1723" s="22" t="s">
        <v>57</v>
      </c>
      <c r="C1723" s="22" t="s">
        <v>45</v>
      </c>
      <c r="D1723" s="48" t="s">
        <v>5</v>
      </c>
      <c r="E1723" t="s">
        <v>159</v>
      </c>
      <c r="F1723">
        <v>2019</v>
      </c>
      <c r="G1723" t="s">
        <v>319</v>
      </c>
      <c r="H1723" s="42" t="s">
        <v>57</v>
      </c>
      <c r="J1723" t="s">
        <v>248</v>
      </c>
      <c r="L1723" s="34">
        <v>3</v>
      </c>
      <c r="M1723" s="38">
        <v>0.75</v>
      </c>
      <c r="N1723" s="38">
        <f t="shared" si="26"/>
        <v>2.25</v>
      </c>
    </row>
    <row r="1724" spans="1:14">
      <c r="A1724" s="29">
        <v>43752</v>
      </c>
      <c r="B1724" s="22" t="s">
        <v>57</v>
      </c>
      <c r="C1724" s="22" t="s">
        <v>45</v>
      </c>
      <c r="D1724" s="48" t="s">
        <v>5</v>
      </c>
      <c r="E1724" t="s">
        <v>159</v>
      </c>
      <c r="F1724">
        <v>2019</v>
      </c>
      <c r="G1724" t="s">
        <v>326</v>
      </c>
      <c r="H1724" s="42" t="s">
        <v>57</v>
      </c>
      <c r="J1724" t="s">
        <v>248</v>
      </c>
      <c r="L1724" s="34">
        <v>3</v>
      </c>
      <c r="M1724" s="38">
        <v>0.75</v>
      </c>
      <c r="N1724" s="38">
        <f t="shared" si="26"/>
        <v>2.25</v>
      </c>
    </row>
    <row r="1725" spans="1:14">
      <c r="A1725" s="29">
        <v>43752</v>
      </c>
      <c r="B1725" s="22" t="s">
        <v>63</v>
      </c>
      <c r="C1725" s="22" t="s">
        <v>57</v>
      </c>
      <c r="D1725" s="48" t="s">
        <v>5</v>
      </c>
      <c r="E1725" t="s">
        <v>262</v>
      </c>
      <c r="F1725">
        <v>2019</v>
      </c>
      <c r="G1725" t="s">
        <v>57</v>
      </c>
      <c r="H1725" s="42">
        <v>198</v>
      </c>
      <c r="J1725" t="s">
        <v>248</v>
      </c>
      <c r="L1725" s="34">
        <v>2</v>
      </c>
      <c r="M1725" s="38">
        <v>0.75</v>
      </c>
      <c r="N1725" s="38">
        <f t="shared" si="26"/>
        <v>1.5</v>
      </c>
    </row>
    <row r="1726" spans="1:14">
      <c r="A1726" s="29">
        <v>43752</v>
      </c>
      <c r="B1726" s="22" t="s">
        <v>63</v>
      </c>
      <c r="C1726" s="22" t="s">
        <v>57</v>
      </c>
      <c r="D1726" s="48" t="s">
        <v>5</v>
      </c>
      <c r="E1726" t="s">
        <v>262</v>
      </c>
      <c r="F1726">
        <v>2019</v>
      </c>
      <c r="G1726" t="s">
        <v>57</v>
      </c>
      <c r="H1726" s="42">
        <v>197</v>
      </c>
      <c r="J1726" t="s">
        <v>248</v>
      </c>
      <c r="L1726" s="34">
        <v>2</v>
      </c>
      <c r="M1726" s="38">
        <v>0.75</v>
      </c>
      <c r="N1726" s="38">
        <f t="shared" si="26"/>
        <v>1.5</v>
      </c>
    </row>
    <row r="1727" spans="1:14">
      <c r="A1727" s="29">
        <v>43752</v>
      </c>
      <c r="B1727" s="22" t="s">
        <v>647</v>
      </c>
      <c r="C1727" s="22" t="s">
        <v>57</v>
      </c>
      <c r="D1727" s="48" t="s">
        <v>5</v>
      </c>
      <c r="E1727" t="s">
        <v>157</v>
      </c>
      <c r="F1727">
        <v>2019</v>
      </c>
      <c r="G1727" t="s">
        <v>319</v>
      </c>
      <c r="H1727" s="42" t="s">
        <v>57</v>
      </c>
      <c r="J1727" t="s">
        <v>248</v>
      </c>
      <c r="L1727" s="34">
        <v>4</v>
      </c>
      <c r="M1727" s="38">
        <v>0.75</v>
      </c>
      <c r="N1727" s="38">
        <f t="shared" si="26"/>
        <v>3</v>
      </c>
    </row>
    <row r="1728" spans="1:14">
      <c r="A1728" s="29">
        <v>43752</v>
      </c>
      <c r="B1728" s="22" t="s">
        <v>647</v>
      </c>
      <c r="C1728" s="22" t="s">
        <v>57</v>
      </c>
      <c r="D1728" s="48" t="s">
        <v>5</v>
      </c>
      <c r="E1728" t="s">
        <v>157</v>
      </c>
      <c r="F1728">
        <v>2019</v>
      </c>
      <c r="G1728" t="s">
        <v>326</v>
      </c>
      <c r="H1728" s="42" t="s">
        <v>57</v>
      </c>
      <c r="J1728" t="s">
        <v>248</v>
      </c>
      <c r="L1728" s="34">
        <v>4</v>
      </c>
      <c r="M1728" s="38">
        <v>0.75</v>
      </c>
      <c r="N1728" s="38">
        <f t="shared" si="26"/>
        <v>3</v>
      </c>
    </row>
    <row r="1729" spans="1:14">
      <c r="A1729" s="29">
        <v>43752</v>
      </c>
      <c r="B1729" s="22" t="s">
        <v>647</v>
      </c>
      <c r="C1729" s="22" t="s">
        <v>57</v>
      </c>
      <c r="D1729" s="48" t="s">
        <v>5</v>
      </c>
      <c r="E1729" t="s">
        <v>157</v>
      </c>
      <c r="F1729">
        <v>2019</v>
      </c>
      <c r="G1729" t="s">
        <v>247</v>
      </c>
      <c r="H1729" s="42" t="s">
        <v>57</v>
      </c>
      <c r="J1729" t="s">
        <v>248</v>
      </c>
      <c r="L1729" s="34">
        <v>4</v>
      </c>
      <c r="M1729" s="38">
        <v>0.75</v>
      </c>
      <c r="N1729" s="38">
        <f t="shared" si="26"/>
        <v>3</v>
      </c>
    </row>
    <row r="1730" spans="1:14">
      <c r="A1730" s="29">
        <v>43752</v>
      </c>
      <c r="B1730" s="22" t="s">
        <v>647</v>
      </c>
      <c r="C1730" s="22" t="s">
        <v>57</v>
      </c>
      <c r="D1730" s="48" t="s">
        <v>5</v>
      </c>
      <c r="E1730" t="s">
        <v>159</v>
      </c>
      <c r="F1730">
        <v>2019</v>
      </c>
      <c r="G1730" t="s">
        <v>247</v>
      </c>
      <c r="H1730" s="42" t="s">
        <v>57</v>
      </c>
      <c r="J1730" t="s">
        <v>248</v>
      </c>
      <c r="L1730" s="34">
        <v>4</v>
      </c>
      <c r="M1730" s="38">
        <v>0.75</v>
      </c>
      <c r="N1730" s="38">
        <f t="shared" si="26"/>
        <v>3</v>
      </c>
    </row>
    <row r="1731" spans="1:14">
      <c r="A1731" s="29">
        <v>43752</v>
      </c>
      <c r="B1731" s="22" t="s">
        <v>647</v>
      </c>
      <c r="C1731" s="22" t="s">
        <v>57</v>
      </c>
      <c r="D1731" s="48" t="s">
        <v>5</v>
      </c>
      <c r="E1731" t="s">
        <v>159</v>
      </c>
      <c r="F1731">
        <v>2019</v>
      </c>
      <c r="G1731" t="s">
        <v>319</v>
      </c>
      <c r="H1731" s="42" t="s">
        <v>57</v>
      </c>
      <c r="J1731" t="s">
        <v>248</v>
      </c>
      <c r="L1731" s="34">
        <v>4</v>
      </c>
      <c r="M1731" s="38">
        <v>0.75</v>
      </c>
      <c r="N1731" s="38">
        <f t="shared" ref="N1731:N1794" si="27">M1731*L1731</f>
        <v>3</v>
      </c>
    </row>
    <row r="1732" spans="1:14">
      <c r="A1732" s="29">
        <v>43752</v>
      </c>
      <c r="B1732" s="22" t="s">
        <v>647</v>
      </c>
      <c r="C1732" s="22" t="s">
        <v>57</v>
      </c>
      <c r="D1732" s="48" t="s">
        <v>5</v>
      </c>
      <c r="E1732" t="s">
        <v>159</v>
      </c>
      <c r="F1732">
        <v>2019</v>
      </c>
      <c r="G1732" t="s">
        <v>326</v>
      </c>
      <c r="H1732" s="42" t="s">
        <v>57</v>
      </c>
      <c r="J1732" t="s">
        <v>248</v>
      </c>
      <c r="L1732" s="34">
        <v>4</v>
      </c>
      <c r="M1732" s="38">
        <v>0.75</v>
      </c>
      <c r="N1732" s="38">
        <f t="shared" si="27"/>
        <v>3</v>
      </c>
    </row>
    <row r="1733" spans="1:14">
      <c r="A1733" s="29">
        <v>43754</v>
      </c>
      <c r="B1733" s="22" t="s">
        <v>81</v>
      </c>
      <c r="C1733" s="22" t="s">
        <v>57</v>
      </c>
      <c r="D1733" s="48" t="s">
        <v>5</v>
      </c>
      <c r="E1733" t="s">
        <v>159</v>
      </c>
      <c r="F1733">
        <v>2019</v>
      </c>
      <c r="G1733" t="s">
        <v>247</v>
      </c>
      <c r="H1733" s="42" t="s">
        <v>57</v>
      </c>
      <c r="J1733" t="s">
        <v>248</v>
      </c>
      <c r="L1733" s="34">
        <v>1</v>
      </c>
      <c r="M1733" s="38">
        <v>0.75</v>
      </c>
      <c r="N1733" s="38">
        <f t="shared" si="27"/>
        <v>0.75</v>
      </c>
    </row>
    <row r="1734" spans="1:14">
      <c r="A1734" s="29">
        <v>43754</v>
      </c>
      <c r="B1734" s="22" t="s">
        <v>81</v>
      </c>
      <c r="C1734" s="22" t="s">
        <v>57</v>
      </c>
      <c r="D1734" s="48" t="s">
        <v>5</v>
      </c>
      <c r="E1734" t="s">
        <v>159</v>
      </c>
      <c r="F1734">
        <v>2019</v>
      </c>
      <c r="G1734" t="s">
        <v>319</v>
      </c>
      <c r="H1734" s="42" t="s">
        <v>57</v>
      </c>
      <c r="J1734" t="s">
        <v>248</v>
      </c>
      <c r="L1734" s="34">
        <v>1</v>
      </c>
      <c r="M1734" s="38">
        <v>0.75</v>
      </c>
      <c r="N1734" s="38">
        <f t="shared" si="27"/>
        <v>0.75</v>
      </c>
    </row>
    <row r="1735" spans="1:14">
      <c r="A1735" s="29">
        <v>43754</v>
      </c>
      <c r="B1735" s="22" t="s">
        <v>81</v>
      </c>
      <c r="C1735" s="22" t="s">
        <v>57</v>
      </c>
      <c r="D1735" s="48" t="s">
        <v>5</v>
      </c>
      <c r="E1735" t="s">
        <v>159</v>
      </c>
      <c r="F1735">
        <v>2019</v>
      </c>
      <c r="G1735" t="s">
        <v>326</v>
      </c>
      <c r="H1735" s="42" t="s">
        <v>57</v>
      </c>
      <c r="J1735" t="s">
        <v>248</v>
      </c>
      <c r="L1735" s="34">
        <v>1</v>
      </c>
      <c r="M1735" s="38">
        <v>0.75</v>
      </c>
      <c r="N1735" s="38">
        <f t="shared" si="27"/>
        <v>0.75</v>
      </c>
    </row>
    <row r="1736" spans="1:14">
      <c r="A1736" s="29">
        <v>43754</v>
      </c>
      <c r="B1736" s="22" t="s">
        <v>81</v>
      </c>
      <c r="C1736" s="22" t="s">
        <v>57</v>
      </c>
      <c r="D1736" s="48" t="s">
        <v>5</v>
      </c>
      <c r="E1736" t="s">
        <v>157</v>
      </c>
      <c r="F1736">
        <v>2019</v>
      </c>
      <c r="G1736" t="s">
        <v>319</v>
      </c>
      <c r="H1736" s="42" t="s">
        <v>57</v>
      </c>
      <c r="J1736" t="s">
        <v>248</v>
      </c>
      <c r="L1736" s="34">
        <v>1</v>
      </c>
      <c r="M1736" s="38">
        <v>0.75</v>
      </c>
      <c r="N1736" s="38">
        <f t="shared" si="27"/>
        <v>0.75</v>
      </c>
    </row>
    <row r="1737" spans="1:14">
      <c r="A1737" s="29">
        <v>43754</v>
      </c>
      <c r="B1737" s="22" t="s">
        <v>81</v>
      </c>
      <c r="C1737" s="22" t="s">
        <v>57</v>
      </c>
      <c r="D1737" s="48" t="s">
        <v>5</v>
      </c>
      <c r="E1737" t="s">
        <v>157</v>
      </c>
      <c r="F1737">
        <v>2019</v>
      </c>
      <c r="G1737" t="s">
        <v>326</v>
      </c>
      <c r="H1737" s="42" t="s">
        <v>57</v>
      </c>
      <c r="J1737" t="s">
        <v>248</v>
      </c>
      <c r="L1737" s="34">
        <v>1</v>
      </c>
      <c r="M1737" s="38">
        <v>0.75</v>
      </c>
      <c r="N1737" s="38">
        <f t="shared" si="27"/>
        <v>0.75</v>
      </c>
    </row>
    <row r="1738" spans="1:14">
      <c r="A1738" s="29">
        <v>43754</v>
      </c>
      <c r="B1738" s="22" t="s">
        <v>81</v>
      </c>
      <c r="C1738" s="22" t="s">
        <v>57</v>
      </c>
      <c r="D1738" s="48" t="s">
        <v>5</v>
      </c>
      <c r="E1738" t="s">
        <v>157</v>
      </c>
      <c r="F1738">
        <v>2019</v>
      </c>
      <c r="G1738" t="s">
        <v>247</v>
      </c>
      <c r="H1738" s="42" t="s">
        <v>57</v>
      </c>
      <c r="J1738" t="s">
        <v>248</v>
      </c>
      <c r="L1738" s="34">
        <v>1</v>
      </c>
      <c r="M1738" s="38">
        <v>0.75</v>
      </c>
      <c r="N1738" s="38">
        <f t="shared" si="27"/>
        <v>0.75</v>
      </c>
    </row>
    <row r="1739" spans="1:14">
      <c r="A1739" s="29">
        <v>43754</v>
      </c>
      <c r="B1739" s="22" t="s">
        <v>50</v>
      </c>
      <c r="C1739" s="22" t="s">
        <v>57</v>
      </c>
      <c r="D1739" s="48" t="s">
        <v>5</v>
      </c>
      <c r="E1739" t="s">
        <v>159</v>
      </c>
      <c r="F1739">
        <v>2019</v>
      </c>
      <c r="G1739" t="s">
        <v>247</v>
      </c>
      <c r="H1739" s="42" t="s">
        <v>57</v>
      </c>
      <c r="J1739" t="s">
        <v>248</v>
      </c>
      <c r="L1739" s="34">
        <v>1</v>
      </c>
      <c r="M1739" s="38">
        <v>0.75</v>
      </c>
      <c r="N1739" s="38">
        <f t="shared" si="27"/>
        <v>0.75</v>
      </c>
    </row>
    <row r="1740" spans="1:14">
      <c r="A1740" s="29">
        <v>43754</v>
      </c>
      <c r="B1740" s="22" t="s">
        <v>50</v>
      </c>
      <c r="C1740" s="22" t="s">
        <v>57</v>
      </c>
      <c r="D1740" s="48" t="s">
        <v>5</v>
      </c>
      <c r="E1740" t="s">
        <v>159</v>
      </c>
      <c r="F1740">
        <v>2019</v>
      </c>
      <c r="G1740" t="s">
        <v>319</v>
      </c>
      <c r="H1740" s="42" t="s">
        <v>57</v>
      </c>
      <c r="J1740" t="s">
        <v>248</v>
      </c>
      <c r="L1740" s="34">
        <v>1</v>
      </c>
      <c r="M1740" s="38">
        <v>0.75</v>
      </c>
      <c r="N1740" s="38">
        <f t="shared" si="27"/>
        <v>0.75</v>
      </c>
    </row>
    <row r="1741" spans="1:14">
      <c r="A1741" s="29">
        <v>43754</v>
      </c>
      <c r="B1741" s="22" t="s">
        <v>50</v>
      </c>
      <c r="C1741" s="22" t="s">
        <v>57</v>
      </c>
      <c r="D1741" s="48" t="s">
        <v>5</v>
      </c>
      <c r="E1741" t="s">
        <v>159</v>
      </c>
      <c r="F1741">
        <v>2019</v>
      </c>
      <c r="G1741" t="s">
        <v>326</v>
      </c>
      <c r="H1741" s="42" t="s">
        <v>57</v>
      </c>
      <c r="J1741" t="s">
        <v>248</v>
      </c>
      <c r="L1741" s="34">
        <v>1</v>
      </c>
      <c r="M1741" s="38">
        <v>0.75</v>
      </c>
      <c r="N1741" s="38">
        <f t="shared" si="27"/>
        <v>0.75</v>
      </c>
    </row>
    <row r="1742" spans="1:14">
      <c r="A1742" s="29">
        <v>43755</v>
      </c>
      <c r="B1742" s="22" t="s">
        <v>57</v>
      </c>
      <c r="C1742" s="22" t="s">
        <v>49</v>
      </c>
      <c r="D1742" s="48" t="s">
        <v>5</v>
      </c>
      <c r="E1742" t="s">
        <v>287</v>
      </c>
      <c r="F1742">
        <v>2019</v>
      </c>
      <c r="G1742" t="s">
        <v>57</v>
      </c>
      <c r="H1742" s="42">
        <v>99</v>
      </c>
      <c r="J1742" t="s">
        <v>248</v>
      </c>
      <c r="L1742" s="34">
        <v>4</v>
      </c>
      <c r="M1742" s="38">
        <v>0.75</v>
      </c>
      <c r="N1742" s="38">
        <f t="shared" si="27"/>
        <v>3</v>
      </c>
    </row>
    <row r="1743" spans="1:14">
      <c r="A1743" s="29">
        <v>43755</v>
      </c>
      <c r="B1743" s="22" t="s">
        <v>65</v>
      </c>
      <c r="C1743" s="22" t="s">
        <v>22</v>
      </c>
      <c r="D1743" s="48" t="s">
        <v>5</v>
      </c>
      <c r="E1743" t="s">
        <v>157</v>
      </c>
      <c r="F1743">
        <v>2019</v>
      </c>
      <c r="G1743" t="s">
        <v>247</v>
      </c>
      <c r="H1743" s="42" t="s">
        <v>57</v>
      </c>
      <c r="J1743" t="s">
        <v>248</v>
      </c>
      <c r="L1743" s="34">
        <v>3</v>
      </c>
      <c r="M1743" s="38">
        <v>0.75</v>
      </c>
      <c r="N1743" s="38">
        <f t="shared" si="27"/>
        <v>2.25</v>
      </c>
    </row>
    <row r="1744" spans="1:14">
      <c r="A1744" s="29">
        <v>43755</v>
      </c>
      <c r="B1744" s="22" t="s">
        <v>28</v>
      </c>
      <c r="C1744" s="22" t="s">
        <v>271</v>
      </c>
      <c r="D1744" s="48" t="s">
        <v>5</v>
      </c>
      <c r="E1744" t="s">
        <v>159</v>
      </c>
      <c r="F1744">
        <v>2019</v>
      </c>
      <c r="G1744" t="s">
        <v>319</v>
      </c>
      <c r="H1744" s="42" t="s">
        <v>57</v>
      </c>
      <c r="J1744" t="s">
        <v>248</v>
      </c>
      <c r="L1744" s="34">
        <v>4</v>
      </c>
      <c r="M1744" s="38">
        <v>0.75</v>
      </c>
      <c r="N1744" s="38">
        <f t="shared" si="27"/>
        <v>3</v>
      </c>
    </row>
    <row r="1745" spans="1:14">
      <c r="A1745" s="29">
        <v>43755</v>
      </c>
      <c r="B1745" s="22" t="s">
        <v>28</v>
      </c>
      <c r="C1745" s="22" t="s">
        <v>271</v>
      </c>
      <c r="D1745" s="48" t="s">
        <v>5</v>
      </c>
      <c r="E1745" t="s">
        <v>159</v>
      </c>
      <c r="F1745">
        <v>2019</v>
      </c>
      <c r="G1745" t="s">
        <v>326</v>
      </c>
      <c r="H1745" s="42" t="s">
        <v>57</v>
      </c>
      <c r="J1745" t="s">
        <v>248</v>
      </c>
      <c r="L1745" s="34">
        <v>4</v>
      </c>
      <c r="M1745" s="38">
        <v>0.75</v>
      </c>
      <c r="N1745" s="38">
        <f t="shared" si="27"/>
        <v>3</v>
      </c>
    </row>
    <row r="1746" spans="1:14">
      <c r="A1746" s="29">
        <v>43755</v>
      </c>
      <c r="B1746" s="22" t="s">
        <v>28</v>
      </c>
      <c r="C1746" s="22" t="s">
        <v>271</v>
      </c>
      <c r="D1746" s="48" t="s">
        <v>5</v>
      </c>
      <c r="E1746" t="s">
        <v>158</v>
      </c>
      <c r="F1746">
        <v>2019</v>
      </c>
      <c r="G1746" t="s">
        <v>335</v>
      </c>
      <c r="H1746" s="42" t="s">
        <v>57</v>
      </c>
      <c r="J1746" t="s">
        <v>248</v>
      </c>
      <c r="L1746" s="34">
        <v>6</v>
      </c>
      <c r="M1746" s="38">
        <v>0.75</v>
      </c>
      <c r="N1746" s="38">
        <f t="shared" si="27"/>
        <v>4.5</v>
      </c>
    </row>
    <row r="1747" spans="1:14">
      <c r="A1747" s="29">
        <v>43755</v>
      </c>
      <c r="B1747" s="22" t="s">
        <v>28</v>
      </c>
      <c r="C1747" s="22" t="s">
        <v>271</v>
      </c>
      <c r="D1747" s="48" t="s">
        <v>5</v>
      </c>
      <c r="E1747" t="s">
        <v>158</v>
      </c>
      <c r="F1747">
        <v>2019</v>
      </c>
      <c r="G1747" t="s">
        <v>648</v>
      </c>
      <c r="H1747" s="42" t="s">
        <v>57</v>
      </c>
      <c r="J1747" t="s">
        <v>248</v>
      </c>
      <c r="L1747" s="34">
        <v>6</v>
      </c>
      <c r="M1747" s="38">
        <v>0.75</v>
      </c>
      <c r="N1747" s="38">
        <f t="shared" si="27"/>
        <v>4.5</v>
      </c>
    </row>
    <row r="1748" spans="1:14">
      <c r="A1748" s="29">
        <v>43756</v>
      </c>
      <c r="B1748" s="22" t="s">
        <v>649</v>
      </c>
      <c r="C1748" s="22" t="s">
        <v>53</v>
      </c>
      <c r="D1748" s="48" t="s">
        <v>5</v>
      </c>
      <c r="E1748" t="s">
        <v>158</v>
      </c>
      <c r="F1748">
        <v>2019</v>
      </c>
      <c r="G1748" t="s">
        <v>335</v>
      </c>
      <c r="H1748" s="42" t="s">
        <v>57</v>
      </c>
      <c r="J1748" t="s">
        <v>248</v>
      </c>
      <c r="L1748" s="34">
        <v>3</v>
      </c>
      <c r="M1748" s="38">
        <v>0.75</v>
      </c>
      <c r="N1748" s="38">
        <f t="shared" si="27"/>
        <v>2.25</v>
      </c>
    </row>
    <row r="1749" spans="1:14">
      <c r="A1749" s="29">
        <v>43756</v>
      </c>
      <c r="B1749" s="22" t="s">
        <v>649</v>
      </c>
      <c r="C1749" s="22" t="s">
        <v>53</v>
      </c>
      <c r="D1749" s="48" t="s">
        <v>5</v>
      </c>
      <c r="E1749" t="s">
        <v>158</v>
      </c>
      <c r="F1749">
        <v>2019</v>
      </c>
      <c r="G1749" t="s">
        <v>648</v>
      </c>
      <c r="H1749" s="42" t="s">
        <v>57</v>
      </c>
      <c r="J1749" t="s">
        <v>248</v>
      </c>
      <c r="L1749" s="34">
        <v>3</v>
      </c>
      <c r="M1749" s="38">
        <v>0.75</v>
      </c>
      <c r="N1749" s="38">
        <f t="shared" si="27"/>
        <v>2.25</v>
      </c>
    </row>
    <row r="1750" spans="1:14">
      <c r="A1750" s="29">
        <v>43759</v>
      </c>
      <c r="B1750" s="22" t="s">
        <v>57</v>
      </c>
      <c r="C1750" s="22" t="s">
        <v>38</v>
      </c>
      <c r="D1750" s="48" t="s">
        <v>5</v>
      </c>
      <c r="E1750" t="s">
        <v>157</v>
      </c>
      <c r="F1750">
        <v>2019</v>
      </c>
      <c r="G1750" t="s">
        <v>326</v>
      </c>
      <c r="H1750" s="42" t="s">
        <v>57</v>
      </c>
      <c r="J1750" t="s">
        <v>248</v>
      </c>
      <c r="L1750" s="34">
        <v>5</v>
      </c>
      <c r="M1750" s="38">
        <v>0.75</v>
      </c>
      <c r="N1750" s="38">
        <f t="shared" si="27"/>
        <v>3.75</v>
      </c>
    </row>
    <row r="1751" spans="1:14">
      <c r="A1751" s="29">
        <v>43759</v>
      </c>
      <c r="B1751" s="22" t="s">
        <v>57</v>
      </c>
      <c r="C1751" s="22" t="s">
        <v>38</v>
      </c>
      <c r="D1751" s="48" t="s">
        <v>5</v>
      </c>
      <c r="E1751" t="s">
        <v>157</v>
      </c>
      <c r="F1751">
        <v>2019</v>
      </c>
      <c r="G1751" t="s">
        <v>247</v>
      </c>
      <c r="H1751" s="42" t="s">
        <v>57</v>
      </c>
      <c r="J1751" t="s">
        <v>248</v>
      </c>
      <c r="L1751" s="34">
        <v>5</v>
      </c>
      <c r="M1751" s="38">
        <v>0.75</v>
      </c>
      <c r="N1751" s="38">
        <f t="shared" si="27"/>
        <v>3.75</v>
      </c>
    </row>
    <row r="1752" spans="1:14">
      <c r="A1752" s="29">
        <v>43759</v>
      </c>
      <c r="B1752" s="22" t="s">
        <v>57</v>
      </c>
      <c r="C1752" s="22" t="s">
        <v>38</v>
      </c>
      <c r="D1752" s="48" t="s">
        <v>5</v>
      </c>
      <c r="E1752" t="s">
        <v>255</v>
      </c>
      <c r="F1752">
        <v>2019</v>
      </c>
      <c r="G1752" t="s">
        <v>57</v>
      </c>
      <c r="H1752" s="42" t="s">
        <v>57</v>
      </c>
      <c r="J1752" t="s">
        <v>248</v>
      </c>
      <c r="L1752" s="34">
        <v>3</v>
      </c>
      <c r="M1752" s="38">
        <v>0.75</v>
      </c>
      <c r="N1752" s="38">
        <f t="shared" si="27"/>
        <v>2.25</v>
      </c>
    </row>
    <row r="1753" spans="1:14">
      <c r="A1753" s="29">
        <v>43759</v>
      </c>
      <c r="B1753" s="22" t="s">
        <v>63</v>
      </c>
      <c r="C1753" s="22" t="s">
        <v>57</v>
      </c>
      <c r="D1753" s="48" t="s">
        <v>5</v>
      </c>
      <c r="E1753" t="s">
        <v>157</v>
      </c>
      <c r="F1753">
        <v>2019</v>
      </c>
      <c r="G1753" t="s">
        <v>326</v>
      </c>
      <c r="H1753" s="42" t="s">
        <v>57</v>
      </c>
      <c r="J1753" t="s">
        <v>248</v>
      </c>
      <c r="L1753" s="34">
        <v>3</v>
      </c>
      <c r="M1753" s="38">
        <v>0.75</v>
      </c>
      <c r="N1753" s="38">
        <f t="shared" si="27"/>
        <v>2.25</v>
      </c>
    </row>
    <row r="1754" spans="1:14">
      <c r="A1754" s="29">
        <v>43759</v>
      </c>
      <c r="B1754" s="22" t="s">
        <v>63</v>
      </c>
      <c r="C1754" s="22" t="s">
        <v>57</v>
      </c>
      <c r="D1754" s="48" t="s">
        <v>5</v>
      </c>
      <c r="E1754" t="s">
        <v>157</v>
      </c>
      <c r="F1754">
        <v>2019</v>
      </c>
      <c r="G1754" t="s">
        <v>247</v>
      </c>
      <c r="H1754" s="42" t="s">
        <v>57</v>
      </c>
      <c r="J1754" t="s">
        <v>248</v>
      </c>
      <c r="L1754" s="34">
        <v>3</v>
      </c>
      <c r="M1754" s="38">
        <v>0.75</v>
      </c>
      <c r="N1754" s="38">
        <f t="shared" si="27"/>
        <v>2.25</v>
      </c>
    </row>
    <row r="1755" spans="1:14">
      <c r="A1755" s="29">
        <v>43759</v>
      </c>
      <c r="B1755" s="22" t="s">
        <v>63</v>
      </c>
      <c r="C1755" s="22" t="s">
        <v>57</v>
      </c>
      <c r="D1755" s="48" t="s">
        <v>5</v>
      </c>
      <c r="E1755" t="s">
        <v>159</v>
      </c>
      <c r="F1755">
        <v>2019</v>
      </c>
      <c r="G1755" t="s">
        <v>247</v>
      </c>
      <c r="H1755" s="42" t="s">
        <v>57</v>
      </c>
      <c r="J1755" t="s">
        <v>248</v>
      </c>
      <c r="L1755" s="34">
        <v>3</v>
      </c>
      <c r="M1755" s="38">
        <v>0.75</v>
      </c>
      <c r="N1755" s="38">
        <f t="shared" si="27"/>
        <v>2.25</v>
      </c>
    </row>
    <row r="1756" spans="1:14">
      <c r="A1756" s="29">
        <v>43759</v>
      </c>
      <c r="B1756" s="22" t="s">
        <v>63</v>
      </c>
      <c r="C1756" s="22" t="s">
        <v>57</v>
      </c>
      <c r="D1756" s="48" t="s">
        <v>5</v>
      </c>
      <c r="E1756" t="s">
        <v>159</v>
      </c>
      <c r="F1756">
        <v>2019</v>
      </c>
      <c r="G1756" t="s">
        <v>319</v>
      </c>
      <c r="H1756" s="42" t="s">
        <v>57</v>
      </c>
      <c r="J1756" t="s">
        <v>248</v>
      </c>
      <c r="L1756" s="34">
        <v>3</v>
      </c>
      <c r="M1756" s="38">
        <v>0.75</v>
      </c>
      <c r="N1756" s="38">
        <f t="shared" si="27"/>
        <v>2.25</v>
      </c>
    </row>
    <row r="1757" spans="1:14">
      <c r="A1757" s="29">
        <v>43759</v>
      </c>
      <c r="B1757" s="22" t="s">
        <v>63</v>
      </c>
      <c r="C1757" s="22" t="s">
        <v>57</v>
      </c>
      <c r="D1757" s="48" t="s">
        <v>5</v>
      </c>
      <c r="E1757" t="s">
        <v>159</v>
      </c>
      <c r="F1757">
        <v>2019</v>
      </c>
      <c r="G1757" t="s">
        <v>326</v>
      </c>
      <c r="H1757" s="42" t="s">
        <v>57</v>
      </c>
      <c r="J1757" t="s">
        <v>248</v>
      </c>
      <c r="L1757" s="34">
        <v>3</v>
      </c>
      <c r="M1757" s="38">
        <v>0.75</v>
      </c>
      <c r="N1757" s="38">
        <f t="shared" si="27"/>
        <v>2.25</v>
      </c>
    </row>
    <row r="1758" spans="1:14">
      <c r="A1758" s="29">
        <v>43759</v>
      </c>
      <c r="B1758" s="22" t="s">
        <v>63</v>
      </c>
      <c r="C1758" s="22" t="s">
        <v>57</v>
      </c>
      <c r="D1758" s="48" t="s">
        <v>5</v>
      </c>
      <c r="E1758" t="s">
        <v>255</v>
      </c>
      <c r="F1758">
        <v>2019</v>
      </c>
      <c r="G1758" t="s">
        <v>57</v>
      </c>
      <c r="H1758" s="42" t="s">
        <v>57</v>
      </c>
      <c r="J1758" t="s">
        <v>248</v>
      </c>
      <c r="L1758" s="34">
        <v>3</v>
      </c>
      <c r="M1758" s="38">
        <v>0.75</v>
      </c>
      <c r="N1758" s="38">
        <f t="shared" si="27"/>
        <v>2.25</v>
      </c>
    </row>
    <row r="1759" spans="1:14">
      <c r="A1759" s="29">
        <v>43759</v>
      </c>
      <c r="B1759" s="22" t="s">
        <v>63</v>
      </c>
      <c r="C1759" s="22" t="s">
        <v>57</v>
      </c>
      <c r="D1759" s="48" t="s">
        <v>5</v>
      </c>
      <c r="E1759" t="s">
        <v>262</v>
      </c>
      <c r="F1759">
        <v>2019</v>
      </c>
      <c r="G1759" t="s">
        <v>650</v>
      </c>
      <c r="H1759" s="42">
        <v>199</v>
      </c>
      <c r="J1759" t="s">
        <v>248</v>
      </c>
      <c r="L1759" s="34">
        <v>3</v>
      </c>
      <c r="M1759" s="38">
        <v>0.75</v>
      </c>
      <c r="N1759" s="38">
        <f t="shared" si="27"/>
        <v>2.25</v>
      </c>
    </row>
    <row r="1760" spans="1:14">
      <c r="A1760" s="29">
        <v>43760</v>
      </c>
      <c r="B1760" s="22" t="s">
        <v>60</v>
      </c>
      <c r="C1760" s="22" t="s">
        <v>53</v>
      </c>
      <c r="D1760" s="48" t="s">
        <v>5</v>
      </c>
      <c r="E1760" t="s">
        <v>158</v>
      </c>
      <c r="F1760">
        <v>2019</v>
      </c>
      <c r="G1760" t="s">
        <v>335</v>
      </c>
      <c r="H1760" s="42" t="s">
        <v>57</v>
      </c>
      <c r="J1760" t="s">
        <v>248</v>
      </c>
      <c r="L1760" s="34">
        <v>2</v>
      </c>
      <c r="M1760" s="38">
        <v>0.75</v>
      </c>
      <c r="N1760" s="38">
        <f t="shared" si="27"/>
        <v>1.5</v>
      </c>
    </row>
    <row r="1761" spans="1:14">
      <c r="A1761" s="29">
        <v>43760</v>
      </c>
      <c r="B1761" s="22" t="s">
        <v>60</v>
      </c>
      <c r="C1761" s="22" t="s">
        <v>53</v>
      </c>
      <c r="D1761" s="48" t="s">
        <v>5</v>
      </c>
      <c r="E1761" t="s">
        <v>158</v>
      </c>
      <c r="F1761">
        <v>2019</v>
      </c>
      <c r="G1761" t="s">
        <v>648</v>
      </c>
      <c r="H1761" s="42" t="s">
        <v>57</v>
      </c>
      <c r="J1761" t="s">
        <v>248</v>
      </c>
      <c r="L1761" s="34">
        <v>2</v>
      </c>
      <c r="M1761" s="38">
        <v>0.75</v>
      </c>
      <c r="N1761" s="38">
        <f t="shared" si="27"/>
        <v>1.5</v>
      </c>
    </row>
    <row r="1762" spans="1:14">
      <c r="A1762" s="29">
        <v>43760</v>
      </c>
      <c r="B1762" s="22" t="s">
        <v>293</v>
      </c>
      <c r="C1762" s="22" t="s">
        <v>41</v>
      </c>
      <c r="D1762" s="48" t="s">
        <v>5</v>
      </c>
      <c r="E1762" t="s">
        <v>262</v>
      </c>
      <c r="F1762">
        <v>2019</v>
      </c>
      <c r="G1762" t="s">
        <v>650</v>
      </c>
      <c r="H1762" s="42">
        <v>199</v>
      </c>
      <c r="J1762" t="s">
        <v>248</v>
      </c>
      <c r="L1762" s="34">
        <v>3</v>
      </c>
      <c r="M1762" s="38">
        <v>0.75</v>
      </c>
      <c r="N1762" s="38">
        <f t="shared" si="27"/>
        <v>2.25</v>
      </c>
    </row>
    <row r="1763" spans="1:14">
      <c r="A1763" s="29">
        <v>43760</v>
      </c>
      <c r="B1763" s="22" t="s">
        <v>293</v>
      </c>
      <c r="C1763" s="22" t="s">
        <v>41</v>
      </c>
      <c r="D1763" s="48" t="s">
        <v>5</v>
      </c>
      <c r="E1763" t="s">
        <v>159</v>
      </c>
      <c r="F1763">
        <v>2019</v>
      </c>
      <c r="G1763" t="s">
        <v>252</v>
      </c>
      <c r="H1763" s="42" t="s">
        <v>57</v>
      </c>
      <c r="J1763" t="s">
        <v>248</v>
      </c>
      <c r="L1763" s="34">
        <v>3</v>
      </c>
      <c r="M1763" s="38">
        <v>0.75</v>
      </c>
      <c r="N1763" s="38">
        <f t="shared" si="27"/>
        <v>2.25</v>
      </c>
    </row>
    <row r="1764" spans="1:14">
      <c r="A1764" s="29">
        <v>43760</v>
      </c>
      <c r="B1764" s="22" t="s">
        <v>293</v>
      </c>
      <c r="C1764" s="22" t="s">
        <v>41</v>
      </c>
      <c r="D1764" s="48" t="s">
        <v>5</v>
      </c>
      <c r="E1764" t="s">
        <v>157</v>
      </c>
      <c r="F1764">
        <v>2019</v>
      </c>
      <c r="G1764" t="s">
        <v>252</v>
      </c>
      <c r="H1764" s="42" t="s">
        <v>57</v>
      </c>
      <c r="J1764" t="s">
        <v>248</v>
      </c>
      <c r="L1764" s="34">
        <v>3</v>
      </c>
      <c r="M1764" s="38">
        <v>0.75</v>
      </c>
      <c r="N1764" s="38">
        <f t="shared" si="27"/>
        <v>2.25</v>
      </c>
    </row>
    <row r="1765" spans="1:14">
      <c r="A1765" s="29">
        <v>43760</v>
      </c>
      <c r="B1765" s="22" t="s">
        <v>293</v>
      </c>
      <c r="C1765" s="22" t="s">
        <v>41</v>
      </c>
      <c r="D1765" s="48" t="s">
        <v>8</v>
      </c>
      <c r="E1765" t="s">
        <v>180</v>
      </c>
      <c r="F1765">
        <v>2019</v>
      </c>
      <c r="G1765" t="s">
        <v>57</v>
      </c>
      <c r="H1765" s="42">
        <v>407</v>
      </c>
      <c r="J1765" t="s">
        <v>248</v>
      </c>
      <c r="L1765" s="34">
        <v>3</v>
      </c>
      <c r="M1765" s="38">
        <v>0.75</v>
      </c>
      <c r="N1765" s="38">
        <f t="shared" si="27"/>
        <v>2.25</v>
      </c>
    </row>
    <row r="1766" spans="1:14">
      <c r="A1766" s="29">
        <v>43760</v>
      </c>
      <c r="B1766" s="22" t="s">
        <v>81</v>
      </c>
      <c r="C1766" s="22" t="s">
        <v>57</v>
      </c>
      <c r="D1766" s="48" t="s">
        <v>5</v>
      </c>
      <c r="E1766" t="s">
        <v>157</v>
      </c>
      <c r="F1766">
        <v>2019</v>
      </c>
      <c r="G1766" t="s">
        <v>326</v>
      </c>
      <c r="H1766" s="42" t="s">
        <v>57</v>
      </c>
      <c r="J1766" t="s">
        <v>248</v>
      </c>
      <c r="L1766" s="34">
        <v>3</v>
      </c>
      <c r="M1766" s="38">
        <v>0.75</v>
      </c>
      <c r="N1766" s="38">
        <f t="shared" si="27"/>
        <v>2.25</v>
      </c>
    </row>
    <row r="1767" spans="1:14">
      <c r="A1767" s="29">
        <v>43760</v>
      </c>
      <c r="B1767" s="22" t="s">
        <v>81</v>
      </c>
      <c r="C1767" s="22" t="s">
        <v>57</v>
      </c>
      <c r="D1767" s="48" t="s">
        <v>5</v>
      </c>
      <c r="E1767" t="s">
        <v>157</v>
      </c>
      <c r="F1767">
        <v>2019</v>
      </c>
      <c r="G1767" t="s">
        <v>247</v>
      </c>
      <c r="H1767" s="42" t="s">
        <v>57</v>
      </c>
      <c r="J1767" t="s">
        <v>248</v>
      </c>
      <c r="L1767" s="34">
        <v>3</v>
      </c>
      <c r="M1767" s="38">
        <v>0.75</v>
      </c>
      <c r="N1767" s="38">
        <f t="shared" si="27"/>
        <v>2.25</v>
      </c>
    </row>
    <row r="1768" spans="1:14">
      <c r="A1768" s="29">
        <v>43760</v>
      </c>
      <c r="B1768" s="22" t="s">
        <v>81</v>
      </c>
      <c r="C1768" s="22" t="s">
        <v>57</v>
      </c>
      <c r="D1768" s="48" t="s">
        <v>5</v>
      </c>
      <c r="E1768" t="s">
        <v>159</v>
      </c>
      <c r="F1768">
        <v>2019</v>
      </c>
      <c r="G1768" t="s">
        <v>247</v>
      </c>
      <c r="H1768" s="42" t="s">
        <v>57</v>
      </c>
      <c r="J1768" t="s">
        <v>248</v>
      </c>
      <c r="L1768" s="34">
        <v>3</v>
      </c>
      <c r="M1768" s="38">
        <v>0.75</v>
      </c>
      <c r="N1768" s="38">
        <f t="shared" si="27"/>
        <v>2.25</v>
      </c>
    </row>
    <row r="1769" spans="1:14">
      <c r="A1769" s="29">
        <v>43760</v>
      </c>
      <c r="B1769" s="22" t="s">
        <v>81</v>
      </c>
      <c r="C1769" s="22" t="s">
        <v>57</v>
      </c>
      <c r="D1769" s="48" t="s">
        <v>5</v>
      </c>
      <c r="E1769" t="s">
        <v>159</v>
      </c>
      <c r="F1769">
        <v>2019</v>
      </c>
      <c r="G1769" t="s">
        <v>326</v>
      </c>
      <c r="H1769" s="42" t="s">
        <v>57</v>
      </c>
      <c r="J1769" t="s">
        <v>248</v>
      </c>
      <c r="L1769" s="34">
        <v>3</v>
      </c>
      <c r="M1769" s="38">
        <v>0.75</v>
      </c>
      <c r="N1769" s="38">
        <f t="shared" si="27"/>
        <v>2.25</v>
      </c>
    </row>
    <row r="1770" spans="1:14">
      <c r="A1770" s="29">
        <v>43760</v>
      </c>
      <c r="B1770" s="22" t="s">
        <v>81</v>
      </c>
      <c r="C1770" s="22" t="s">
        <v>57</v>
      </c>
      <c r="D1770" s="48" t="s">
        <v>5</v>
      </c>
      <c r="E1770" t="s">
        <v>157</v>
      </c>
      <c r="F1770">
        <v>2019</v>
      </c>
      <c r="G1770" t="s">
        <v>651</v>
      </c>
      <c r="H1770" s="42" t="s">
        <v>57</v>
      </c>
      <c r="J1770" t="s">
        <v>248</v>
      </c>
      <c r="L1770" s="34">
        <v>3</v>
      </c>
      <c r="M1770" s="38">
        <v>0.75</v>
      </c>
      <c r="N1770" s="38">
        <f t="shared" si="27"/>
        <v>2.25</v>
      </c>
    </row>
    <row r="1771" spans="1:14">
      <c r="A1771" s="29">
        <v>43760</v>
      </c>
      <c r="B1771" s="22" t="s">
        <v>81</v>
      </c>
      <c r="C1771" s="22" t="s">
        <v>57</v>
      </c>
      <c r="D1771" s="48" t="s">
        <v>5</v>
      </c>
      <c r="E1771" t="s">
        <v>158</v>
      </c>
      <c r="F1771">
        <v>2019</v>
      </c>
      <c r="G1771" t="s">
        <v>335</v>
      </c>
      <c r="H1771" s="42" t="s">
        <v>57</v>
      </c>
      <c r="J1771" t="s">
        <v>248</v>
      </c>
      <c r="L1771" s="34">
        <v>3</v>
      </c>
      <c r="M1771" s="38">
        <v>0.75</v>
      </c>
      <c r="N1771" s="38">
        <f t="shared" si="27"/>
        <v>2.25</v>
      </c>
    </row>
    <row r="1772" spans="1:14">
      <c r="A1772" s="29">
        <v>43760</v>
      </c>
      <c r="B1772" s="22" t="s">
        <v>109</v>
      </c>
      <c r="C1772" s="22" t="s">
        <v>57</v>
      </c>
      <c r="D1772" s="48" t="s">
        <v>8</v>
      </c>
      <c r="E1772" t="s">
        <v>184</v>
      </c>
      <c r="F1772">
        <v>2019</v>
      </c>
      <c r="G1772" t="s">
        <v>652</v>
      </c>
      <c r="H1772" s="42" t="s">
        <v>57</v>
      </c>
      <c r="J1772" t="s">
        <v>248</v>
      </c>
      <c r="L1772" s="34">
        <v>2</v>
      </c>
      <c r="M1772" s="38">
        <v>0.75</v>
      </c>
      <c r="N1772" s="38">
        <f t="shared" si="27"/>
        <v>1.5</v>
      </c>
    </row>
    <row r="1773" spans="1:14">
      <c r="A1773" s="29">
        <v>43760</v>
      </c>
      <c r="B1773" s="22" t="s">
        <v>109</v>
      </c>
      <c r="C1773" s="22" t="s">
        <v>57</v>
      </c>
      <c r="D1773" s="48" t="s">
        <v>8</v>
      </c>
      <c r="E1773" t="s">
        <v>184</v>
      </c>
      <c r="F1773">
        <v>2019</v>
      </c>
      <c r="G1773" t="s">
        <v>653</v>
      </c>
      <c r="H1773" s="42" t="s">
        <v>57</v>
      </c>
      <c r="J1773" t="s">
        <v>248</v>
      </c>
      <c r="L1773" s="34">
        <v>2</v>
      </c>
      <c r="M1773" s="38">
        <v>0.75</v>
      </c>
      <c r="N1773" s="38">
        <f t="shared" si="27"/>
        <v>1.5</v>
      </c>
    </row>
    <row r="1774" spans="1:14">
      <c r="A1774" s="29">
        <v>43760</v>
      </c>
      <c r="B1774" s="22" t="s">
        <v>109</v>
      </c>
      <c r="C1774" s="22" t="s">
        <v>57</v>
      </c>
      <c r="D1774" s="48" t="s">
        <v>8</v>
      </c>
      <c r="E1774" t="s">
        <v>184</v>
      </c>
      <c r="F1774">
        <v>2019</v>
      </c>
      <c r="G1774" t="s">
        <v>654</v>
      </c>
      <c r="H1774" s="42" t="s">
        <v>57</v>
      </c>
      <c r="J1774" t="s">
        <v>248</v>
      </c>
      <c r="L1774" s="34">
        <v>2</v>
      </c>
      <c r="M1774" s="38">
        <v>0.75</v>
      </c>
      <c r="N1774" s="38">
        <f t="shared" si="27"/>
        <v>1.5</v>
      </c>
    </row>
    <row r="1775" spans="1:14">
      <c r="A1775" s="29">
        <v>43761</v>
      </c>
      <c r="B1775" s="22" t="s">
        <v>63</v>
      </c>
      <c r="C1775" s="22" t="s">
        <v>57</v>
      </c>
      <c r="D1775" s="48" t="s">
        <v>5</v>
      </c>
      <c r="E1775" t="s">
        <v>159</v>
      </c>
      <c r="F1775">
        <v>2019</v>
      </c>
      <c r="G1775" t="s">
        <v>247</v>
      </c>
      <c r="H1775" s="42" t="s">
        <v>57</v>
      </c>
      <c r="J1775" t="s">
        <v>248</v>
      </c>
      <c r="L1775" s="34">
        <v>2</v>
      </c>
      <c r="M1775" s="38">
        <v>0.75</v>
      </c>
      <c r="N1775" s="38">
        <f t="shared" si="27"/>
        <v>1.5</v>
      </c>
    </row>
    <row r="1776" spans="1:14">
      <c r="A1776" s="29">
        <v>43761</v>
      </c>
      <c r="B1776" s="22" t="s">
        <v>63</v>
      </c>
      <c r="C1776" s="22" t="s">
        <v>57</v>
      </c>
      <c r="D1776" s="48" t="s">
        <v>5</v>
      </c>
      <c r="E1776" t="s">
        <v>159</v>
      </c>
      <c r="F1776">
        <v>2019</v>
      </c>
      <c r="G1776" t="s">
        <v>319</v>
      </c>
      <c r="H1776" s="42" t="s">
        <v>57</v>
      </c>
      <c r="J1776" t="s">
        <v>248</v>
      </c>
      <c r="L1776" s="34">
        <v>2</v>
      </c>
      <c r="M1776" s="38">
        <v>0.75</v>
      </c>
      <c r="N1776" s="38">
        <f t="shared" si="27"/>
        <v>1.5</v>
      </c>
    </row>
    <row r="1777" spans="1:14">
      <c r="A1777" s="29">
        <v>43761</v>
      </c>
      <c r="B1777" s="22" t="s">
        <v>63</v>
      </c>
      <c r="C1777" s="22" t="s">
        <v>57</v>
      </c>
      <c r="D1777" s="48" t="s">
        <v>5</v>
      </c>
      <c r="E1777" t="s">
        <v>159</v>
      </c>
      <c r="F1777">
        <v>2019</v>
      </c>
      <c r="G1777" t="s">
        <v>326</v>
      </c>
      <c r="H1777" s="42" t="s">
        <v>57</v>
      </c>
      <c r="J1777" t="s">
        <v>248</v>
      </c>
      <c r="L1777" s="34">
        <v>2</v>
      </c>
      <c r="M1777" s="38">
        <v>0.75</v>
      </c>
      <c r="N1777" s="38">
        <f t="shared" si="27"/>
        <v>1.5</v>
      </c>
    </row>
    <row r="1778" spans="1:14">
      <c r="A1778" s="29">
        <v>43761</v>
      </c>
      <c r="B1778" s="22" t="s">
        <v>63</v>
      </c>
      <c r="C1778" s="22" t="s">
        <v>57</v>
      </c>
      <c r="D1778" s="48" t="s">
        <v>5</v>
      </c>
      <c r="E1778" t="s">
        <v>157</v>
      </c>
      <c r="F1778">
        <v>2019</v>
      </c>
      <c r="G1778" t="s">
        <v>326</v>
      </c>
      <c r="H1778" s="42" t="s">
        <v>57</v>
      </c>
      <c r="J1778" t="s">
        <v>248</v>
      </c>
      <c r="L1778" s="34">
        <v>3</v>
      </c>
      <c r="M1778" s="38">
        <v>0.75</v>
      </c>
      <c r="N1778" s="38">
        <f t="shared" si="27"/>
        <v>2.25</v>
      </c>
    </row>
    <row r="1779" spans="1:14">
      <c r="A1779" s="29">
        <v>43761</v>
      </c>
      <c r="B1779" s="22" t="s">
        <v>63</v>
      </c>
      <c r="C1779" s="22" t="s">
        <v>57</v>
      </c>
      <c r="D1779" s="48" t="s">
        <v>5</v>
      </c>
      <c r="E1779" t="s">
        <v>157</v>
      </c>
      <c r="F1779">
        <v>2019</v>
      </c>
      <c r="G1779" t="s">
        <v>247</v>
      </c>
      <c r="H1779" s="42" t="s">
        <v>57</v>
      </c>
      <c r="J1779" t="s">
        <v>248</v>
      </c>
      <c r="L1779" s="34">
        <v>3</v>
      </c>
      <c r="M1779" s="38">
        <v>0.75</v>
      </c>
      <c r="N1779" s="38">
        <f t="shared" si="27"/>
        <v>2.25</v>
      </c>
    </row>
    <row r="1780" spans="1:14">
      <c r="A1780" s="29">
        <v>43761</v>
      </c>
      <c r="B1780" s="22" t="s">
        <v>63</v>
      </c>
      <c r="C1780" s="22" t="s">
        <v>57</v>
      </c>
      <c r="D1780" s="48" t="s">
        <v>5</v>
      </c>
      <c r="E1780" t="s">
        <v>255</v>
      </c>
      <c r="F1780">
        <v>2019</v>
      </c>
      <c r="G1780" t="s">
        <v>57</v>
      </c>
      <c r="H1780" s="42" t="s">
        <v>57</v>
      </c>
      <c r="J1780" t="s">
        <v>248</v>
      </c>
      <c r="L1780" s="34">
        <v>6</v>
      </c>
      <c r="M1780" s="38">
        <v>0.75</v>
      </c>
      <c r="N1780" s="38">
        <f t="shared" si="27"/>
        <v>4.5</v>
      </c>
    </row>
    <row r="1781" spans="1:14">
      <c r="A1781" s="29">
        <v>43761</v>
      </c>
      <c r="B1781" s="22" t="s">
        <v>63</v>
      </c>
      <c r="C1781" s="22" t="s">
        <v>57</v>
      </c>
      <c r="D1781" s="48" t="s">
        <v>5</v>
      </c>
      <c r="E1781" t="s">
        <v>262</v>
      </c>
      <c r="F1781">
        <v>2019</v>
      </c>
      <c r="G1781">
        <v>210</v>
      </c>
      <c r="H1781" s="42">
        <v>422</v>
      </c>
      <c r="J1781" t="s">
        <v>248</v>
      </c>
      <c r="L1781" s="34">
        <v>3</v>
      </c>
      <c r="M1781" s="38">
        <v>0.75</v>
      </c>
      <c r="N1781" s="38">
        <f t="shared" si="27"/>
        <v>2.25</v>
      </c>
    </row>
    <row r="1782" spans="1:14">
      <c r="A1782" s="29">
        <v>43761</v>
      </c>
      <c r="B1782" s="22" t="s">
        <v>63</v>
      </c>
      <c r="C1782" s="22" t="s">
        <v>57</v>
      </c>
      <c r="D1782" s="48" t="s">
        <v>8</v>
      </c>
      <c r="E1782" t="s">
        <v>272</v>
      </c>
      <c r="F1782">
        <v>2019</v>
      </c>
      <c r="G1782" t="s">
        <v>57</v>
      </c>
      <c r="H1782" s="42" t="s">
        <v>57</v>
      </c>
      <c r="J1782" t="s">
        <v>248</v>
      </c>
      <c r="L1782" s="34">
        <v>3</v>
      </c>
      <c r="M1782" s="38">
        <v>0.75</v>
      </c>
      <c r="N1782" s="38">
        <f t="shared" si="27"/>
        <v>2.25</v>
      </c>
    </row>
    <row r="1783" spans="1:14">
      <c r="A1783" s="29">
        <v>43761</v>
      </c>
      <c r="B1783" s="22" t="s">
        <v>23</v>
      </c>
      <c r="C1783" s="22" t="s">
        <v>34</v>
      </c>
      <c r="D1783" s="48" t="s">
        <v>5</v>
      </c>
      <c r="E1783" t="s">
        <v>157</v>
      </c>
      <c r="F1783">
        <v>2019</v>
      </c>
      <c r="G1783" t="s">
        <v>257</v>
      </c>
      <c r="H1783" s="42" t="s">
        <v>57</v>
      </c>
      <c r="J1783" t="s">
        <v>248</v>
      </c>
      <c r="K1783" s="8">
        <v>0.06</v>
      </c>
      <c r="L1783" s="34">
        <v>1</v>
      </c>
      <c r="M1783" s="38">
        <v>0.75</v>
      </c>
      <c r="N1783" s="38">
        <f t="shared" si="27"/>
        <v>0.75</v>
      </c>
    </row>
    <row r="1784" spans="1:14">
      <c r="A1784" s="29">
        <v>43761</v>
      </c>
      <c r="B1784" s="22" t="s">
        <v>23</v>
      </c>
      <c r="C1784" s="22" t="s">
        <v>34</v>
      </c>
      <c r="D1784" s="48" t="s">
        <v>5</v>
      </c>
      <c r="E1784" t="s">
        <v>157</v>
      </c>
      <c r="F1784">
        <v>2019</v>
      </c>
      <c r="G1784" t="s">
        <v>247</v>
      </c>
      <c r="H1784" s="42" t="s">
        <v>57</v>
      </c>
      <c r="J1784" t="s">
        <v>248</v>
      </c>
      <c r="L1784" s="34">
        <v>1</v>
      </c>
      <c r="M1784" s="38">
        <v>0.75</v>
      </c>
      <c r="N1784" s="38">
        <f t="shared" si="27"/>
        <v>0.75</v>
      </c>
    </row>
    <row r="1785" spans="1:14">
      <c r="A1785" s="29">
        <v>43761</v>
      </c>
      <c r="B1785" s="22" t="s">
        <v>23</v>
      </c>
      <c r="C1785" s="22" t="s">
        <v>34</v>
      </c>
      <c r="D1785" s="48" t="s">
        <v>8</v>
      </c>
      <c r="E1785" t="s">
        <v>272</v>
      </c>
      <c r="F1785">
        <v>2019</v>
      </c>
      <c r="G1785" t="s">
        <v>57</v>
      </c>
      <c r="H1785" s="42" t="s">
        <v>57</v>
      </c>
      <c r="J1785" t="s">
        <v>248</v>
      </c>
      <c r="L1785" s="34">
        <v>1</v>
      </c>
      <c r="M1785" s="38">
        <v>0.75</v>
      </c>
      <c r="N1785" s="38">
        <f t="shared" si="27"/>
        <v>0.75</v>
      </c>
    </row>
    <row r="1786" spans="1:14">
      <c r="A1786" s="29">
        <v>43761</v>
      </c>
      <c r="B1786" s="22" t="s">
        <v>65</v>
      </c>
      <c r="C1786" s="22" t="s">
        <v>22</v>
      </c>
      <c r="D1786" s="48" t="s">
        <v>5</v>
      </c>
      <c r="E1786" t="s">
        <v>157</v>
      </c>
      <c r="F1786">
        <v>2019</v>
      </c>
      <c r="G1786" t="s">
        <v>247</v>
      </c>
      <c r="H1786" s="42" t="s">
        <v>57</v>
      </c>
      <c r="J1786" t="s">
        <v>248</v>
      </c>
      <c r="L1786" s="34">
        <v>3</v>
      </c>
      <c r="M1786" s="38">
        <v>0.75</v>
      </c>
      <c r="N1786" s="38">
        <f t="shared" si="27"/>
        <v>2.25</v>
      </c>
    </row>
    <row r="1787" spans="1:14">
      <c r="A1787" s="29">
        <v>43761</v>
      </c>
      <c r="B1787" s="22" t="s">
        <v>57</v>
      </c>
      <c r="C1787" s="22" t="s">
        <v>22</v>
      </c>
      <c r="D1787" s="48" t="s">
        <v>5</v>
      </c>
      <c r="E1787" t="s">
        <v>255</v>
      </c>
      <c r="F1787">
        <v>2019</v>
      </c>
      <c r="G1787" t="s">
        <v>57</v>
      </c>
      <c r="H1787" s="42" t="s">
        <v>57</v>
      </c>
      <c r="J1787" t="s">
        <v>248</v>
      </c>
      <c r="L1787" s="34">
        <v>2</v>
      </c>
      <c r="M1787" s="38">
        <v>0.75</v>
      </c>
      <c r="N1787" s="38">
        <f t="shared" si="27"/>
        <v>1.5</v>
      </c>
    </row>
    <row r="1788" spans="1:14">
      <c r="A1788" s="29">
        <v>43761</v>
      </c>
      <c r="B1788" s="22" t="s">
        <v>50</v>
      </c>
      <c r="C1788" s="22" t="s">
        <v>57</v>
      </c>
      <c r="D1788" s="48" t="s">
        <v>5</v>
      </c>
      <c r="E1788" t="s">
        <v>159</v>
      </c>
      <c r="F1788">
        <v>2019</v>
      </c>
      <c r="G1788" t="s">
        <v>247</v>
      </c>
      <c r="H1788" s="42" t="s">
        <v>57</v>
      </c>
      <c r="J1788" t="s">
        <v>248</v>
      </c>
      <c r="L1788" s="34">
        <v>2</v>
      </c>
      <c r="M1788" s="38">
        <v>0.75</v>
      </c>
      <c r="N1788" s="38">
        <f t="shared" si="27"/>
        <v>1.5</v>
      </c>
    </row>
    <row r="1789" spans="1:14">
      <c r="A1789" s="29">
        <v>43761</v>
      </c>
      <c r="B1789" s="22" t="s">
        <v>50</v>
      </c>
      <c r="C1789" s="22" t="s">
        <v>57</v>
      </c>
      <c r="D1789" s="48" t="s">
        <v>5</v>
      </c>
      <c r="E1789" t="s">
        <v>159</v>
      </c>
      <c r="F1789">
        <v>2019</v>
      </c>
      <c r="G1789" t="s">
        <v>319</v>
      </c>
      <c r="H1789" s="42" t="s">
        <v>57</v>
      </c>
      <c r="J1789" t="s">
        <v>248</v>
      </c>
      <c r="L1789" s="34">
        <v>2</v>
      </c>
      <c r="M1789" s="38">
        <v>0.75</v>
      </c>
      <c r="N1789" s="38">
        <f t="shared" si="27"/>
        <v>1.5</v>
      </c>
    </row>
    <row r="1790" spans="1:14">
      <c r="A1790" s="29">
        <v>43761</v>
      </c>
      <c r="B1790" s="22" t="s">
        <v>50</v>
      </c>
      <c r="C1790" s="22" t="s">
        <v>57</v>
      </c>
      <c r="D1790" s="48" t="s">
        <v>5</v>
      </c>
      <c r="E1790" t="s">
        <v>159</v>
      </c>
      <c r="F1790">
        <v>2019</v>
      </c>
      <c r="G1790" t="s">
        <v>326</v>
      </c>
      <c r="H1790" s="42" t="s">
        <v>57</v>
      </c>
      <c r="J1790" t="s">
        <v>248</v>
      </c>
      <c r="L1790" s="34">
        <v>2</v>
      </c>
      <c r="M1790" s="38">
        <v>0.75</v>
      </c>
      <c r="N1790" s="38">
        <f t="shared" si="27"/>
        <v>1.5</v>
      </c>
    </row>
    <row r="1791" spans="1:14">
      <c r="A1791" s="29">
        <v>43761</v>
      </c>
      <c r="B1791" s="22" t="s">
        <v>74</v>
      </c>
      <c r="C1791" s="22" t="s">
        <v>57</v>
      </c>
      <c r="D1791" s="48" t="s">
        <v>5</v>
      </c>
      <c r="E1791" t="s">
        <v>262</v>
      </c>
      <c r="F1791">
        <v>2018</v>
      </c>
      <c r="G1791" t="s">
        <v>307</v>
      </c>
      <c r="H1791" s="42" t="s">
        <v>57</v>
      </c>
      <c r="J1791" t="s">
        <v>248</v>
      </c>
      <c r="L1791" s="34">
        <v>1</v>
      </c>
      <c r="M1791" s="38">
        <v>0.75</v>
      </c>
      <c r="N1791" s="38">
        <f t="shared" si="27"/>
        <v>0.75</v>
      </c>
    </row>
    <row r="1792" spans="1:14">
      <c r="A1792" s="29">
        <v>43766</v>
      </c>
      <c r="B1792" s="22" t="s">
        <v>647</v>
      </c>
      <c r="C1792" s="22" t="s">
        <v>57</v>
      </c>
      <c r="D1792" s="48" t="s">
        <v>8</v>
      </c>
      <c r="E1792" t="s">
        <v>272</v>
      </c>
      <c r="F1792">
        <v>2019</v>
      </c>
      <c r="G1792" t="s">
        <v>618</v>
      </c>
      <c r="H1792" s="42" t="s">
        <v>57</v>
      </c>
      <c r="J1792" t="s">
        <v>248</v>
      </c>
      <c r="L1792" s="34">
        <v>4</v>
      </c>
      <c r="M1792" s="38">
        <v>0.75</v>
      </c>
      <c r="N1792" s="38">
        <f t="shared" si="27"/>
        <v>3</v>
      </c>
    </row>
    <row r="1793" spans="1:14">
      <c r="A1793" s="29">
        <v>43766</v>
      </c>
      <c r="B1793" s="22" t="s">
        <v>647</v>
      </c>
      <c r="C1793" s="22" t="s">
        <v>57</v>
      </c>
      <c r="D1793" s="48" t="s">
        <v>5</v>
      </c>
      <c r="E1793" t="s">
        <v>255</v>
      </c>
      <c r="F1793">
        <v>2019</v>
      </c>
      <c r="G1793" t="s">
        <v>618</v>
      </c>
      <c r="H1793" s="42" t="s">
        <v>57</v>
      </c>
      <c r="J1793" t="s">
        <v>248</v>
      </c>
      <c r="L1793" s="34">
        <v>2</v>
      </c>
      <c r="M1793" s="38">
        <v>0.75</v>
      </c>
      <c r="N1793" s="38">
        <f t="shared" si="27"/>
        <v>1.5</v>
      </c>
    </row>
    <row r="1794" spans="1:14">
      <c r="A1794" s="29">
        <v>43766</v>
      </c>
      <c r="B1794" s="22" t="s">
        <v>647</v>
      </c>
      <c r="C1794" s="22" t="s">
        <v>57</v>
      </c>
      <c r="D1794" s="48" t="s">
        <v>5</v>
      </c>
      <c r="E1794" t="s">
        <v>161</v>
      </c>
      <c r="F1794">
        <v>2019</v>
      </c>
      <c r="G1794" t="s">
        <v>57</v>
      </c>
      <c r="H1794" s="42">
        <v>329</v>
      </c>
      <c r="J1794" t="s">
        <v>248</v>
      </c>
      <c r="L1794" s="34">
        <v>2</v>
      </c>
      <c r="M1794" s="38">
        <v>0.75</v>
      </c>
      <c r="N1794" s="38">
        <f t="shared" si="27"/>
        <v>1.5</v>
      </c>
    </row>
    <row r="1795" spans="1:14">
      <c r="A1795" s="29">
        <v>43766</v>
      </c>
      <c r="B1795" s="22" t="s">
        <v>57</v>
      </c>
      <c r="C1795" s="22" t="s">
        <v>45</v>
      </c>
      <c r="D1795" s="48" t="s">
        <v>5</v>
      </c>
      <c r="E1795" t="s">
        <v>157</v>
      </c>
      <c r="F1795">
        <v>2019</v>
      </c>
      <c r="G1795" t="s">
        <v>326</v>
      </c>
      <c r="H1795" s="42">
        <v>199</v>
      </c>
      <c r="J1795" t="s">
        <v>248</v>
      </c>
      <c r="L1795" s="34">
        <v>3</v>
      </c>
      <c r="M1795" s="38">
        <v>0.75</v>
      </c>
      <c r="N1795" s="38">
        <f t="shared" ref="N1795:N1858" si="28">M1795*L1795</f>
        <v>2.25</v>
      </c>
    </row>
    <row r="1796" spans="1:14">
      <c r="A1796" s="29">
        <v>43766</v>
      </c>
      <c r="B1796" s="22" t="s">
        <v>57</v>
      </c>
      <c r="C1796" s="22" t="s">
        <v>45</v>
      </c>
      <c r="D1796" s="48" t="s">
        <v>5</v>
      </c>
      <c r="E1796" t="s">
        <v>157</v>
      </c>
      <c r="F1796">
        <v>2019</v>
      </c>
      <c r="G1796" t="s">
        <v>247</v>
      </c>
      <c r="H1796" s="42" t="s">
        <v>57</v>
      </c>
      <c r="J1796" t="s">
        <v>248</v>
      </c>
      <c r="L1796" s="34">
        <v>3</v>
      </c>
      <c r="M1796" s="38">
        <v>0.75</v>
      </c>
      <c r="N1796" s="38">
        <f t="shared" si="28"/>
        <v>2.25</v>
      </c>
    </row>
    <row r="1797" spans="1:14">
      <c r="A1797" s="29">
        <v>43766</v>
      </c>
      <c r="B1797" s="22" t="s">
        <v>57</v>
      </c>
      <c r="C1797" s="22" t="s">
        <v>45</v>
      </c>
      <c r="D1797" s="48" t="s">
        <v>5</v>
      </c>
      <c r="E1797" t="s">
        <v>159</v>
      </c>
      <c r="F1797">
        <v>2019</v>
      </c>
      <c r="G1797" t="s">
        <v>247</v>
      </c>
      <c r="H1797" s="42" t="s">
        <v>57</v>
      </c>
      <c r="J1797" t="s">
        <v>248</v>
      </c>
      <c r="L1797" s="34">
        <v>3</v>
      </c>
      <c r="M1797" s="38">
        <v>0.75</v>
      </c>
      <c r="N1797" s="38">
        <f t="shared" si="28"/>
        <v>2.25</v>
      </c>
    </row>
    <row r="1798" spans="1:14">
      <c r="A1798" s="29">
        <v>43766</v>
      </c>
      <c r="B1798" s="22" t="s">
        <v>57</v>
      </c>
      <c r="C1798" s="22" t="s">
        <v>45</v>
      </c>
      <c r="D1798" s="48" t="s">
        <v>5</v>
      </c>
      <c r="E1798" t="s">
        <v>159</v>
      </c>
      <c r="F1798">
        <v>2019</v>
      </c>
      <c r="G1798" t="s">
        <v>319</v>
      </c>
      <c r="H1798" s="42">
        <v>200</v>
      </c>
      <c r="J1798" t="s">
        <v>248</v>
      </c>
      <c r="L1798" s="34">
        <v>3</v>
      </c>
      <c r="M1798" s="38">
        <v>0.75</v>
      </c>
      <c r="N1798" s="38">
        <f t="shared" si="28"/>
        <v>2.25</v>
      </c>
    </row>
    <row r="1799" spans="1:14">
      <c r="A1799" s="29">
        <v>43766</v>
      </c>
      <c r="B1799" s="22" t="s">
        <v>57</v>
      </c>
      <c r="C1799" s="22" t="s">
        <v>45</v>
      </c>
      <c r="D1799" s="48" t="s">
        <v>5</v>
      </c>
      <c r="E1799" t="s">
        <v>159</v>
      </c>
      <c r="F1799">
        <v>2019</v>
      </c>
      <c r="G1799" t="s">
        <v>326</v>
      </c>
      <c r="H1799" s="42" t="s">
        <v>57</v>
      </c>
      <c r="J1799" t="s">
        <v>248</v>
      </c>
      <c r="L1799" s="34">
        <v>3</v>
      </c>
      <c r="M1799" s="38">
        <v>0.75</v>
      </c>
      <c r="N1799" s="38">
        <f t="shared" si="28"/>
        <v>2.25</v>
      </c>
    </row>
    <row r="1800" spans="1:14">
      <c r="A1800" s="29">
        <v>43766</v>
      </c>
      <c r="B1800" s="22" t="s">
        <v>57</v>
      </c>
      <c r="C1800" s="22" t="s">
        <v>45</v>
      </c>
      <c r="D1800" s="48" t="s">
        <v>5</v>
      </c>
      <c r="E1800" t="s">
        <v>158</v>
      </c>
      <c r="F1800">
        <v>2019</v>
      </c>
      <c r="G1800" t="s">
        <v>335</v>
      </c>
      <c r="H1800" s="42" t="s">
        <v>57</v>
      </c>
      <c r="J1800" t="s">
        <v>248</v>
      </c>
      <c r="L1800" s="34">
        <v>3</v>
      </c>
      <c r="M1800" s="38">
        <v>0.75</v>
      </c>
      <c r="N1800" s="38">
        <f t="shared" si="28"/>
        <v>2.25</v>
      </c>
    </row>
    <row r="1801" spans="1:14">
      <c r="A1801" s="29">
        <v>43766</v>
      </c>
      <c r="B1801" s="22" t="s">
        <v>57</v>
      </c>
      <c r="C1801" s="22" t="s">
        <v>45</v>
      </c>
      <c r="D1801" s="48" t="s">
        <v>5</v>
      </c>
      <c r="E1801" t="s">
        <v>158</v>
      </c>
      <c r="F1801">
        <v>2019</v>
      </c>
      <c r="G1801" t="s">
        <v>648</v>
      </c>
      <c r="H1801" s="42" t="s">
        <v>57</v>
      </c>
      <c r="J1801" t="s">
        <v>248</v>
      </c>
      <c r="L1801" s="34">
        <v>3</v>
      </c>
      <c r="M1801" s="38">
        <v>0.75</v>
      </c>
      <c r="N1801" s="38">
        <f t="shared" si="28"/>
        <v>2.25</v>
      </c>
    </row>
    <row r="1802" spans="1:14">
      <c r="A1802" s="29">
        <v>43766</v>
      </c>
      <c r="B1802" s="22" t="s">
        <v>586</v>
      </c>
      <c r="C1802" s="22" t="s">
        <v>57</v>
      </c>
      <c r="D1802" s="48" t="s">
        <v>5</v>
      </c>
      <c r="E1802" t="s">
        <v>494</v>
      </c>
      <c r="F1802">
        <v>2018</v>
      </c>
      <c r="G1802" t="s">
        <v>57</v>
      </c>
      <c r="H1802" s="42">
        <v>313</v>
      </c>
      <c r="J1802" t="s">
        <v>248</v>
      </c>
      <c r="L1802" s="34">
        <v>1</v>
      </c>
      <c r="M1802" s="38">
        <v>0.75</v>
      </c>
      <c r="N1802" s="38">
        <f t="shared" si="28"/>
        <v>0.75</v>
      </c>
    </row>
    <row r="1803" spans="1:14">
      <c r="A1803" s="29">
        <v>43766</v>
      </c>
      <c r="B1803" s="22" t="s">
        <v>9</v>
      </c>
      <c r="C1803" s="22" t="s">
        <v>41</v>
      </c>
      <c r="D1803" s="48" t="s">
        <v>5</v>
      </c>
      <c r="E1803" t="s">
        <v>157</v>
      </c>
      <c r="F1803">
        <v>2019</v>
      </c>
      <c r="G1803" t="s">
        <v>326</v>
      </c>
      <c r="H1803" s="42">
        <v>199</v>
      </c>
      <c r="J1803" t="s">
        <v>248</v>
      </c>
      <c r="L1803" s="34">
        <v>1</v>
      </c>
      <c r="M1803" s="38">
        <v>0.75</v>
      </c>
      <c r="N1803" s="38">
        <f t="shared" si="28"/>
        <v>0.75</v>
      </c>
    </row>
    <row r="1804" spans="1:14">
      <c r="A1804" s="29">
        <v>43766</v>
      </c>
      <c r="B1804" s="22" t="s">
        <v>9</v>
      </c>
      <c r="C1804" s="22" t="s">
        <v>41</v>
      </c>
      <c r="D1804" s="48" t="s">
        <v>5</v>
      </c>
      <c r="E1804" t="s">
        <v>157</v>
      </c>
      <c r="F1804">
        <v>2019</v>
      </c>
      <c r="G1804" t="s">
        <v>247</v>
      </c>
      <c r="H1804" s="42" t="s">
        <v>57</v>
      </c>
      <c r="J1804" t="s">
        <v>248</v>
      </c>
      <c r="L1804" s="34">
        <v>1</v>
      </c>
      <c r="M1804" s="38">
        <v>0.75</v>
      </c>
      <c r="N1804" s="38">
        <f t="shared" si="28"/>
        <v>0.75</v>
      </c>
    </row>
    <row r="1805" spans="1:14">
      <c r="A1805" s="29">
        <v>43766</v>
      </c>
      <c r="B1805" s="22" t="s">
        <v>9</v>
      </c>
      <c r="C1805" s="22" t="s">
        <v>41</v>
      </c>
      <c r="D1805" s="48" t="s">
        <v>5</v>
      </c>
      <c r="E1805" t="s">
        <v>159</v>
      </c>
      <c r="F1805">
        <v>2019</v>
      </c>
      <c r="G1805" t="s">
        <v>247</v>
      </c>
      <c r="H1805" s="42" t="s">
        <v>57</v>
      </c>
      <c r="J1805" t="s">
        <v>248</v>
      </c>
      <c r="L1805" s="34">
        <v>1</v>
      </c>
      <c r="M1805" s="38">
        <v>0.75</v>
      </c>
      <c r="N1805" s="38">
        <f t="shared" si="28"/>
        <v>0.75</v>
      </c>
    </row>
    <row r="1806" spans="1:14">
      <c r="A1806" s="29">
        <v>43766</v>
      </c>
      <c r="B1806" s="22" t="s">
        <v>9</v>
      </c>
      <c r="C1806" s="22" t="s">
        <v>41</v>
      </c>
      <c r="D1806" s="48" t="s">
        <v>5</v>
      </c>
      <c r="E1806" t="s">
        <v>159</v>
      </c>
      <c r="F1806">
        <v>2019</v>
      </c>
      <c r="G1806" t="s">
        <v>319</v>
      </c>
      <c r="H1806" s="42">
        <v>200</v>
      </c>
      <c r="J1806" t="s">
        <v>248</v>
      </c>
      <c r="L1806" s="34">
        <v>1</v>
      </c>
      <c r="M1806" s="38">
        <v>0.75</v>
      </c>
      <c r="N1806" s="38">
        <f t="shared" si="28"/>
        <v>0.75</v>
      </c>
    </row>
    <row r="1807" spans="1:14">
      <c r="A1807" s="29">
        <v>43766</v>
      </c>
      <c r="B1807" s="22" t="s">
        <v>9</v>
      </c>
      <c r="C1807" s="22" t="s">
        <v>41</v>
      </c>
      <c r="D1807" s="48" t="s">
        <v>5</v>
      </c>
      <c r="E1807" t="s">
        <v>255</v>
      </c>
      <c r="F1807">
        <v>2019</v>
      </c>
      <c r="G1807" t="s">
        <v>618</v>
      </c>
      <c r="H1807" s="42" t="s">
        <v>57</v>
      </c>
      <c r="J1807" t="s">
        <v>248</v>
      </c>
      <c r="L1807" s="34">
        <v>1</v>
      </c>
      <c r="M1807" s="38">
        <v>0.75</v>
      </c>
      <c r="N1807" s="38">
        <f t="shared" si="28"/>
        <v>0.75</v>
      </c>
    </row>
    <row r="1808" spans="1:14">
      <c r="A1808" s="29">
        <v>43766</v>
      </c>
      <c r="B1808" s="22" t="s">
        <v>9</v>
      </c>
      <c r="C1808" s="22" t="s">
        <v>41</v>
      </c>
      <c r="D1808" s="48" t="s">
        <v>8</v>
      </c>
      <c r="E1808" t="s">
        <v>259</v>
      </c>
      <c r="F1808">
        <v>2019</v>
      </c>
      <c r="G1808" t="s">
        <v>57</v>
      </c>
      <c r="H1808" s="42">
        <v>322</v>
      </c>
      <c r="J1808" t="s">
        <v>248</v>
      </c>
      <c r="L1808" s="34">
        <v>1</v>
      </c>
      <c r="M1808" s="38">
        <v>0.75</v>
      </c>
      <c r="N1808" s="38">
        <f t="shared" si="28"/>
        <v>0.75</v>
      </c>
    </row>
    <row r="1809" spans="1:14">
      <c r="A1809" s="29">
        <v>43767</v>
      </c>
      <c r="B1809" s="22" t="s">
        <v>77</v>
      </c>
      <c r="C1809" s="22" t="s">
        <v>47</v>
      </c>
      <c r="D1809" s="48" t="s">
        <v>5</v>
      </c>
      <c r="E1809" t="s">
        <v>159</v>
      </c>
      <c r="F1809">
        <v>2019</v>
      </c>
      <c r="G1809" t="s">
        <v>247</v>
      </c>
      <c r="H1809" s="42" t="s">
        <v>57</v>
      </c>
      <c r="J1809" t="s">
        <v>248</v>
      </c>
      <c r="L1809" s="34">
        <v>2</v>
      </c>
      <c r="M1809" s="38">
        <v>0.75</v>
      </c>
      <c r="N1809" s="38">
        <f t="shared" si="28"/>
        <v>1.5</v>
      </c>
    </row>
    <row r="1810" spans="1:14">
      <c r="A1810" s="29">
        <v>43767</v>
      </c>
      <c r="B1810" s="22" t="s">
        <v>77</v>
      </c>
      <c r="C1810" s="22" t="s">
        <v>47</v>
      </c>
      <c r="D1810" s="48" t="s">
        <v>5</v>
      </c>
      <c r="E1810" t="s">
        <v>159</v>
      </c>
      <c r="F1810">
        <v>2019</v>
      </c>
      <c r="G1810" t="s">
        <v>319</v>
      </c>
      <c r="H1810" s="42">
        <v>200</v>
      </c>
      <c r="J1810" t="s">
        <v>248</v>
      </c>
      <c r="L1810" s="34">
        <v>2</v>
      </c>
      <c r="M1810" s="38">
        <v>0.75</v>
      </c>
      <c r="N1810" s="38">
        <f t="shared" si="28"/>
        <v>1.5</v>
      </c>
    </row>
    <row r="1811" spans="1:14">
      <c r="A1811" s="29">
        <v>43767</v>
      </c>
      <c r="B1811" s="22" t="s">
        <v>77</v>
      </c>
      <c r="C1811" s="22" t="s">
        <v>47</v>
      </c>
      <c r="D1811" s="48" t="s">
        <v>5</v>
      </c>
      <c r="E1811" t="s">
        <v>159</v>
      </c>
      <c r="F1811">
        <v>2019</v>
      </c>
      <c r="G1811" t="s">
        <v>326</v>
      </c>
      <c r="H1811" s="42" t="s">
        <v>57</v>
      </c>
      <c r="J1811" t="s">
        <v>248</v>
      </c>
      <c r="L1811" s="34">
        <v>2</v>
      </c>
      <c r="M1811" s="38">
        <v>0.75</v>
      </c>
      <c r="N1811" s="38">
        <f t="shared" si="28"/>
        <v>1.5</v>
      </c>
    </row>
    <row r="1812" spans="1:14">
      <c r="A1812" s="29">
        <v>43767</v>
      </c>
      <c r="B1812" s="22" t="s">
        <v>19</v>
      </c>
      <c r="C1812" s="22" t="s">
        <v>47</v>
      </c>
      <c r="D1812" s="48" t="s">
        <v>5</v>
      </c>
      <c r="E1812" t="s">
        <v>255</v>
      </c>
      <c r="F1812">
        <v>2019</v>
      </c>
      <c r="G1812" t="s">
        <v>618</v>
      </c>
      <c r="H1812" s="42" t="s">
        <v>57</v>
      </c>
      <c r="J1812" t="s">
        <v>248</v>
      </c>
      <c r="L1812" s="34">
        <v>2</v>
      </c>
      <c r="M1812" s="38">
        <v>0.75</v>
      </c>
      <c r="N1812" s="38">
        <f t="shared" si="28"/>
        <v>1.5</v>
      </c>
    </row>
    <row r="1813" spans="1:14">
      <c r="A1813" s="29">
        <v>43767</v>
      </c>
      <c r="B1813" s="22" t="s">
        <v>19</v>
      </c>
      <c r="C1813" s="22" t="s">
        <v>47</v>
      </c>
      <c r="D1813" s="48" t="s">
        <v>5</v>
      </c>
      <c r="E1813" t="s">
        <v>161</v>
      </c>
      <c r="F1813">
        <v>2019</v>
      </c>
      <c r="G1813" t="s">
        <v>57</v>
      </c>
      <c r="H1813" s="42">
        <v>329</v>
      </c>
      <c r="J1813" t="s">
        <v>248</v>
      </c>
      <c r="L1813" s="34">
        <v>2</v>
      </c>
      <c r="M1813" s="38">
        <v>0.75</v>
      </c>
      <c r="N1813" s="38">
        <f t="shared" si="28"/>
        <v>1.5</v>
      </c>
    </row>
    <row r="1814" spans="1:14">
      <c r="A1814" s="29">
        <v>43767</v>
      </c>
      <c r="B1814" s="22" t="s">
        <v>58</v>
      </c>
      <c r="C1814" s="22" t="s">
        <v>47</v>
      </c>
      <c r="D1814" s="48" t="s">
        <v>5</v>
      </c>
      <c r="E1814" t="s">
        <v>182</v>
      </c>
      <c r="F1814">
        <v>2019</v>
      </c>
      <c r="G1814" t="s">
        <v>57</v>
      </c>
      <c r="H1814" s="42">
        <v>32</v>
      </c>
      <c r="J1814" t="s">
        <v>248</v>
      </c>
      <c r="L1814" s="34">
        <v>2</v>
      </c>
      <c r="M1814" s="38">
        <v>0.75</v>
      </c>
      <c r="N1814" s="38">
        <f t="shared" si="28"/>
        <v>1.5</v>
      </c>
    </row>
    <row r="1815" spans="1:14">
      <c r="A1815" s="29">
        <v>43767</v>
      </c>
      <c r="B1815" s="22" t="s">
        <v>58</v>
      </c>
      <c r="C1815" s="22" t="s">
        <v>47</v>
      </c>
      <c r="D1815" s="48" t="s">
        <v>5</v>
      </c>
      <c r="E1815" t="s">
        <v>159</v>
      </c>
      <c r="F1815">
        <v>2019</v>
      </c>
      <c r="G1815" t="s">
        <v>247</v>
      </c>
      <c r="H1815" s="42" t="s">
        <v>57</v>
      </c>
      <c r="J1815" t="s">
        <v>248</v>
      </c>
      <c r="L1815" s="34">
        <v>2</v>
      </c>
      <c r="M1815" s="38">
        <v>0.75</v>
      </c>
      <c r="N1815" s="38">
        <f t="shared" si="28"/>
        <v>1.5</v>
      </c>
    </row>
    <row r="1816" spans="1:14">
      <c r="A1816" s="29">
        <v>43767</v>
      </c>
      <c r="B1816" s="22" t="s">
        <v>58</v>
      </c>
      <c r="C1816" s="22" t="s">
        <v>47</v>
      </c>
      <c r="D1816" s="48" t="s">
        <v>5</v>
      </c>
      <c r="E1816" t="s">
        <v>159</v>
      </c>
      <c r="F1816">
        <v>2019</v>
      </c>
      <c r="G1816" t="s">
        <v>319</v>
      </c>
      <c r="H1816" s="42">
        <v>200</v>
      </c>
      <c r="J1816" t="s">
        <v>248</v>
      </c>
      <c r="L1816" s="34">
        <v>2</v>
      </c>
      <c r="M1816" s="38">
        <v>0.75</v>
      </c>
      <c r="N1816" s="38">
        <f t="shared" si="28"/>
        <v>1.5</v>
      </c>
    </row>
    <row r="1817" spans="1:14">
      <c r="A1817" s="29">
        <v>43767</v>
      </c>
      <c r="B1817" s="22" t="s">
        <v>58</v>
      </c>
      <c r="C1817" s="22" t="s">
        <v>47</v>
      </c>
      <c r="D1817" s="48" t="s">
        <v>5</v>
      </c>
      <c r="E1817" t="s">
        <v>159</v>
      </c>
      <c r="F1817">
        <v>2019</v>
      </c>
      <c r="G1817" t="s">
        <v>326</v>
      </c>
      <c r="H1817" s="42" t="s">
        <v>57</v>
      </c>
      <c r="J1817" t="s">
        <v>248</v>
      </c>
      <c r="L1817" s="34">
        <v>2</v>
      </c>
      <c r="M1817" s="38">
        <v>0.75</v>
      </c>
      <c r="N1817" s="38">
        <f t="shared" si="28"/>
        <v>1.5</v>
      </c>
    </row>
    <row r="1818" spans="1:14">
      <c r="A1818" s="29">
        <v>43767</v>
      </c>
      <c r="B1818" s="22" t="s">
        <v>58</v>
      </c>
      <c r="C1818" s="22" t="s">
        <v>47</v>
      </c>
      <c r="D1818" s="48" t="s">
        <v>5</v>
      </c>
      <c r="E1818" t="s">
        <v>161</v>
      </c>
      <c r="F1818">
        <v>2019</v>
      </c>
      <c r="G1818" t="s">
        <v>57</v>
      </c>
      <c r="H1818" s="42">
        <v>329</v>
      </c>
      <c r="J1818" t="s">
        <v>248</v>
      </c>
      <c r="L1818" s="34">
        <v>2</v>
      </c>
      <c r="M1818" s="38">
        <v>0.75</v>
      </c>
      <c r="N1818" s="38">
        <f t="shared" si="28"/>
        <v>1.5</v>
      </c>
    </row>
    <row r="1819" spans="1:14">
      <c r="A1819" s="29">
        <v>43767</v>
      </c>
      <c r="B1819" s="22" t="s">
        <v>58</v>
      </c>
      <c r="C1819" s="22" t="s">
        <v>47</v>
      </c>
      <c r="D1819" s="48" t="s">
        <v>5</v>
      </c>
      <c r="E1819" t="s">
        <v>267</v>
      </c>
      <c r="F1819">
        <v>2019</v>
      </c>
      <c r="G1819" t="s">
        <v>57</v>
      </c>
      <c r="H1819" s="42" t="s">
        <v>639</v>
      </c>
      <c r="J1819" t="s">
        <v>248</v>
      </c>
      <c r="L1819" s="34">
        <v>2</v>
      </c>
      <c r="M1819" s="38">
        <v>0.75</v>
      </c>
      <c r="N1819" s="38">
        <f t="shared" si="28"/>
        <v>1.5</v>
      </c>
    </row>
    <row r="1820" spans="1:14">
      <c r="A1820" s="29">
        <v>43767</v>
      </c>
      <c r="B1820" s="22" t="s">
        <v>58</v>
      </c>
      <c r="C1820" s="22" t="s">
        <v>47</v>
      </c>
      <c r="D1820" s="48" t="s">
        <v>5</v>
      </c>
      <c r="E1820" t="s">
        <v>287</v>
      </c>
      <c r="F1820">
        <v>2019</v>
      </c>
      <c r="G1820" t="s">
        <v>57</v>
      </c>
      <c r="H1820" s="42">
        <v>71</v>
      </c>
      <c r="J1820" t="s">
        <v>248</v>
      </c>
      <c r="L1820" s="34">
        <v>2</v>
      </c>
      <c r="M1820" s="38">
        <v>0.75</v>
      </c>
      <c r="N1820" s="38">
        <f t="shared" si="28"/>
        <v>1.5</v>
      </c>
    </row>
    <row r="1821" spans="1:14">
      <c r="A1821" s="29">
        <v>43767</v>
      </c>
      <c r="B1821" s="22" t="s">
        <v>58</v>
      </c>
      <c r="C1821" s="22" t="s">
        <v>47</v>
      </c>
      <c r="D1821" s="48" t="s">
        <v>5</v>
      </c>
      <c r="E1821" t="s">
        <v>255</v>
      </c>
      <c r="F1821">
        <v>2019</v>
      </c>
      <c r="G1821" t="s">
        <v>618</v>
      </c>
      <c r="H1821" s="42" t="s">
        <v>57</v>
      </c>
      <c r="J1821" t="s">
        <v>248</v>
      </c>
      <c r="L1821" s="34">
        <v>2</v>
      </c>
      <c r="M1821" s="38">
        <v>0.75</v>
      </c>
      <c r="N1821" s="38">
        <f t="shared" si="28"/>
        <v>1.5</v>
      </c>
    </row>
    <row r="1822" spans="1:14">
      <c r="A1822" s="29">
        <v>43773</v>
      </c>
      <c r="B1822" s="22" t="s">
        <v>19</v>
      </c>
      <c r="C1822" s="22" t="s">
        <v>47</v>
      </c>
      <c r="D1822" s="48" t="s">
        <v>5</v>
      </c>
      <c r="E1822" t="s">
        <v>255</v>
      </c>
      <c r="F1822">
        <v>2019</v>
      </c>
      <c r="G1822" t="s">
        <v>618</v>
      </c>
      <c r="H1822" s="42" t="s">
        <v>57</v>
      </c>
      <c r="J1822" t="s">
        <v>248</v>
      </c>
      <c r="L1822" s="34">
        <v>1</v>
      </c>
      <c r="M1822" s="38">
        <v>0.75</v>
      </c>
      <c r="N1822" s="38">
        <f t="shared" si="28"/>
        <v>0.75</v>
      </c>
    </row>
    <row r="1823" spans="1:14">
      <c r="A1823" s="29">
        <v>43773</v>
      </c>
      <c r="B1823" s="22" t="s">
        <v>19</v>
      </c>
      <c r="C1823" s="22" t="s">
        <v>47</v>
      </c>
      <c r="D1823" s="48" t="s">
        <v>5</v>
      </c>
      <c r="E1823" t="s">
        <v>161</v>
      </c>
      <c r="F1823">
        <v>2019</v>
      </c>
      <c r="G1823" t="s">
        <v>57</v>
      </c>
      <c r="H1823" s="42">
        <v>329</v>
      </c>
      <c r="J1823" t="s">
        <v>248</v>
      </c>
      <c r="L1823" s="34">
        <v>1</v>
      </c>
      <c r="M1823" s="38">
        <v>0.75</v>
      </c>
      <c r="N1823" s="38">
        <f t="shared" si="28"/>
        <v>0.75</v>
      </c>
    </row>
    <row r="1824" spans="1:14">
      <c r="A1824" s="29">
        <v>43773</v>
      </c>
      <c r="B1824" s="22" t="s">
        <v>19</v>
      </c>
      <c r="C1824" s="22" t="s">
        <v>47</v>
      </c>
      <c r="D1824" s="48" t="s">
        <v>5</v>
      </c>
      <c r="E1824" t="s">
        <v>159</v>
      </c>
      <c r="F1824">
        <v>2019</v>
      </c>
      <c r="G1824" t="s">
        <v>247</v>
      </c>
      <c r="H1824" s="42" t="s">
        <v>57</v>
      </c>
      <c r="J1824" t="s">
        <v>248</v>
      </c>
      <c r="L1824" s="34">
        <v>1</v>
      </c>
      <c r="M1824" s="38">
        <v>0.75</v>
      </c>
      <c r="N1824" s="38">
        <f t="shared" si="28"/>
        <v>0.75</v>
      </c>
    </row>
    <row r="1825" spans="1:14">
      <c r="A1825" s="29">
        <v>43773</v>
      </c>
      <c r="B1825" s="22" t="s">
        <v>647</v>
      </c>
      <c r="C1825" s="22" t="s">
        <v>57</v>
      </c>
      <c r="D1825" s="48" t="s">
        <v>5</v>
      </c>
      <c r="E1825" t="s">
        <v>159</v>
      </c>
      <c r="F1825">
        <v>2019</v>
      </c>
      <c r="G1825" t="s">
        <v>319</v>
      </c>
      <c r="H1825" s="42">
        <v>54</v>
      </c>
      <c r="J1825" t="s">
        <v>248</v>
      </c>
      <c r="L1825" s="34">
        <v>3</v>
      </c>
      <c r="M1825" s="38">
        <v>0.75</v>
      </c>
      <c r="N1825" s="38">
        <f t="shared" si="28"/>
        <v>2.25</v>
      </c>
    </row>
    <row r="1826" spans="1:14">
      <c r="A1826" s="29">
        <v>43773</v>
      </c>
      <c r="B1826" s="22" t="s">
        <v>647</v>
      </c>
      <c r="C1826" s="22" t="s">
        <v>57</v>
      </c>
      <c r="D1826" s="48" t="s">
        <v>5</v>
      </c>
      <c r="E1826" t="s">
        <v>157</v>
      </c>
      <c r="F1826">
        <v>2019</v>
      </c>
      <c r="G1826" t="s">
        <v>326</v>
      </c>
      <c r="H1826" s="42">
        <v>199</v>
      </c>
      <c r="J1826" t="s">
        <v>248</v>
      </c>
      <c r="L1826" s="34">
        <v>3</v>
      </c>
      <c r="M1826" s="38">
        <v>0.75</v>
      </c>
      <c r="N1826" s="38">
        <f t="shared" si="28"/>
        <v>2.25</v>
      </c>
    </row>
    <row r="1827" spans="1:14">
      <c r="A1827" s="29">
        <v>43773</v>
      </c>
      <c r="B1827" s="22" t="s">
        <v>647</v>
      </c>
      <c r="C1827" s="22" t="s">
        <v>57</v>
      </c>
      <c r="D1827" s="48" t="s">
        <v>8</v>
      </c>
      <c r="E1827" t="s">
        <v>272</v>
      </c>
      <c r="F1827">
        <v>2019</v>
      </c>
      <c r="G1827" t="s">
        <v>618</v>
      </c>
      <c r="H1827" s="42" t="s">
        <v>57</v>
      </c>
      <c r="J1827" t="s">
        <v>248</v>
      </c>
      <c r="L1827" s="34">
        <v>3</v>
      </c>
      <c r="M1827" s="38">
        <v>0.75</v>
      </c>
      <c r="N1827" s="38">
        <f t="shared" si="28"/>
        <v>2.25</v>
      </c>
    </row>
    <row r="1828" spans="1:14">
      <c r="A1828" s="29">
        <v>43773</v>
      </c>
      <c r="B1828" s="22" t="s">
        <v>109</v>
      </c>
      <c r="C1828" s="22" t="s">
        <v>57</v>
      </c>
      <c r="D1828" s="48" t="s">
        <v>8</v>
      </c>
      <c r="E1828" t="s">
        <v>184</v>
      </c>
      <c r="F1828">
        <v>2019</v>
      </c>
      <c r="G1828" t="s">
        <v>57</v>
      </c>
      <c r="H1828" s="42">
        <v>201</v>
      </c>
      <c r="J1828" t="s">
        <v>248</v>
      </c>
      <c r="L1828" s="34">
        <v>6</v>
      </c>
      <c r="M1828" s="38">
        <v>0.75</v>
      </c>
      <c r="N1828" s="38">
        <f t="shared" si="28"/>
        <v>4.5</v>
      </c>
    </row>
    <row r="1829" spans="1:14">
      <c r="A1829" s="29">
        <v>43773</v>
      </c>
      <c r="B1829" s="22" t="s">
        <v>63</v>
      </c>
      <c r="C1829" s="22" t="s">
        <v>57</v>
      </c>
      <c r="D1829" s="48" t="s">
        <v>5</v>
      </c>
      <c r="E1829" t="s">
        <v>159</v>
      </c>
      <c r="F1829">
        <v>2019</v>
      </c>
      <c r="G1829" t="s">
        <v>247</v>
      </c>
      <c r="H1829" s="42" t="s">
        <v>57</v>
      </c>
      <c r="J1829" t="s">
        <v>248</v>
      </c>
      <c r="L1829" s="34">
        <v>1</v>
      </c>
      <c r="M1829" s="38">
        <v>0.75</v>
      </c>
      <c r="N1829" s="38">
        <f t="shared" si="28"/>
        <v>0.75</v>
      </c>
    </row>
    <row r="1830" spans="1:14">
      <c r="A1830" s="29">
        <v>43773</v>
      </c>
      <c r="B1830" s="22" t="s">
        <v>63</v>
      </c>
      <c r="C1830" s="22" t="s">
        <v>57</v>
      </c>
      <c r="D1830" s="48" t="s">
        <v>5</v>
      </c>
      <c r="E1830" t="s">
        <v>159</v>
      </c>
      <c r="F1830">
        <v>2019</v>
      </c>
      <c r="G1830" t="s">
        <v>319</v>
      </c>
      <c r="H1830" s="42" t="s">
        <v>57</v>
      </c>
      <c r="J1830" t="s">
        <v>248</v>
      </c>
      <c r="L1830" s="34">
        <v>1</v>
      </c>
      <c r="M1830" s="38">
        <v>0.75</v>
      </c>
      <c r="N1830" s="38">
        <f t="shared" si="28"/>
        <v>0.75</v>
      </c>
    </row>
    <row r="1831" spans="1:14">
      <c r="A1831" s="29">
        <v>43773</v>
      </c>
      <c r="B1831" s="22" t="s">
        <v>63</v>
      </c>
      <c r="C1831" s="22" t="s">
        <v>57</v>
      </c>
      <c r="D1831" s="48" t="s">
        <v>5</v>
      </c>
      <c r="E1831" t="s">
        <v>159</v>
      </c>
      <c r="F1831">
        <v>2019</v>
      </c>
      <c r="G1831" t="s">
        <v>326</v>
      </c>
      <c r="H1831" s="42" t="s">
        <v>57</v>
      </c>
      <c r="J1831" t="s">
        <v>248</v>
      </c>
      <c r="L1831" s="34">
        <v>1</v>
      </c>
      <c r="M1831" s="38">
        <v>0.75</v>
      </c>
      <c r="N1831" s="38">
        <f t="shared" si="28"/>
        <v>0.75</v>
      </c>
    </row>
    <row r="1832" spans="1:14">
      <c r="A1832" s="29">
        <v>43773</v>
      </c>
      <c r="B1832" s="22" t="s">
        <v>63</v>
      </c>
      <c r="C1832" s="22" t="s">
        <v>57</v>
      </c>
      <c r="D1832" s="48" t="s">
        <v>5</v>
      </c>
      <c r="E1832" t="s">
        <v>157</v>
      </c>
      <c r="F1832">
        <v>2019</v>
      </c>
      <c r="G1832" t="s">
        <v>326</v>
      </c>
      <c r="H1832" s="42" t="s">
        <v>57</v>
      </c>
      <c r="J1832" t="s">
        <v>248</v>
      </c>
      <c r="L1832" s="34">
        <v>3</v>
      </c>
      <c r="M1832" s="38">
        <v>0.75</v>
      </c>
      <c r="N1832" s="38">
        <f t="shared" si="28"/>
        <v>2.25</v>
      </c>
    </row>
    <row r="1833" spans="1:14">
      <c r="A1833" s="29">
        <v>43773</v>
      </c>
      <c r="B1833" s="22" t="s">
        <v>63</v>
      </c>
      <c r="C1833" s="22" t="s">
        <v>57</v>
      </c>
      <c r="D1833" s="48" t="s">
        <v>5</v>
      </c>
      <c r="E1833" t="s">
        <v>157</v>
      </c>
      <c r="F1833">
        <v>2019</v>
      </c>
      <c r="G1833" t="s">
        <v>247</v>
      </c>
      <c r="H1833" s="42" t="s">
        <v>57</v>
      </c>
      <c r="J1833" t="s">
        <v>248</v>
      </c>
      <c r="L1833" s="34">
        <v>3</v>
      </c>
      <c r="M1833" s="38">
        <v>0.75</v>
      </c>
      <c r="N1833" s="38">
        <f t="shared" si="28"/>
        <v>2.25</v>
      </c>
    </row>
    <row r="1834" spans="1:14">
      <c r="A1834" s="29">
        <v>43773</v>
      </c>
      <c r="B1834" s="22" t="s">
        <v>63</v>
      </c>
      <c r="C1834" s="22" t="s">
        <v>57</v>
      </c>
      <c r="D1834" s="48" t="s">
        <v>5</v>
      </c>
      <c r="E1834" t="s">
        <v>255</v>
      </c>
      <c r="F1834">
        <v>2019</v>
      </c>
      <c r="G1834" t="s">
        <v>57</v>
      </c>
      <c r="H1834" s="42" t="s">
        <v>57</v>
      </c>
      <c r="J1834" t="s">
        <v>248</v>
      </c>
      <c r="L1834" s="34">
        <v>6</v>
      </c>
      <c r="M1834" s="38">
        <v>0.75</v>
      </c>
      <c r="N1834" s="38">
        <f t="shared" si="28"/>
        <v>4.5</v>
      </c>
    </row>
    <row r="1835" spans="1:14">
      <c r="A1835" s="29">
        <v>43773</v>
      </c>
      <c r="B1835" s="22" t="s">
        <v>63</v>
      </c>
      <c r="C1835" s="22" t="s">
        <v>57</v>
      </c>
      <c r="D1835" s="48" t="s">
        <v>8</v>
      </c>
      <c r="E1835" t="s">
        <v>272</v>
      </c>
      <c r="F1835">
        <v>2019</v>
      </c>
      <c r="G1835" t="s">
        <v>57</v>
      </c>
      <c r="H1835" s="42" t="s">
        <v>57</v>
      </c>
      <c r="J1835" t="s">
        <v>248</v>
      </c>
      <c r="L1835" s="34">
        <v>4</v>
      </c>
      <c r="M1835" s="38">
        <v>0.75</v>
      </c>
      <c r="N1835" s="38">
        <f t="shared" si="28"/>
        <v>3</v>
      </c>
    </row>
    <row r="1836" spans="1:14">
      <c r="A1836" s="29">
        <v>43774</v>
      </c>
      <c r="B1836" s="22" t="s">
        <v>81</v>
      </c>
      <c r="C1836" s="22" t="s">
        <v>57</v>
      </c>
      <c r="D1836" s="48" t="s">
        <v>5</v>
      </c>
      <c r="E1836" t="s">
        <v>159</v>
      </c>
      <c r="F1836">
        <v>2019</v>
      </c>
      <c r="G1836" t="s">
        <v>326</v>
      </c>
      <c r="H1836" s="42" t="s">
        <v>57</v>
      </c>
      <c r="J1836" t="s">
        <v>248</v>
      </c>
      <c r="L1836" s="34">
        <v>2</v>
      </c>
      <c r="M1836" s="38">
        <v>10</v>
      </c>
      <c r="N1836" s="38">
        <f t="shared" si="28"/>
        <v>20</v>
      </c>
    </row>
    <row r="1837" spans="1:14">
      <c r="A1837" s="29">
        <v>43775</v>
      </c>
      <c r="B1837" s="22" t="s">
        <v>81</v>
      </c>
      <c r="C1837" s="22" t="s">
        <v>57</v>
      </c>
      <c r="D1837" s="48" t="s">
        <v>5</v>
      </c>
      <c r="E1837" t="s">
        <v>158</v>
      </c>
      <c r="F1837">
        <v>2019</v>
      </c>
      <c r="G1837" t="s">
        <v>335</v>
      </c>
      <c r="H1837" s="42" t="s">
        <v>57</v>
      </c>
      <c r="J1837" t="s">
        <v>248</v>
      </c>
      <c r="L1837" s="34">
        <v>1</v>
      </c>
      <c r="M1837" s="38">
        <v>10</v>
      </c>
      <c r="N1837" s="38">
        <f t="shared" si="28"/>
        <v>10</v>
      </c>
    </row>
    <row r="1838" spans="1:14">
      <c r="A1838" s="29">
        <v>43775</v>
      </c>
      <c r="B1838" s="22" t="s">
        <v>81</v>
      </c>
      <c r="C1838" s="22" t="s">
        <v>57</v>
      </c>
      <c r="D1838" s="48" t="s">
        <v>5</v>
      </c>
      <c r="E1838" t="s">
        <v>157</v>
      </c>
      <c r="F1838">
        <v>2019</v>
      </c>
      <c r="G1838" t="s">
        <v>326</v>
      </c>
      <c r="H1838" s="42">
        <v>403</v>
      </c>
      <c r="J1838" t="s">
        <v>248</v>
      </c>
      <c r="L1838" s="34">
        <v>2</v>
      </c>
      <c r="M1838" s="38">
        <v>5</v>
      </c>
      <c r="N1838" s="38">
        <f t="shared" si="28"/>
        <v>10</v>
      </c>
    </row>
    <row r="1839" spans="1:14">
      <c r="A1839" s="29">
        <v>43775</v>
      </c>
      <c r="B1839" s="22" t="s">
        <v>81</v>
      </c>
      <c r="C1839" s="22" t="s">
        <v>57</v>
      </c>
      <c r="D1839" s="48" t="s">
        <v>5</v>
      </c>
      <c r="E1839" t="s">
        <v>157</v>
      </c>
      <c r="F1839">
        <v>2019</v>
      </c>
      <c r="G1839" t="s">
        <v>326</v>
      </c>
      <c r="H1839" s="42">
        <v>403</v>
      </c>
      <c r="J1839" t="s">
        <v>248</v>
      </c>
      <c r="L1839" s="34">
        <v>4</v>
      </c>
      <c r="M1839" s="38">
        <v>10</v>
      </c>
      <c r="N1839" s="38">
        <f t="shared" si="28"/>
        <v>40</v>
      </c>
    </row>
    <row r="1840" spans="1:14">
      <c r="A1840" s="29">
        <v>43775</v>
      </c>
      <c r="B1840" s="22" t="s">
        <v>655</v>
      </c>
      <c r="C1840" s="22" t="s">
        <v>57</v>
      </c>
      <c r="D1840" s="48" t="s">
        <v>5</v>
      </c>
      <c r="E1840" t="s">
        <v>159</v>
      </c>
      <c r="F1840">
        <v>2019</v>
      </c>
      <c r="G1840" t="s">
        <v>326</v>
      </c>
      <c r="H1840" s="42" t="s">
        <v>57</v>
      </c>
      <c r="J1840" t="s">
        <v>248</v>
      </c>
      <c r="L1840" s="34">
        <v>2</v>
      </c>
      <c r="M1840" s="38">
        <v>0.75</v>
      </c>
      <c r="N1840" s="38">
        <f t="shared" si="28"/>
        <v>1.5</v>
      </c>
    </row>
    <row r="1841" spans="1:14">
      <c r="A1841" s="29">
        <v>43775</v>
      </c>
      <c r="B1841" s="22" t="s">
        <v>655</v>
      </c>
      <c r="C1841" s="22" t="s">
        <v>57</v>
      </c>
      <c r="D1841" s="48" t="s">
        <v>5</v>
      </c>
      <c r="E1841" t="s">
        <v>159</v>
      </c>
      <c r="F1841">
        <v>2019</v>
      </c>
      <c r="G1841" t="s">
        <v>247</v>
      </c>
      <c r="H1841" s="42" t="s">
        <v>57</v>
      </c>
      <c r="J1841" t="s">
        <v>248</v>
      </c>
      <c r="L1841" s="34">
        <v>1</v>
      </c>
      <c r="M1841" s="38">
        <v>0.75</v>
      </c>
      <c r="N1841" s="38">
        <f t="shared" si="28"/>
        <v>0.75</v>
      </c>
    </row>
    <row r="1842" spans="1:14">
      <c r="A1842" s="29">
        <v>43776</v>
      </c>
      <c r="B1842" s="22" t="s">
        <v>81</v>
      </c>
      <c r="C1842" s="22" t="s">
        <v>57</v>
      </c>
      <c r="D1842" s="48" t="s">
        <v>5</v>
      </c>
      <c r="E1842" t="s">
        <v>159</v>
      </c>
      <c r="F1842">
        <v>2019</v>
      </c>
      <c r="G1842" t="s">
        <v>326</v>
      </c>
      <c r="H1842" s="42">
        <v>209</v>
      </c>
      <c r="J1842" t="s">
        <v>248</v>
      </c>
      <c r="L1842" s="34">
        <v>4</v>
      </c>
      <c r="M1842" s="38">
        <v>10</v>
      </c>
      <c r="N1842" s="38">
        <f t="shared" si="28"/>
        <v>40</v>
      </c>
    </row>
    <row r="1843" spans="1:14">
      <c r="A1843" s="29">
        <v>43776</v>
      </c>
      <c r="B1843" s="22" t="s">
        <v>85</v>
      </c>
      <c r="C1843" s="22" t="s">
        <v>57</v>
      </c>
      <c r="D1843" s="48" t="s">
        <v>5</v>
      </c>
      <c r="E1843" t="s">
        <v>159</v>
      </c>
      <c r="F1843">
        <v>2019</v>
      </c>
      <c r="G1843" t="s">
        <v>319</v>
      </c>
      <c r="H1843" s="42">
        <v>310</v>
      </c>
      <c r="J1843" t="s">
        <v>248</v>
      </c>
      <c r="L1843" s="34">
        <v>2</v>
      </c>
      <c r="M1843" s="38">
        <v>0.75</v>
      </c>
      <c r="N1843" s="38">
        <f t="shared" si="28"/>
        <v>1.5</v>
      </c>
    </row>
    <row r="1844" spans="1:14">
      <c r="A1844" s="29">
        <v>43776</v>
      </c>
      <c r="B1844" s="22" t="s">
        <v>85</v>
      </c>
      <c r="C1844" s="22" t="s">
        <v>57</v>
      </c>
      <c r="D1844" s="48" t="s">
        <v>5</v>
      </c>
      <c r="E1844" t="s">
        <v>159</v>
      </c>
      <c r="F1844">
        <v>2019</v>
      </c>
      <c r="G1844" t="s">
        <v>326</v>
      </c>
      <c r="H1844" s="42">
        <v>209</v>
      </c>
      <c r="J1844" t="s">
        <v>248</v>
      </c>
      <c r="L1844" s="34">
        <v>2</v>
      </c>
      <c r="M1844" s="38">
        <v>0.75</v>
      </c>
      <c r="N1844" s="38">
        <f t="shared" si="28"/>
        <v>1.5</v>
      </c>
    </row>
    <row r="1845" spans="1:14">
      <c r="A1845" s="29">
        <v>43776</v>
      </c>
      <c r="B1845" s="22" t="s">
        <v>85</v>
      </c>
      <c r="C1845" s="22" t="s">
        <v>57</v>
      </c>
      <c r="D1845" s="48" t="s">
        <v>5</v>
      </c>
      <c r="E1845" t="s">
        <v>159</v>
      </c>
      <c r="F1845">
        <v>2019</v>
      </c>
      <c r="G1845" t="s">
        <v>247</v>
      </c>
      <c r="H1845" s="42" t="s">
        <v>57</v>
      </c>
      <c r="J1845" t="s">
        <v>248</v>
      </c>
      <c r="L1845" s="34">
        <v>2</v>
      </c>
      <c r="M1845" s="38">
        <v>0.75</v>
      </c>
      <c r="N1845" s="38">
        <f t="shared" si="28"/>
        <v>1.5</v>
      </c>
    </row>
    <row r="1846" spans="1:14">
      <c r="A1846" s="29">
        <v>43776</v>
      </c>
      <c r="B1846" s="22" t="s">
        <v>85</v>
      </c>
      <c r="C1846" s="22" t="s">
        <v>57</v>
      </c>
      <c r="D1846" s="48" t="s">
        <v>5</v>
      </c>
      <c r="E1846" t="s">
        <v>157</v>
      </c>
      <c r="F1846">
        <v>2019</v>
      </c>
      <c r="G1846" t="s">
        <v>326</v>
      </c>
      <c r="H1846" s="42">
        <v>199</v>
      </c>
      <c r="J1846" t="s">
        <v>248</v>
      </c>
      <c r="L1846" s="34">
        <v>2</v>
      </c>
      <c r="M1846" s="38">
        <v>0.75</v>
      </c>
      <c r="N1846" s="38">
        <f t="shared" si="28"/>
        <v>1.5</v>
      </c>
    </row>
    <row r="1847" spans="1:14">
      <c r="A1847" s="29">
        <v>43776</v>
      </c>
      <c r="B1847" s="22" t="s">
        <v>85</v>
      </c>
      <c r="C1847" s="22" t="s">
        <v>57</v>
      </c>
      <c r="D1847" s="48" t="s">
        <v>5</v>
      </c>
      <c r="E1847" t="s">
        <v>157</v>
      </c>
      <c r="F1847">
        <v>2019</v>
      </c>
      <c r="G1847" t="s">
        <v>247</v>
      </c>
      <c r="H1847" s="42">
        <v>200</v>
      </c>
      <c r="J1847" t="s">
        <v>248</v>
      </c>
      <c r="L1847" s="34">
        <v>2</v>
      </c>
      <c r="M1847" s="38">
        <v>0.75</v>
      </c>
      <c r="N1847" s="38">
        <f t="shared" si="28"/>
        <v>1.5</v>
      </c>
    </row>
    <row r="1848" spans="1:14">
      <c r="A1848" s="29">
        <v>43776</v>
      </c>
      <c r="B1848" s="22" t="s">
        <v>85</v>
      </c>
      <c r="C1848" s="22" t="s">
        <v>57</v>
      </c>
      <c r="D1848" s="48" t="s">
        <v>5</v>
      </c>
      <c r="E1848" t="s">
        <v>183</v>
      </c>
      <c r="F1848">
        <v>2019</v>
      </c>
      <c r="G1848" t="s">
        <v>618</v>
      </c>
      <c r="H1848" s="42">
        <v>422</v>
      </c>
      <c r="J1848" t="s">
        <v>248</v>
      </c>
      <c r="L1848" s="34">
        <v>2</v>
      </c>
      <c r="M1848" s="38">
        <v>0.75</v>
      </c>
      <c r="N1848" s="38">
        <f t="shared" si="28"/>
        <v>1.5</v>
      </c>
    </row>
    <row r="1849" spans="1:14">
      <c r="A1849" s="29">
        <v>43776</v>
      </c>
      <c r="B1849" s="22" t="s">
        <v>85</v>
      </c>
      <c r="C1849" s="22" t="s">
        <v>57</v>
      </c>
      <c r="D1849" s="48" t="s">
        <v>8</v>
      </c>
      <c r="E1849" t="s">
        <v>179</v>
      </c>
      <c r="F1849">
        <v>2019</v>
      </c>
      <c r="G1849" t="s">
        <v>309</v>
      </c>
      <c r="H1849" s="42">
        <v>417</v>
      </c>
      <c r="J1849" t="s">
        <v>248</v>
      </c>
      <c r="L1849" s="34">
        <v>2</v>
      </c>
      <c r="M1849" s="38">
        <v>0.75</v>
      </c>
      <c r="N1849" s="38">
        <f t="shared" si="28"/>
        <v>1.5</v>
      </c>
    </row>
    <row r="1850" spans="1:14">
      <c r="A1850" s="29">
        <v>43776</v>
      </c>
      <c r="B1850" s="22" t="s">
        <v>50</v>
      </c>
      <c r="C1850" s="22" t="s">
        <v>57</v>
      </c>
      <c r="D1850" s="48" t="s">
        <v>5</v>
      </c>
      <c r="E1850" t="s">
        <v>159</v>
      </c>
      <c r="F1850">
        <v>2019</v>
      </c>
      <c r="G1850" t="s">
        <v>326</v>
      </c>
      <c r="H1850" s="42">
        <v>209</v>
      </c>
      <c r="J1850" t="s">
        <v>248</v>
      </c>
      <c r="L1850" s="34">
        <v>1</v>
      </c>
      <c r="M1850" s="38">
        <v>0.75</v>
      </c>
      <c r="N1850" s="38">
        <f t="shared" si="28"/>
        <v>0.75</v>
      </c>
    </row>
    <row r="1851" spans="1:14">
      <c r="A1851" s="29">
        <v>43776</v>
      </c>
      <c r="B1851" s="22" t="s">
        <v>50</v>
      </c>
      <c r="C1851" s="22" t="s">
        <v>57</v>
      </c>
      <c r="D1851" s="48" t="s">
        <v>5</v>
      </c>
      <c r="E1851" t="s">
        <v>159</v>
      </c>
      <c r="F1851">
        <v>2019</v>
      </c>
      <c r="G1851" t="s">
        <v>247</v>
      </c>
      <c r="H1851" s="42" t="s">
        <v>57</v>
      </c>
      <c r="J1851" t="s">
        <v>248</v>
      </c>
      <c r="L1851" s="34">
        <v>1</v>
      </c>
      <c r="M1851" s="38">
        <v>0.75</v>
      </c>
      <c r="N1851" s="38">
        <f t="shared" si="28"/>
        <v>0.75</v>
      </c>
    </row>
    <row r="1852" spans="1:14">
      <c r="A1852" s="29">
        <v>43776</v>
      </c>
      <c r="B1852" s="22" t="s">
        <v>50</v>
      </c>
      <c r="C1852" s="22" t="s">
        <v>57</v>
      </c>
      <c r="D1852" s="48" t="s">
        <v>5</v>
      </c>
      <c r="E1852" t="s">
        <v>262</v>
      </c>
      <c r="F1852">
        <v>2019</v>
      </c>
      <c r="G1852" t="s">
        <v>57</v>
      </c>
      <c r="H1852" s="42">
        <v>422</v>
      </c>
      <c r="J1852" t="s">
        <v>248</v>
      </c>
      <c r="L1852" s="34">
        <v>1</v>
      </c>
      <c r="M1852" s="38">
        <v>0.75</v>
      </c>
      <c r="N1852" s="38">
        <f t="shared" si="28"/>
        <v>0.75</v>
      </c>
    </row>
    <row r="1853" spans="1:14">
      <c r="A1853" s="29">
        <v>43776</v>
      </c>
      <c r="B1853" s="22" t="s">
        <v>65</v>
      </c>
      <c r="C1853" s="22" t="s">
        <v>22</v>
      </c>
      <c r="D1853" s="48" t="s">
        <v>5</v>
      </c>
      <c r="E1853" t="s">
        <v>157</v>
      </c>
      <c r="F1853">
        <v>2019</v>
      </c>
      <c r="G1853" t="s">
        <v>247</v>
      </c>
      <c r="H1853" s="42">
        <v>200</v>
      </c>
      <c r="J1853" t="s">
        <v>248</v>
      </c>
      <c r="L1853" s="34">
        <v>3</v>
      </c>
      <c r="M1853" s="38">
        <v>0.75</v>
      </c>
      <c r="N1853" s="38">
        <f t="shared" si="28"/>
        <v>2.25</v>
      </c>
    </row>
    <row r="1854" spans="1:14">
      <c r="A1854" s="29">
        <v>43776</v>
      </c>
      <c r="B1854" s="22" t="s">
        <v>28</v>
      </c>
      <c r="C1854" s="22" t="s">
        <v>271</v>
      </c>
      <c r="D1854" s="48" t="s">
        <v>5</v>
      </c>
      <c r="E1854" t="s">
        <v>157</v>
      </c>
      <c r="F1854">
        <v>2019</v>
      </c>
      <c r="G1854" t="s">
        <v>326</v>
      </c>
      <c r="H1854" s="42">
        <v>199</v>
      </c>
      <c r="J1854" t="s">
        <v>248</v>
      </c>
      <c r="L1854" s="34">
        <v>2</v>
      </c>
      <c r="M1854" s="38">
        <v>0.75</v>
      </c>
      <c r="N1854" s="38">
        <f t="shared" si="28"/>
        <v>1.5</v>
      </c>
    </row>
    <row r="1855" spans="1:14">
      <c r="A1855" s="29">
        <v>43776</v>
      </c>
      <c r="B1855" s="22" t="s">
        <v>28</v>
      </c>
      <c r="C1855" s="22" t="s">
        <v>271</v>
      </c>
      <c r="D1855" s="48" t="s">
        <v>5</v>
      </c>
      <c r="E1855" t="s">
        <v>159</v>
      </c>
      <c r="F1855">
        <v>2019</v>
      </c>
      <c r="G1855" t="s">
        <v>326</v>
      </c>
      <c r="H1855" s="42">
        <v>209</v>
      </c>
      <c r="J1855" t="s">
        <v>248</v>
      </c>
      <c r="L1855" s="34">
        <v>2</v>
      </c>
      <c r="M1855" s="38">
        <v>0.75</v>
      </c>
      <c r="N1855" s="38">
        <f t="shared" si="28"/>
        <v>1.5</v>
      </c>
    </row>
    <row r="1856" spans="1:14">
      <c r="A1856" s="29">
        <v>43776</v>
      </c>
      <c r="B1856" s="22" t="s">
        <v>28</v>
      </c>
      <c r="C1856" s="22" t="s">
        <v>271</v>
      </c>
      <c r="D1856" s="48" t="s">
        <v>5</v>
      </c>
      <c r="E1856" t="s">
        <v>158</v>
      </c>
      <c r="F1856">
        <v>2019</v>
      </c>
      <c r="G1856" t="s">
        <v>335</v>
      </c>
      <c r="H1856" s="42" t="s">
        <v>57</v>
      </c>
      <c r="J1856" t="s">
        <v>248</v>
      </c>
      <c r="L1856" s="34">
        <v>6</v>
      </c>
      <c r="M1856" s="38">
        <v>0.75</v>
      </c>
      <c r="N1856" s="38">
        <f t="shared" si="28"/>
        <v>4.5</v>
      </c>
    </row>
    <row r="1857" spans="1:14">
      <c r="A1857" s="29">
        <v>43776</v>
      </c>
      <c r="B1857" s="22" t="s">
        <v>63</v>
      </c>
      <c r="C1857" s="22" t="s">
        <v>57</v>
      </c>
      <c r="D1857" s="48" t="s">
        <v>5</v>
      </c>
      <c r="E1857" t="s">
        <v>158</v>
      </c>
      <c r="F1857">
        <v>2019</v>
      </c>
      <c r="G1857" t="s">
        <v>335</v>
      </c>
      <c r="H1857" s="42" t="s">
        <v>57</v>
      </c>
      <c r="J1857" t="s">
        <v>248</v>
      </c>
      <c r="L1857" s="34">
        <v>1</v>
      </c>
      <c r="M1857" s="38">
        <v>0.75</v>
      </c>
      <c r="N1857" s="38">
        <f t="shared" si="28"/>
        <v>0.75</v>
      </c>
    </row>
    <row r="1858" spans="1:14">
      <c r="A1858" s="29">
        <v>43776</v>
      </c>
      <c r="B1858" s="22" t="s">
        <v>63</v>
      </c>
      <c r="C1858" s="22" t="s">
        <v>57</v>
      </c>
      <c r="D1858" s="48" t="s">
        <v>5</v>
      </c>
      <c r="E1858" t="s">
        <v>158</v>
      </c>
      <c r="F1858">
        <v>2019</v>
      </c>
      <c r="G1858" t="s">
        <v>648</v>
      </c>
      <c r="H1858" s="42" t="s">
        <v>57</v>
      </c>
      <c r="J1858" t="s">
        <v>248</v>
      </c>
      <c r="L1858" s="34">
        <v>1</v>
      </c>
      <c r="M1858" s="38">
        <v>0.75</v>
      </c>
      <c r="N1858" s="38">
        <f t="shared" si="28"/>
        <v>0.75</v>
      </c>
    </row>
    <row r="1859" spans="1:14">
      <c r="A1859" s="29">
        <v>43776</v>
      </c>
      <c r="B1859" s="22" t="s">
        <v>293</v>
      </c>
      <c r="C1859" s="22" t="s">
        <v>41</v>
      </c>
      <c r="D1859" s="48" t="s">
        <v>8</v>
      </c>
      <c r="E1859" t="s">
        <v>272</v>
      </c>
      <c r="F1859">
        <v>2019</v>
      </c>
      <c r="G1859" t="s">
        <v>618</v>
      </c>
      <c r="H1859" s="42" t="s">
        <v>57</v>
      </c>
      <c r="J1859" t="s">
        <v>248</v>
      </c>
      <c r="L1859" s="34">
        <v>2</v>
      </c>
      <c r="M1859" s="38">
        <v>0.75</v>
      </c>
      <c r="N1859" s="38">
        <f t="shared" ref="N1859:N1922" si="29">M1859*L1859</f>
        <v>1.5</v>
      </c>
    </row>
    <row r="1860" spans="1:14">
      <c r="A1860" s="29">
        <v>43776</v>
      </c>
      <c r="B1860" s="22" t="s">
        <v>293</v>
      </c>
      <c r="C1860" s="22" t="s">
        <v>41</v>
      </c>
      <c r="D1860" s="48" t="s">
        <v>8</v>
      </c>
      <c r="E1860" t="s">
        <v>177</v>
      </c>
      <c r="F1860">
        <v>2019</v>
      </c>
      <c r="G1860" t="s">
        <v>618</v>
      </c>
      <c r="H1860" s="42" t="s">
        <v>57</v>
      </c>
      <c r="J1860" t="s">
        <v>248</v>
      </c>
      <c r="L1860" s="34">
        <v>2</v>
      </c>
      <c r="M1860" s="38">
        <v>0.75</v>
      </c>
      <c r="N1860" s="38">
        <f t="shared" si="29"/>
        <v>1.5</v>
      </c>
    </row>
    <row r="1861" spans="1:14">
      <c r="A1861" s="29">
        <v>43776</v>
      </c>
      <c r="B1861" s="22" t="s">
        <v>293</v>
      </c>
      <c r="C1861" s="22" t="s">
        <v>41</v>
      </c>
      <c r="D1861" s="48" t="s">
        <v>8</v>
      </c>
      <c r="E1861" t="s">
        <v>179</v>
      </c>
      <c r="F1861">
        <v>2019</v>
      </c>
      <c r="G1861" t="s">
        <v>357</v>
      </c>
      <c r="H1861" s="42">
        <v>416</v>
      </c>
      <c r="J1861" t="s">
        <v>248</v>
      </c>
      <c r="L1861" s="34">
        <v>2</v>
      </c>
      <c r="M1861" s="38">
        <v>0.75</v>
      </c>
      <c r="N1861" s="38">
        <f t="shared" si="29"/>
        <v>1.5</v>
      </c>
    </row>
    <row r="1862" spans="1:14">
      <c r="A1862" s="29">
        <v>43776</v>
      </c>
      <c r="B1862" s="22" t="s">
        <v>293</v>
      </c>
      <c r="C1862" s="22" t="s">
        <v>41</v>
      </c>
      <c r="D1862" s="48" t="s">
        <v>5</v>
      </c>
      <c r="E1862" t="s">
        <v>158</v>
      </c>
      <c r="F1862">
        <v>2019</v>
      </c>
      <c r="G1862" t="s">
        <v>335</v>
      </c>
      <c r="H1862" s="42" t="s">
        <v>57</v>
      </c>
      <c r="J1862" t="s">
        <v>248</v>
      </c>
      <c r="L1862" s="34">
        <v>2</v>
      </c>
      <c r="M1862" s="38">
        <v>0.75</v>
      </c>
      <c r="N1862" s="38">
        <f t="shared" si="29"/>
        <v>1.5</v>
      </c>
    </row>
    <row r="1863" spans="1:14">
      <c r="A1863" s="29">
        <v>43776</v>
      </c>
      <c r="B1863" s="22" t="s">
        <v>293</v>
      </c>
      <c r="C1863" s="22" t="s">
        <v>41</v>
      </c>
      <c r="D1863" s="48" t="s">
        <v>5</v>
      </c>
      <c r="E1863" t="s">
        <v>158</v>
      </c>
      <c r="F1863">
        <v>2019</v>
      </c>
      <c r="G1863" t="s">
        <v>648</v>
      </c>
      <c r="H1863" s="42" t="s">
        <v>57</v>
      </c>
      <c r="J1863" t="s">
        <v>248</v>
      </c>
      <c r="L1863" s="34">
        <v>2</v>
      </c>
      <c r="M1863" s="38">
        <v>0.75</v>
      </c>
      <c r="N1863" s="38">
        <f t="shared" si="29"/>
        <v>1.5</v>
      </c>
    </row>
    <row r="1864" spans="1:14">
      <c r="A1864" s="29">
        <v>43776</v>
      </c>
      <c r="B1864" s="22" t="s">
        <v>293</v>
      </c>
      <c r="C1864" s="22" t="s">
        <v>41</v>
      </c>
      <c r="D1864" s="48" t="s">
        <v>5</v>
      </c>
      <c r="E1864" t="s">
        <v>255</v>
      </c>
      <c r="F1864">
        <v>2019</v>
      </c>
      <c r="G1864" t="s">
        <v>618</v>
      </c>
      <c r="H1864" s="42" t="s">
        <v>57</v>
      </c>
      <c r="J1864" t="s">
        <v>248</v>
      </c>
      <c r="L1864" s="34">
        <v>2</v>
      </c>
      <c r="M1864" s="38">
        <v>0.75</v>
      </c>
      <c r="N1864" s="38">
        <f t="shared" si="29"/>
        <v>1.5</v>
      </c>
    </row>
    <row r="1865" spans="1:14">
      <c r="A1865" s="29">
        <v>43776</v>
      </c>
      <c r="B1865" s="22" t="s">
        <v>293</v>
      </c>
      <c r="C1865" s="22" t="s">
        <v>41</v>
      </c>
      <c r="D1865" s="48" t="s">
        <v>5</v>
      </c>
      <c r="E1865" t="s">
        <v>159</v>
      </c>
      <c r="F1865">
        <v>2019</v>
      </c>
      <c r="G1865" t="s">
        <v>247</v>
      </c>
      <c r="H1865" s="42" t="s">
        <v>57</v>
      </c>
      <c r="J1865" t="s">
        <v>248</v>
      </c>
      <c r="L1865" s="34">
        <v>2</v>
      </c>
      <c r="M1865" s="38">
        <v>0.75</v>
      </c>
      <c r="N1865" s="38">
        <f t="shared" si="29"/>
        <v>1.5</v>
      </c>
    </row>
    <row r="1866" spans="1:14">
      <c r="A1866" s="29">
        <v>43776</v>
      </c>
      <c r="B1866" s="22" t="s">
        <v>293</v>
      </c>
      <c r="C1866" s="22" t="s">
        <v>41</v>
      </c>
      <c r="D1866" s="48" t="s">
        <v>5</v>
      </c>
      <c r="E1866" t="s">
        <v>307</v>
      </c>
      <c r="F1866">
        <v>2019</v>
      </c>
      <c r="G1866" t="s">
        <v>618</v>
      </c>
      <c r="H1866" s="42" t="s">
        <v>57</v>
      </c>
      <c r="J1866" t="s">
        <v>248</v>
      </c>
      <c r="L1866" s="34">
        <v>2</v>
      </c>
      <c r="M1866" s="38">
        <v>0.75</v>
      </c>
      <c r="N1866" s="38">
        <f t="shared" si="29"/>
        <v>1.5</v>
      </c>
    </row>
    <row r="1867" spans="1:14">
      <c r="A1867" s="29">
        <v>43776</v>
      </c>
      <c r="B1867" s="22" t="s">
        <v>9</v>
      </c>
      <c r="C1867" s="22" t="s">
        <v>41</v>
      </c>
      <c r="D1867" s="48" t="s">
        <v>5</v>
      </c>
      <c r="E1867" t="s">
        <v>159</v>
      </c>
      <c r="F1867">
        <v>2019</v>
      </c>
      <c r="G1867" t="s">
        <v>326</v>
      </c>
      <c r="H1867" s="42">
        <v>209</v>
      </c>
      <c r="J1867" t="s">
        <v>248</v>
      </c>
      <c r="L1867" s="34">
        <v>1</v>
      </c>
      <c r="M1867" s="38">
        <v>0.75</v>
      </c>
      <c r="N1867" s="38">
        <f t="shared" si="29"/>
        <v>0.75</v>
      </c>
    </row>
    <row r="1868" spans="1:14">
      <c r="A1868" s="29">
        <v>43776</v>
      </c>
      <c r="B1868" s="22" t="s">
        <v>27</v>
      </c>
      <c r="C1868" s="22" t="s">
        <v>45</v>
      </c>
      <c r="D1868" s="48" t="s">
        <v>5</v>
      </c>
      <c r="E1868" t="s">
        <v>157</v>
      </c>
      <c r="F1868">
        <v>2019</v>
      </c>
      <c r="G1868" t="s">
        <v>247</v>
      </c>
      <c r="H1868" s="42">
        <v>200</v>
      </c>
      <c r="J1868" t="s">
        <v>248</v>
      </c>
      <c r="L1868" s="34">
        <v>2</v>
      </c>
      <c r="M1868" s="38">
        <v>0.75</v>
      </c>
      <c r="N1868" s="38">
        <f t="shared" si="29"/>
        <v>1.5</v>
      </c>
    </row>
    <row r="1869" spans="1:14">
      <c r="A1869" s="29">
        <v>43776</v>
      </c>
      <c r="B1869" s="22" t="s">
        <v>27</v>
      </c>
      <c r="C1869" s="22" t="s">
        <v>45</v>
      </c>
      <c r="D1869" s="48" t="s">
        <v>5</v>
      </c>
      <c r="E1869" t="s">
        <v>157</v>
      </c>
      <c r="F1869">
        <v>2019</v>
      </c>
      <c r="G1869" t="s">
        <v>326</v>
      </c>
      <c r="H1869" s="42">
        <v>403</v>
      </c>
      <c r="J1869" t="s">
        <v>248</v>
      </c>
      <c r="L1869" s="34">
        <v>2</v>
      </c>
      <c r="M1869" s="38">
        <v>0.75</v>
      </c>
      <c r="N1869" s="38">
        <f t="shared" si="29"/>
        <v>1.5</v>
      </c>
    </row>
    <row r="1870" spans="1:14">
      <c r="A1870" s="29">
        <v>43776</v>
      </c>
      <c r="B1870" s="22" t="s">
        <v>109</v>
      </c>
      <c r="C1870" s="22" t="s">
        <v>57</v>
      </c>
      <c r="D1870" s="48" t="s">
        <v>8</v>
      </c>
      <c r="E1870" t="s">
        <v>184</v>
      </c>
      <c r="F1870">
        <v>2019</v>
      </c>
      <c r="G1870" t="s">
        <v>57</v>
      </c>
      <c r="H1870" s="42">
        <v>53</v>
      </c>
      <c r="J1870" t="s">
        <v>248</v>
      </c>
      <c r="L1870" s="34">
        <v>6</v>
      </c>
      <c r="M1870" s="38">
        <v>0.75</v>
      </c>
      <c r="N1870" s="38">
        <f t="shared" si="29"/>
        <v>4.5</v>
      </c>
    </row>
    <row r="1871" spans="1:14">
      <c r="A1871" s="29">
        <v>43781</v>
      </c>
      <c r="B1871" s="22" t="s">
        <v>77</v>
      </c>
      <c r="C1871" s="22" t="s">
        <v>47</v>
      </c>
      <c r="D1871" s="48" t="s">
        <v>5</v>
      </c>
      <c r="E1871" t="s">
        <v>159</v>
      </c>
      <c r="F1871">
        <v>2019</v>
      </c>
      <c r="G1871" t="s">
        <v>319</v>
      </c>
      <c r="H1871" s="42">
        <v>54</v>
      </c>
      <c r="J1871" t="s">
        <v>248</v>
      </c>
      <c r="L1871" s="34">
        <v>2</v>
      </c>
      <c r="M1871" s="38">
        <v>0.75</v>
      </c>
      <c r="N1871" s="38">
        <f t="shared" si="29"/>
        <v>1.5</v>
      </c>
    </row>
    <row r="1872" spans="1:14">
      <c r="A1872" s="29">
        <v>43781</v>
      </c>
      <c r="B1872" s="22" t="s">
        <v>77</v>
      </c>
      <c r="C1872" s="22" t="s">
        <v>47</v>
      </c>
      <c r="D1872" s="48" t="s">
        <v>5</v>
      </c>
      <c r="E1872" t="s">
        <v>159</v>
      </c>
      <c r="F1872">
        <v>2019</v>
      </c>
      <c r="G1872" t="s">
        <v>326</v>
      </c>
      <c r="H1872" s="42">
        <v>209</v>
      </c>
      <c r="J1872" t="s">
        <v>248</v>
      </c>
      <c r="L1872" s="34">
        <v>2</v>
      </c>
      <c r="M1872" s="38">
        <v>0.75</v>
      </c>
      <c r="N1872" s="38">
        <f t="shared" si="29"/>
        <v>1.5</v>
      </c>
    </row>
    <row r="1873" spans="1:14">
      <c r="A1873" s="29">
        <v>43781</v>
      </c>
      <c r="B1873" s="22" t="s">
        <v>77</v>
      </c>
      <c r="C1873" s="22" t="s">
        <v>47</v>
      </c>
      <c r="D1873" s="48" t="s">
        <v>5</v>
      </c>
      <c r="E1873" t="s">
        <v>159</v>
      </c>
      <c r="F1873">
        <v>2019</v>
      </c>
      <c r="G1873" t="s">
        <v>247</v>
      </c>
      <c r="H1873" s="42" t="s">
        <v>57</v>
      </c>
      <c r="J1873" t="s">
        <v>248</v>
      </c>
      <c r="L1873" s="34">
        <v>2</v>
      </c>
      <c r="M1873" s="38">
        <v>0.75</v>
      </c>
      <c r="N1873" s="38">
        <f t="shared" si="29"/>
        <v>1.5</v>
      </c>
    </row>
    <row r="1874" spans="1:14">
      <c r="A1874" s="29">
        <v>43781</v>
      </c>
      <c r="B1874" s="22" t="s">
        <v>77</v>
      </c>
      <c r="C1874" s="22" t="s">
        <v>47</v>
      </c>
      <c r="D1874" s="48" t="s">
        <v>8</v>
      </c>
      <c r="E1874" t="s">
        <v>259</v>
      </c>
      <c r="F1874">
        <v>2019</v>
      </c>
      <c r="G1874" t="s">
        <v>57</v>
      </c>
      <c r="H1874" s="42">
        <v>322</v>
      </c>
      <c r="J1874" t="s">
        <v>248</v>
      </c>
      <c r="L1874" s="34">
        <v>2</v>
      </c>
      <c r="M1874" s="38">
        <v>0.75</v>
      </c>
      <c r="N1874" s="38">
        <f t="shared" si="29"/>
        <v>1.5</v>
      </c>
    </row>
    <row r="1875" spans="1:14">
      <c r="A1875" s="29">
        <v>43781</v>
      </c>
      <c r="B1875" s="22" t="s">
        <v>77</v>
      </c>
      <c r="C1875" s="22" t="s">
        <v>47</v>
      </c>
      <c r="D1875" s="48" t="s">
        <v>11</v>
      </c>
      <c r="E1875" t="s">
        <v>259</v>
      </c>
      <c r="F1875">
        <v>2019</v>
      </c>
      <c r="G1875" t="s">
        <v>57</v>
      </c>
      <c r="H1875" s="42">
        <v>98</v>
      </c>
      <c r="J1875" t="s">
        <v>248</v>
      </c>
      <c r="L1875" s="34">
        <v>2</v>
      </c>
      <c r="M1875" s="38">
        <v>0.75</v>
      </c>
      <c r="N1875" s="38">
        <f t="shared" si="29"/>
        <v>1.5</v>
      </c>
    </row>
    <row r="1876" spans="1:14">
      <c r="A1876" s="29">
        <v>43781</v>
      </c>
      <c r="B1876" s="22" t="s">
        <v>63</v>
      </c>
      <c r="C1876" s="22" t="s">
        <v>57</v>
      </c>
      <c r="D1876" s="48" t="s">
        <v>5</v>
      </c>
      <c r="E1876" t="s">
        <v>158</v>
      </c>
      <c r="F1876">
        <v>2019</v>
      </c>
      <c r="G1876" t="s">
        <v>335</v>
      </c>
      <c r="H1876" s="42" t="s">
        <v>57</v>
      </c>
      <c r="J1876" t="s">
        <v>248</v>
      </c>
      <c r="L1876" s="34">
        <v>2</v>
      </c>
      <c r="M1876" s="38">
        <v>0.75</v>
      </c>
      <c r="N1876" s="38">
        <f t="shared" si="29"/>
        <v>1.5</v>
      </c>
    </row>
    <row r="1877" spans="1:14">
      <c r="A1877" s="29">
        <v>43781</v>
      </c>
      <c r="B1877" s="22" t="s">
        <v>63</v>
      </c>
      <c r="C1877" s="22" t="s">
        <v>57</v>
      </c>
      <c r="D1877" s="48" t="s">
        <v>5</v>
      </c>
      <c r="E1877" t="s">
        <v>158</v>
      </c>
      <c r="F1877">
        <v>2019</v>
      </c>
      <c r="G1877" t="s">
        <v>648</v>
      </c>
      <c r="H1877" s="42" t="s">
        <v>57</v>
      </c>
      <c r="J1877" t="s">
        <v>248</v>
      </c>
      <c r="L1877" s="34">
        <v>3</v>
      </c>
      <c r="M1877" s="38">
        <v>0.75</v>
      </c>
      <c r="N1877" s="38">
        <f t="shared" si="29"/>
        <v>2.25</v>
      </c>
    </row>
    <row r="1878" spans="1:14">
      <c r="A1878" s="29">
        <v>43781</v>
      </c>
      <c r="B1878" s="22" t="s">
        <v>63</v>
      </c>
      <c r="C1878" s="22" t="s">
        <v>57</v>
      </c>
      <c r="D1878" s="48" t="s">
        <v>5</v>
      </c>
      <c r="E1878" t="s">
        <v>262</v>
      </c>
      <c r="F1878">
        <v>2019</v>
      </c>
      <c r="G1878" t="s">
        <v>57</v>
      </c>
      <c r="H1878" s="42">
        <v>422</v>
      </c>
      <c r="J1878" t="s">
        <v>248</v>
      </c>
      <c r="L1878" s="34">
        <v>2</v>
      </c>
      <c r="M1878" s="38">
        <v>0.75</v>
      </c>
      <c r="N1878" s="38">
        <f t="shared" si="29"/>
        <v>1.5</v>
      </c>
    </row>
    <row r="1879" spans="1:14">
      <c r="A1879" s="29">
        <v>43781</v>
      </c>
      <c r="B1879" s="22" t="s">
        <v>57</v>
      </c>
      <c r="C1879" s="22" t="s">
        <v>38</v>
      </c>
      <c r="D1879" s="48" t="s">
        <v>8</v>
      </c>
      <c r="E1879" t="s">
        <v>259</v>
      </c>
      <c r="F1879">
        <v>2019</v>
      </c>
      <c r="G1879" t="s">
        <v>57</v>
      </c>
      <c r="H1879" s="42">
        <v>332</v>
      </c>
      <c r="J1879" t="s">
        <v>248</v>
      </c>
      <c r="L1879" s="34">
        <v>2</v>
      </c>
      <c r="M1879" s="38">
        <v>0.75</v>
      </c>
      <c r="N1879" s="38">
        <f t="shared" si="29"/>
        <v>1.5</v>
      </c>
    </row>
    <row r="1880" spans="1:14">
      <c r="A1880" s="29">
        <v>43781</v>
      </c>
      <c r="B1880" s="22" t="s">
        <v>655</v>
      </c>
      <c r="C1880" s="22" t="s">
        <v>57</v>
      </c>
      <c r="D1880" s="48" t="s">
        <v>5</v>
      </c>
      <c r="E1880" t="s">
        <v>159</v>
      </c>
      <c r="F1880">
        <v>2019</v>
      </c>
      <c r="G1880" t="s">
        <v>247</v>
      </c>
      <c r="H1880" s="42" t="s">
        <v>57</v>
      </c>
      <c r="J1880" t="s">
        <v>248</v>
      </c>
      <c r="L1880" s="34">
        <v>3</v>
      </c>
      <c r="M1880" s="38">
        <v>0.75</v>
      </c>
      <c r="N1880" s="38">
        <f t="shared" si="29"/>
        <v>2.25</v>
      </c>
    </row>
    <row r="1881" spans="1:14">
      <c r="A1881" s="29">
        <v>43781</v>
      </c>
      <c r="B1881" s="22" t="s">
        <v>655</v>
      </c>
      <c r="C1881" s="22" t="s">
        <v>57</v>
      </c>
      <c r="D1881" s="48" t="s">
        <v>5</v>
      </c>
      <c r="E1881" t="s">
        <v>262</v>
      </c>
      <c r="F1881">
        <v>2019</v>
      </c>
      <c r="G1881" t="s">
        <v>57</v>
      </c>
      <c r="H1881" s="42">
        <v>422</v>
      </c>
      <c r="J1881" t="s">
        <v>248</v>
      </c>
      <c r="L1881" s="34">
        <v>1</v>
      </c>
      <c r="M1881" s="38">
        <v>0.75</v>
      </c>
      <c r="N1881" s="38">
        <f t="shared" si="29"/>
        <v>0.75</v>
      </c>
    </row>
    <row r="1882" spans="1:14">
      <c r="A1882" s="29">
        <v>43781</v>
      </c>
      <c r="B1882" s="22" t="s">
        <v>655</v>
      </c>
      <c r="C1882" s="22" t="s">
        <v>57</v>
      </c>
      <c r="D1882" s="48" t="s">
        <v>5</v>
      </c>
      <c r="E1882" t="s">
        <v>157</v>
      </c>
      <c r="F1882">
        <v>2019</v>
      </c>
      <c r="G1882" t="s">
        <v>326</v>
      </c>
      <c r="H1882" s="42">
        <v>402</v>
      </c>
      <c r="J1882" t="s">
        <v>248</v>
      </c>
      <c r="L1882" s="34">
        <v>2</v>
      </c>
      <c r="M1882" s="38">
        <v>0.75</v>
      </c>
      <c r="N1882" s="38">
        <f t="shared" si="29"/>
        <v>1.5</v>
      </c>
    </row>
    <row r="1883" spans="1:14">
      <c r="A1883" s="29">
        <v>43781</v>
      </c>
      <c r="B1883" s="22" t="s">
        <v>655</v>
      </c>
      <c r="C1883" s="22" t="s">
        <v>57</v>
      </c>
      <c r="D1883" s="48" t="s">
        <v>5</v>
      </c>
      <c r="E1883" t="s">
        <v>255</v>
      </c>
      <c r="F1883">
        <v>2019</v>
      </c>
      <c r="G1883" t="s">
        <v>618</v>
      </c>
      <c r="H1883" s="42" t="s">
        <v>57</v>
      </c>
      <c r="J1883" t="s">
        <v>248</v>
      </c>
      <c r="L1883" s="34">
        <v>2</v>
      </c>
      <c r="M1883" s="38">
        <v>0.75</v>
      </c>
      <c r="N1883" s="38">
        <f t="shared" si="29"/>
        <v>1.5</v>
      </c>
    </row>
    <row r="1884" spans="1:14">
      <c r="A1884" s="29">
        <v>43782</v>
      </c>
      <c r="B1884" s="22" t="s">
        <v>293</v>
      </c>
      <c r="C1884" s="22" t="s">
        <v>41</v>
      </c>
      <c r="D1884" s="48" t="s">
        <v>5</v>
      </c>
      <c r="E1884" t="s">
        <v>158</v>
      </c>
      <c r="F1884">
        <v>2019</v>
      </c>
      <c r="G1884" t="s">
        <v>656</v>
      </c>
      <c r="H1884" s="42" t="s">
        <v>57</v>
      </c>
      <c r="J1884" t="s">
        <v>248</v>
      </c>
      <c r="L1884" s="34">
        <v>2</v>
      </c>
      <c r="M1884" s="38">
        <v>0.75</v>
      </c>
      <c r="N1884" s="38">
        <f t="shared" si="29"/>
        <v>1.5</v>
      </c>
    </row>
    <row r="1885" spans="1:14">
      <c r="A1885" s="29">
        <v>43782</v>
      </c>
      <c r="B1885" s="22" t="s">
        <v>293</v>
      </c>
      <c r="C1885" s="22" t="s">
        <v>41</v>
      </c>
      <c r="D1885" s="48" t="s">
        <v>5</v>
      </c>
      <c r="E1885" t="s">
        <v>158</v>
      </c>
      <c r="F1885">
        <v>2019</v>
      </c>
      <c r="G1885" t="s">
        <v>648</v>
      </c>
      <c r="H1885" s="42">
        <v>15</v>
      </c>
      <c r="J1885" t="s">
        <v>248</v>
      </c>
      <c r="L1885" s="34">
        <v>2</v>
      </c>
      <c r="M1885" s="38">
        <v>0.75</v>
      </c>
      <c r="N1885" s="38">
        <f t="shared" si="29"/>
        <v>1.5</v>
      </c>
    </row>
    <row r="1886" spans="1:14">
      <c r="A1886" s="29">
        <v>43782</v>
      </c>
      <c r="B1886" s="22" t="s">
        <v>63</v>
      </c>
      <c r="C1886" s="22" t="s">
        <v>57</v>
      </c>
      <c r="D1886" s="48" t="s">
        <v>5</v>
      </c>
      <c r="E1886" t="s">
        <v>255</v>
      </c>
      <c r="F1886">
        <v>2019</v>
      </c>
      <c r="G1886" t="s">
        <v>618</v>
      </c>
      <c r="H1886" s="42" t="s">
        <v>57</v>
      </c>
      <c r="J1886" t="s">
        <v>248</v>
      </c>
      <c r="L1886" s="34">
        <v>3</v>
      </c>
      <c r="M1886" s="38">
        <v>0.75</v>
      </c>
      <c r="N1886" s="38">
        <f t="shared" si="29"/>
        <v>2.25</v>
      </c>
    </row>
    <row r="1887" spans="1:14">
      <c r="A1887" s="29">
        <v>43783</v>
      </c>
      <c r="B1887" s="22" t="s">
        <v>25</v>
      </c>
      <c r="C1887" s="22" t="s">
        <v>38</v>
      </c>
      <c r="D1887" s="48" t="s">
        <v>8</v>
      </c>
      <c r="E1887" t="s">
        <v>259</v>
      </c>
      <c r="F1887">
        <v>2019</v>
      </c>
      <c r="G1887" t="s">
        <v>57</v>
      </c>
      <c r="H1887" s="42">
        <v>332</v>
      </c>
      <c r="J1887" t="s">
        <v>248</v>
      </c>
      <c r="L1887" s="34">
        <v>2</v>
      </c>
      <c r="M1887" s="38">
        <v>0.75</v>
      </c>
      <c r="N1887" s="38">
        <f t="shared" si="29"/>
        <v>1.5</v>
      </c>
    </row>
    <row r="1888" spans="1:14">
      <c r="A1888" s="29">
        <v>43783</v>
      </c>
      <c r="B1888" s="22" t="s">
        <v>109</v>
      </c>
      <c r="C1888" s="22" t="s">
        <v>57</v>
      </c>
      <c r="D1888" s="48" t="s">
        <v>5</v>
      </c>
      <c r="E1888" t="s">
        <v>657</v>
      </c>
      <c r="F1888">
        <v>2019</v>
      </c>
      <c r="G1888" t="s">
        <v>57</v>
      </c>
      <c r="H1888" s="42" t="s">
        <v>57</v>
      </c>
      <c r="J1888" t="s">
        <v>248</v>
      </c>
      <c r="K1888" t="s">
        <v>658</v>
      </c>
      <c r="L1888" s="34">
        <v>2</v>
      </c>
      <c r="M1888" s="38">
        <v>0.75</v>
      </c>
      <c r="N1888" s="38">
        <f t="shared" si="29"/>
        <v>1.5</v>
      </c>
    </row>
    <row r="1889" spans="1:14">
      <c r="A1889" s="29">
        <v>43784</v>
      </c>
      <c r="B1889" s="22" t="s">
        <v>19</v>
      </c>
      <c r="C1889" s="22" t="s">
        <v>47</v>
      </c>
      <c r="D1889" s="48" t="s">
        <v>5</v>
      </c>
      <c r="E1889" t="s">
        <v>255</v>
      </c>
      <c r="F1889">
        <v>2019</v>
      </c>
      <c r="G1889" t="s">
        <v>618</v>
      </c>
      <c r="H1889" s="42" t="s">
        <v>57</v>
      </c>
      <c r="J1889" t="s">
        <v>248</v>
      </c>
      <c r="L1889" s="34">
        <v>2</v>
      </c>
      <c r="M1889" s="38">
        <v>0.75</v>
      </c>
      <c r="N1889" s="38">
        <f t="shared" si="29"/>
        <v>1.5</v>
      </c>
    </row>
    <row r="1890" spans="1:14">
      <c r="A1890" s="29">
        <v>43784</v>
      </c>
      <c r="B1890" s="22" t="s">
        <v>109</v>
      </c>
      <c r="C1890" s="22" t="s">
        <v>57</v>
      </c>
      <c r="D1890" s="48" t="s">
        <v>5</v>
      </c>
      <c r="E1890" t="s">
        <v>310</v>
      </c>
      <c r="F1890">
        <v>2019</v>
      </c>
      <c r="G1890" t="s">
        <v>500</v>
      </c>
      <c r="H1890" s="42">
        <v>405</v>
      </c>
      <c r="J1890" t="s">
        <v>248</v>
      </c>
      <c r="L1890" s="34">
        <v>2</v>
      </c>
      <c r="M1890" s="38">
        <v>0.75</v>
      </c>
      <c r="N1890" s="38">
        <f t="shared" si="29"/>
        <v>1.5</v>
      </c>
    </row>
    <row r="1891" spans="1:14">
      <c r="A1891" s="29">
        <v>43784</v>
      </c>
      <c r="B1891" s="22" t="s">
        <v>109</v>
      </c>
      <c r="C1891" s="22" t="s">
        <v>57</v>
      </c>
      <c r="D1891" s="48" t="s">
        <v>5</v>
      </c>
      <c r="E1891" t="s">
        <v>159</v>
      </c>
      <c r="F1891">
        <v>2019</v>
      </c>
      <c r="G1891" t="s">
        <v>247</v>
      </c>
      <c r="H1891" s="42" t="s">
        <v>57</v>
      </c>
      <c r="J1891" t="s">
        <v>248</v>
      </c>
      <c r="L1891" s="34">
        <v>2</v>
      </c>
      <c r="M1891" s="38">
        <v>0.75</v>
      </c>
      <c r="N1891" s="38">
        <f t="shared" si="29"/>
        <v>1.5</v>
      </c>
    </row>
    <row r="1892" spans="1:14">
      <c r="A1892" s="29">
        <v>43787</v>
      </c>
      <c r="B1892" s="22" t="s">
        <v>28</v>
      </c>
      <c r="C1892" s="22" t="s">
        <v>271</v>
      </c>
      <c r="D1892" s="48" t="s">
        <v>5</v>
      </c>
      <c r="E1892" t="s">
        <v>157</v>
      </c>
      <c r="F1892">
        <v>2019</v>
      </c>
      <c r="G1892" t="s">
        <v>326</v>
      </c>
      <c r="H1892" s="42">
        <v>402</v>
      </c>
      <c r="J1892" t="s">
        <v>248</v>
      </c>
      <c r="L1892" s="34">
        <v>4</v>
      </c>
      <c r="M1892" s="38">
        <v>0.75</v>
      </c>
      <c r="N1892" s="38">
        <f t="shared" si="29"/>
        <v>3</v>
      </c>
    </row>
    <row r="1893" spans="1:14">
      <c r="A1893" s="29">
        <v>43787</v>
      </c>
      <c r="B1893" s="22" t="s">
        <v>28</v>
      </c>
      <c r="C1893" s="22" t="s">
        <v>271</v>
      </c>
      <c r="D1893" s="48" t="s">
        <v>5</v>
      </c>
      <c r="E1893" t="s">
        <v>159</v>
      </c>
      <c r="F1893">
        <v>2019</v>
      </c>
      <c r="G1893" t="s">
        <v>326</v>
      </c>
      <c r="H1893" s="42">
        <v>307</v>
      </c>
      <c r="J1893" t="s">
        <v>248</v>
      </c>
      <c r="L1893" s="34">
        <v>4</v>
      </c>
      <c r="M1893" s="38">
        <v>0.75</v>
      </c>
      <c r="N1893" s="38">
        <f t="shared" si="29"/>
        <v>3</v>
      </c>
    </row>
    <row r="1894" spans="1:14">
      <c r="A1894" s="29">
        <v>43787</v>
      </c>
      <c r="B1894" s="22" t="s">
        <v>57</v>
      </c>
      <c r="C1894" s="22" t="s">
        <v>271</v>
      </c>
      <c r="D1894" s="48" t="s">
        <v>11</v>
      </c>
      <c r="E1894" t="s">
        <v>179</v>
      </c>
      <c r="F1894">
        <v>2019</v>
      </c>
      <c r="G1894" t="s">
        <v>500</v>
      </c>
      <c r="H1894" s="42">
        <v>134</v>
      </c>
      <c r="J1894" t="s">
        <v>248</v>
      </c>
      <c r="L1894" s="34">
        <v>2</v>
      </c>
      <c r="M1894" s="38">
        <v>0.75</v>
      </c>
      <c r="N1894" s="38">
        <f t="shared" si="29"/>
        <v>1.5</v>
      </c>
    </row>
    <row r="1895" spans="1:14">
      <c r="A1895" s="29">
        <v>43787</v>
      </c>
      <c r="B1895" s="22" t="s">
        <v>63</v>
      </c>
      <c r="C1895" s="22" t="s">
        <v>57</v>
      </c>
      <c r="D1895" s="48" t="s">
        <v>5</v>
      </c>
      <c r="E1895" t="s">
        <v>157</v>
      </c>
      <c r="F1895">
        <v>2019</v>
      </c>
      <c r="G1895" t="s">
        <v>247</v>
      </c>
      <c r="H1895" s="42">
        <v>409</v>
      </c>
      <c r="J1895" t="s">
        <v>248</v>
      </c>
      <c r="L1895" s="34">
        <v>2</v>
      </c>
      <c r="M1895" s="38">
        <v>0.75</v>
      </c>
      <c r="N1895" s="38">
        <f t="shared" si="29"/>
        <v>1.5</v>
      </c>
    </row>
    <row r="1896" spans="1:14">
      <c r="A1896" s="29">
        <v>43787</v>
      </c>
      <c r="B1896" s="22" t="s">
        <v>63</v>
      </c>
      <c r="C1896" s="22" t="s">
        <v>57</v>
      </c>
      <c r="D1896" s="48" t="s">
        <v>5</v>
      </c>
      <c r="E1896" t="s">
        <v>157</v>
      </c>
      <c r="F1896">
        <v>2019</v>
      </c>
      <c r="G1896" t="s">
        <v>326</v>
      </c>
      <c r="H1896" s="42">
        <v>402</v>
      </c>
      <c r="J1896" t="s">
        <v>248</v>
      </c>
      <c r="L1896" s="34">
        <v>2</v>
      </c>
      <c r="M1896" s="38">
        <v>0.75</v>
      </c>
      <c r="N1896" s="38">
        <f t="shared" si="29"/>
        <v>1.5</v>
      </c>
    </row>
    <row r="1897" spans="1:14">
      <c r="A1897" s="29">
        <v>43787</v>
      </c>
      <c r="B1897" s="22" t="s">
        <v>63</v>
      </c>
      <c r="C1897" s="22" t="s">
        <v>57</v>
      </c>
      <c r="D1897" s="48" t="s">
        <v>5</v>
      </c>
      <c r="E1897" t="s">
        <v>255</v>
      </c>
      <c r="F1897">
        <v>2019</v>
      </c>
      <c r="G1897" t="s">
        <v>618</v>
      </c>
      <c r="H1897" s="42">
        <v>35</v>
      </c>
      <c r="J1897" t="s">
        <v>248</v>
      </c>
      <c r="L1897" s="34">
        <v>4</v>
      </c>
      <c r="M1897" s="38">
        <v>0.75</v>
      </c>
      <c r="N1897" s="38">
        <f t="shared" si="29"/>
        <v>3</v>
      </c>
    </row>
    <row r="1898" spans="1:14">
      <c r="A1898" s="29">
        <v>43787</v>
      </c>
      <c r="B1898" s="22" t="s">
        <v>647</v>
      </c>
      <c r="C1898" s="22" t="s">
        <v>57</v>
      </c>
      <c r="D1898" s="48" t="s">
        <v>5</v>
      </c>
      <c r="E1898" t="s">
        <v>157</v>
      </c>
      <c r="F1898">
        <v>2019</v>
      </c>
      <c r="G1898" t="s">
        <v>326</v>
      </c>
      <c r="H1898" s="42">
        <v>402</v>
      </c>
      <c r="J1898" t="s">
        <v>248</v>
      </c>
      <c r="L1898" s="34">
        <v>2</v>
      </c>
      <c r="M1898" s="38">
        <v>0.75</v>
      </c>
      <c r="N1898" s="38">
        <f t="shared" si="29"/>
        <v>1.5</v>
      </c>
    </row>
    <row r="1899" spans="1:14">
      <c r="A1899" s="29">
        <v>43787</v>
      </c>
      <c r="B1899" s="22" t="s">
        <v>647</v>
      </c>
      <c r="C1899" s="22" t="s">
        <v>57</v>
      </c>
      <c r="D1899" s="48" t="s">
        <v>5</v>
      </c>
      <c r="E1899" t="s">
        <v>255</v>
      </c>
      <c r="F1899">
        <v>2019</v>
      </c>
      <c r="G1899" t="s">
        <v>618</v>
      </c>
      <c r="H1899" s="42">
        <v>35</v>
      </c>
      <c r="J1899" t="s">
        <v>248</v>
      </c>
      <c r="L1899" s="34">
        <v>2</v>
      </c>
      <c r="M1899" s="38">
        <v>0.75</v>
      </c>
      <c r="N1899" s="38">
        <f t="shared" si="29"/>
        <v>1.5</v>
      </c>
    </row>
    <row r="1900" spans="1:14">
      <c r="A1900" s="29">
        <v>43787</v>
      </c>
      <c r="B1900" s="22" t="s">
        <v>79</v>
      </c>
      <c r="C1900" s="22" t="s">
        <v>57</v>
      </c>
      <c r="D1900" s="48" t="s">
        <v>5</v>
      </c>
      <c r="E1900" t="s">
        <v>159</v>
      </c>
      <c r="F1900">
        <v>2019</v>
      </c>
      <c r="G1900" t="s">
        <v>319</v>
      </c>
      <c r="H1900" s="42">
        <v>206</v>
      </c>
      <c r="J1900" t="s">
        <v>248</v>
      </c>
      <c r="K1900" t="s">
        <v>518</v>
      </c>
      <c r="L1900" s="34">
        <v>2</v>
      </c>
      <c r="M1900" s="38">
        <v>0.75</v>
      </c>
      <c r="N1900" s="38">
        <f t="shared" si="29"/>
        <v>1.5</v>
      </c>
    </row>
    <row r="1901" spans="1:14">
      <c r="A1901" s="29">
        <v>43787</v>
      </c>
      <c r="B1901" s="22" t="s">
        <v>79</v>
      </c>
      <c r="C1901" s="22" t="s">
        <v>57</v>
      </c>
      <c r="D1901" s="48" t="s">
        <v>5</v>
      </c>
      <c r="E1901" t="s">
        <v>157</v>
      </c>
      <c r="F1901">
        <v>2019</v>
      </c>
      <c r="G1901" t="s">
        <v>247</v>
      </c>
      <c r="H1901" s="42">
        <v>409</v>
      </c>
      <c r="J1901" t="s">
        <v>248</v>
      </c>
      <c r="L1901" s="34">
        <v>2</v>
      </c>
      <c r="M1901" s="38">
        <v>0.75</v>
      </c>
      <c r="N1901" s="38">
        <f t="shared" si="29"/>
        <v>1.5</v>
      </c>
    </row>
    <row r="1902" spans="1:14">
      <c r="A1902" s="29">
        <v>43787</v>
      </c>
      <c r="B1902" s="22" t="s">
        <v>79</v>
      </c>
      <c r="C1902" s="22" t="s">
        <v>57</v>
      </c>
      <c r="D1902" s="48" t="s">
        <v>5</v>
      </c>
      <c r="E1902" t="s">
        <v>157</v>
      </c>
      <c r="F1902">
        <v>2019</v>
      </c>
      <c r="G1902" t="s">
        <v>326</v>
      </c>
      <c r="H1902" s="42">
        <v>402</v>
      </c>
      <c r="J1902" t="s">
        <v>248</v>
      </c>
      <c r="L1902" s="34">
        <v>2</v>
      </c>
      <c r="M1902" s="38">
        <v>0.75</v>
      </c>
      <c r="N1902" s="38">
        <f t="shared" si="29"/>
        <v>1.5</v>
      </c>
    </row>
    <row r="1903" spans="1:14">
      <c r="A1903" s="29">
        <v>43787</v>
      </c>
      <c r="B1903" s="22" t="s">
        <v>79</v>
      </c>
      <c r="C1903" s="22" t="s">
        <v>57</v>
      </c>
      <c r="D1903" s="48" t="s">
        <v>5</v>
      </c>
      <c r="E1903" t="s">
        <v>262</v>
      </c>
      <c r="F1903">
        <v>2019</v>
      </c>
      <c r="G1903" t="s">
        <v>307</v>
      </c>
      <c r="H1903" s="42">
        <v>199</v>
      </c>
      <c r="J1903" t="s">
        <v>248</v>
      </c>
      <c r="L1903" s="34">
        <v>2</v>
      </c>
      <c r="M1903" s="38">
        <v>0.75</v>
      </c>
      <c r="N1903" s="38">
        <f t="shared" si="29"/>
        <v>1.5</v>
      </c>
    </row>
    <row r="1904" spans="1:14">
      <c r="A1904" s="29">
        <v>43789</v>
      </c>
      <c r="B1904" s="22" t="s">
        <v>109</v>
      </c>
      <c r="C1904" s="22" t="s">
        <v>57</v>
      </c>
      <c r="D1904" s="48" t="s">
        <v>8</v>
      </c>
      <c r="E1904" t="s">
        <v>179</v>
      </c>
      <c r="F1904">
        <v>2019</v>
      </c>
      <c r="G1904" t="s">
        <v>109</v>
      </c>
      <c r="H1904" s="42">
        <v>417</v>
      </c>
      <c r="J1904" t="s">
        <v>248</v>
      </c>
      <c r="L1904" s="34">
        <v>8</v>
      </c>
      <c r="M1904" s="38">
        <v>0.75</v>
      </c>
      <c r="N1904" s="38">
        <f t="shared" si="29"/>
        <v>6</v>
      </c>
    </row>
    <row r="1905" spans="1:14">
      <c r="A1905" s="29">
        <v>43789</v>
      </c>
      <c r="B1905" s="22" t="s">
        <v>109</v>
      </c>
      <c r="C1905" s="22" t="s">
        <v>57</v>
      </c>
      <c r="D1905" s="48" t="s">
        <v>8</v>
      </c>
      <c r="E1905" t="s">
        <v>184</v>
      </c>
      <c r="F1905">
        <v>2019</v>
      </c>
      <c r="G1905" t="s">
        <v>109</v>
      </c>
      <c r="H1905" s="42">
        <v>201</v>
      </c>
      <c r="J1905" t="s">
        <v>248</v>
      </c>
      <c r="L1905" s="34">
        <v>6</v>
      </c>
      <c r="M1905" s="38">
        <v>0.75</v>
      </c>
      <c r="N1905" s="38">
        <f t="shared" si="29"/>
        <v>4.5</v>
      </c>
    </row>
    <row r="1906" spans="1:14">
      <c r="A1906" s="29">
        <v>43789</v>
      </c>
      <c r="B1906" s="22" t="s">
        <v>70</v>
      </c>
      <c r="C1906" s="22" t="s">
        <v>41</v>
      </c>
      <c r="D1906" s="48" t="s">
        <v>5</v>
      </c>
      <c r="E1906" t="s">
        <v>159</v>
      </c>
      <c r="F1906">
        <v>2019</v>
      </c>
      <c r="G1906" t="s">
        <v>247</v>
      </c>
      <c r="H1906" s="42">
        <v>200</v>
      </c>
      <c r="J1906" t="s">
        <v>248</v>
      </c>
      <c r="L1906" s="34">
        <v>1</v>
      </c>
      <c r="M1906" s="38">
        <v>0.75</v>
      </c>
      <c r="N1906" s="38">
        <f t="shared" si="29"/>
        <v>0.75</v>
      </c>
    </row>
    <row r="1907" spans="1:14">
      <c r="A1907" s="29">
        <v>43789</v>
      </c>
      <c r="B1907" s="22" t="s">
        <v>70</v>
      </c>
      <c r="C1907" s="22" t="s">
        <v>41</v>
      </c>
      <c r="D1907" s="48" t="s">
        <v>5</v>
      </c>
      <c r="E1907" t="s">
        <v>255</v>
      </c>
      <c r="F1907">
        <v>2019</v>
      </c>
      <c r="G1907" t="s">
        <v>247</v>
      </c>
      <c r="H1907" s="42">
        <v>33</v>
      </c>
      <c r="J1907" t="s">
        <v>248</v>
      </c>
      <c r="L1907" s="34">
        <v>1</v>
      </c>
      <c r="M1907" s="38">
        <v>0.75</v>
      </c>
      <c r="N1907" s="38">
        <f t="shared" si="29"/>
        <v>0.75</v>
      </c>
    </row>
    <row r="1908" spans="1:14">
      <c r="A1908" s="29">
        <v>43789</v>
      </c>
      <c r="B1908" s="22" t="s">
        <v>293</v>
      </c>
      <c r="C1908" s="22" t="s">
        <v>41</v>
      </c>
      <c r="D1908" s="48" t="s">
        <v>5</v>
      </c>
      <c r="E1908" t="s">
        <v>157</v>
      </c>
      <c r="F1908">
        <v>2019</v>
      </c>
      <c r="G1908" t="s">
        <v>326</v>
      </c>
      <c r="H1908" s="42">
        <v>402</v>
      </c>
      <c r="J1908" t="s">
        <v>248</v>
      </c>
      <c r="L1908" s="34">
        <v>1</v>
      </c>
      <c r="M1908" s="38">
        <v>0.75</v>
      </c>
      <c r="N1908" s="38">
        <f t="shared" si="29"/>
        <v>0.75</v>
      </c>
    </row>
    <row r="1909" spans="1:14">
      <c r="A1909" s="29">
        <v>43789</v>
      </c>
      <c r="B1909" s="22" t="s">
        <v>293</v>
      </c>
      <c r="C1909" s="22" t="s">
        <v>41</v>
      </c>
      <c r="D1909" s="48" t="s">
        <v>5</v>
      </c>
      <c r="E1909" t="s">
        <v>157</v>
      </c>
      <c r="F1909">
        <v>2019</v>
      </c>
      <c r="G1909" t="s">
        <v>247</v>
      </c>
      <c r="H1909" s="42">
        <v>409</v>
      </c>
      <c r="J1909" t="s">
        <v>248</v>
      </c>
      <c r="L1909" s="34">
        <v>1</v>
      </c>
      <c r="M1909" s="38">
        <v>0.75</v>
      </c>
      <c r="N1909" s="38">
        <f t="shared" si="29"/>
        <v>0.75</v>
      </c>
    </row>
    <row r="1910" spans="1:14">
      <c r="A1910" s="29">
        <v>43789</v>
      </c>
      <c r="B1910" s="22" t="s">
        <v>80</v>
      </c>
      <c r="C1910" s="22" t="s">
        <v>57</v>
      </c>
      <c r="D1910" s="48" t="s">
        <v>5</v>
      </c>
      <c r="E1910" t="s">
        <v>157</v>
      </c>
      <c r="F1910">
        <v>2019</v>
      </c>
      <c r="G1910" t="s">
        <v>80</v>
      </c>
      <c r="H1910" s="42" t="s">
        <v>57</v>
      </c>
      <c r="J1910" t="s">
        <v>248</v>
      </c>
      <c r="K1910" t="s">
        <v>659</v>
      </c>
      <c r="L1910" s="34">
        <v>2</v>
      </c>
      <c r="M1910" s="38">
        <v>0.75</v>
      </c>
      <c r="N1910" s="38">
        <f t="shared" si="29"/>
        <v>1.5</v>
      </c>
    </row>
    <row r="1911" spans="1:14">
      <c r="A1911" s="29">
        <v>43789</v>
      </c>
      <c r="B1911" s="22" t="s">
        <v>63</v>
      </c>
      <c r="C1911" s="22" t="s">
        <v>57</v>
      </c>
      <c r="D1911" s="48" t="s">
        <v>8</v>
      </c>
      <c r="E1911" t="s">
        <v>479</v>
      </c>
      <c r="F1911">
        <v>2019</v>
      </c>
      <c r="G1911" t="s">
        <v>273</v>
      </c>
      <c r="H1911" s="42" t="s">
        <v>57</v>
      </c>
      <c r="J1911" t="s">
        <v>248</v>
      </c>
      <c r="L1911" s="34">
        <v>4</v>
      </c>
      <c r="M1911" s="38">
        <v>0.75</v>
      </c>
      <c r="N1911" s="38">
        <f t="shared" si="29"/>
        <v>3</v>
      </c>
    </row>
    <row r="1912" spans="1:14">
      <c r="A1912" s="29">
        <v>43789</v>
      </c>
      <c r="B1912" s="22" t="s">
        <v>63</v>
      </c>
      <c r="C1912" s="22" t="s">
        <v>57</v>
      </c>
      <c r="D1912" s="48" t="s">
        <v>5</v>
      </c>
      <c r="E1912" t="s">
        <v>157</v>
      </c>
      <c r="F1912">
        <v>2019</v>
      </c>
      <c r="G1912" t="s">
        <v>326</v>
      </c>
      <c r="H1912" s="42">
        <v>402</v>
      </c>
      <c r="J1912" t="s">
        <v>248</v>
      </c>
      <c r="L1912" s="34">
        <v>1</v>
      </c>
      <c r="M1912" s="38">
        <v>0.75</v>
      </c>
      <c r="N1912" s="38">
        <f t="shared" si="29"/>
        <v>0.75</v>
      </c>
    </row>
    <row r="1913" spans="1:14">
      <c r="A1913" s="29">
        <v>43789</v>
      </c>
      <c r="B1913" s="22" t="s">
        <v>63</v>
      </c>
      <c r="C1913" s="22" t="s">
        <v>57</v>
      </c>
      <c r="D1913" s="48" t="s">
        <v>5</v>
      </c>
      <c r="E1913" t="s">
        <v>157</v>
      </c>
      <c r="F1913">
        <v>2019</v>
      </c>
      <c r="G1913" t="s">
        <v>247</v>
      </c>
      <c r="H1913" s="42">
        <v>409</v>
      </c>
      <c r="J1913" t="s">
        <v>248</v>
      </c>
      <c r="L1913" s="34">
        <v>1</v>
      </c>
      <c r="M1913" s="38">
        <v>0.75</v>
      </c>
      <c r="N1913" s="38">
        <f t="shared" si="29"/>
        <v>0.75</v>
      </c>
    </row>
    <row r="1914" spans="1:14">
      <c r="A1914" s="29">
        <v>43789</v>
      </c>
      <c r="B1914" s="22" t="s">
        <v>63</v>
      </c>
      <c r="C1914" s="22" t="s">
        <v>57</v>
      </c>
      <c r="D1914" s="48" t="s">
        <v>5</v>
      </c>
      <c r="E1914" t="s">
        <v>255</v>
      </c>
      <c r="F1914">
        <v>2019</v>
      </c>
      <c r="G1914" t="s">
        <v>618</v>
      </c>
      <c r="H1914" s="42">
        <v>33</v>
      </c>
      <c r="J1914" t="s">
        <v>248</v>
      </c>
      <c r="L1914" s="34">
        <v>4</v>
      </c>
      <c r="M1914" s="38">
        <v>0.75</v>
      </c>
      <c r="N1914" s="38">
        <f t="shared" si="29"/>
        <v>3</v>
      </c>
    </row>
    <row r="1915" spans="1:14">
      <c r="A1915" s="29">
        <v>43789</v>
      </c>
      <c r="B1915" s="22" t="s">
        <v>63</v>
      </c>
      <c r="C1915" s="22" t="s">
        <v>57</v>
      </c>
      <c r="D1915" s="48" t="s">
        <v>5</v>
      </c>
      <c r="E1915" t="s">
        <v>157</v>
      </c>
      <c r="F1915">
        <v>2019</v>
      </c>
      <c r="G1915" t="s">
        <v>63</v>
      </c>
      <c r="H1915" s="42" t="s">
        <v>57</v>
      </c>
      <c r="J1915" t="s">
        <v>248</v>
      </c>
      <c r="K1915" t="s">
        <v>659</v>
      </c>
      <c r="L1915" s="34">
        <v>3</v>
      </c>
      <c r="M1915" s="38">
        <v>0.75</v>
      </c>
      <c r="N1915" s="38">
        <f t="shared" si="29"/>
        <v>2.25</v>
      </c>
    </row>
    <row r="1916" spans="1:14">
      <c r="A1916" s="29">
        <v>43789</v>
      </c>
      <c r="B1916" s="22" t="s">
        <v>63</v>
      </c>
      <c r="C1916" s="22" t="s">
        <v>57</v>
      </c>
      <c r="D1916" s="48" t="s">
        <v>5</v>
      </c>
      <c r="E1916" t="s">
        <v>157</v>
      </c>
      <c r="F1916">
        <v>2019</v>
      </c>
      <c r="G1916" t="s">
        <v>326</v>
      </c>
      <c r="H1916" s="42">
        <v>402</v>
      </c>
      <c r="J1916" t="s">
        <v>248</v>
      </c>
      <c r="L1916" s="34">
        <v>2</v>
      </c>
      <c r="M1916" s="38">
        <v>0.75</v>
      </c>
      <c r="N1916" s="38">
        <f t="shared" si="29"/>
        <v>1.5</v>
      </c>
    </row>
    <row r="1917" spans="1:14">
      <c r="A1917" s="29">
        <v>43789</v>
      </c>
      <c r="B1917" s="22" t="s">
        <v>63</v>
      </c>
      <c r="C1917" s="22" t="s">
        <v>57</v>
      </c>
      <c r="D1917" s="48" t="s">
        <v>5</v>
      </c>
      <c r="E1917" t="s">
        <v>157</v>
      </c>
      <c r="F1917">
        <v>2019</v>
      </c>
      <c r="G1917" t="s">
        <v>247</v>
      </c>
      <c r="H1917" s="42">
        <v>409</v>
      </c>
      <c r="J1917" t="s">
        <v>248</v>
      </c>
      <c r="L1917" s="34">
        <v>2</v>
      </c>
      <c r="M1917" s="38">
        <v>0.75</v>
      </c>
      <c r="N1917" s="38">
        <f t="shared" si="29"/>
        <v>1.5</v>
      </c>
    </row>
    <row r="1918" spans="1:14">
      <c r="A1918" s="29">
        <v>43789</v>
      </c>
      <c r="B1918" s="22" t="s">
        <v>63</v>
      </c>
      <c r="C1918" s="22" t="s">
        <v>57</v>
      </c>
      <c r="D1918" s="48" t="s">
        <v>5</v>
      </c>
      <c r="E1918" t="s">
        <v>159</v>
      </c>
      <c r="F1918">
        <v>2019</v>
      </c>
      <c r="G1918" t="s">
        <v>319</v>
      </c>
      <c r="H1918" s="42">
        <v>54</v>
      </c>
      <c r="J1918" t="s">
        <v>248</v>
      </c>
      <c r="L1918" s="34">
        <v>2</v>
      </c>
      <c r="M1918" s="38">
        <v>0.75</v>
      </c>
      <c r="N1918" s="38">
        <f t="shared" si="29"/>
        <v>1.5</v>
      </c>
    </row>
    <row r="1919" spans="1:14">
      <c r="A1919" s="29">
        <v>43789</v>
      </c>
      <c r="B1919" s="22" t="s">
        <v>63</v>
      </c>
      <c r="C1919" s="22" t="s">
        <v>57</v>
      </c>
      <c r="D1919" s="48" t="s">
        <v>5</v>
      </c>
      <c r="E1919" t="s">
        <v>159</v>
      </c>
      <c r="F1919">
        <v>2019</v>
      </c>
      <c r="G1919" t="s">
        <v>326</v>
      </c>
      <c r="H1919" s="42">
        <v>28</v>
      </c>
      <c r="J1919" t="s">
        <v>248</v>
      </c>
      <c r="L1919" s="34">
        <v>2</v>
      </c>
      <c r="M1919" s="38">
        <v>0.75</v>
      </c>
      <c r="N1919" s="38">
        <f t="shared" si="29"/>
        <v>1.5</v>
      </c>
    </row>
    <row r="1920" spans="1:14">
      <c r="A1920" s="29">
        <v>43789</v>
      </c>
      <c r="B1920" s="22" t="s">
        <v>63</v>
      </c>
      <c r="C1920" s="22" t="s">
        <v>57</v>
      </c>
      <c r="D1920" s="48" t="s">
        <v>5</v>
      </c>
      <c r="E1920" t="s">
        <v>159</v>
      </c>
      <c r="F1920">
        <v>2019</v>
      </c>
      <c r="G1920" t="s">
        <v>247</v>
      </c>
      <c r="H1920" s="42">
        <v>200</v>
      </c>
      <c r="J1920" t="s">
        <v>248</v>
      </c>
      <c r="L1920" s="34">
        <v>2</v>
      </c>
      <c r="M1920" s="38">
        <v>0.75</v>
      </c>
      <c r="N1920" s="38">
        <f t="shared" si="29"/>
        <v>1.5</v>
      </c>
    </row>
    <row r="1921" spans="1:14">
      <c r="A1921" s="29">
        <v>43790</v>
      </c>
      <c r="B1921" s="22" t="s">
        <v>54</v>
      </c>
      <c r="C1921" s="22" t="s">
        <v>13</v>
      </c>
      <c r="D1921" s="48" t="s">
        <v>5</v>
      </c>
      <c r="E1921" t="s">
        <v>157</v>
      </c>
      <c r="F1921">
        <v>2019</v>
      </c>
      <c r="G1921" t="s">
        <v>500</v>
      </c>
      <c r="H1921" s="42" t="s">
        <v>660</v>
      </c>
      <c r="J1921" t="s">
        <v>248</v>
      </c>
      <c r="L1921" s="34">
        <v>2</v>
      </c>
      <c r="M1921" s="38">
        <v>0.75</v>
      </c>
      <c r="N1921" s="38">
        <f t="shared" si="29"/>
        <v>1.5</v>
      </c>
    </row>
    <row r="1922" spans="1:14">
      <c r="A1922" s="29">
        <v>43790</v>
      </c>
      <c r="B1922" s="22" t="s">
        <v>54</v>
      </c>
      <c r="C1922" s="22" t="s">
        <v>13</v>
      </c>
      <c r="D1922" s="48" t="s">
        <v>5</v>
      </c>
      <c r="E1922" t="s">
        <v>159</v>
      </c>
      <c r="F1922">
        <v>2019</v>
      </c>
      <c r="G1922" t="s">
        <v>661</v>
      </c>
      <c r="H1922" s="42" t="s">
        <v>662</v>
      </c>
      <c r="J1922" t="s">
        <v>248</v>
      </c>
      <c r="L1922" s="34">
        <v>1</v>
      </c>
      <c r="M1922" s="38">
        <v>0.75</v>
      </c>
      <c r="N1922" s="38">
        <f t="shared" si="29"/>
        <v>0.75</v>
      </c>
    </row>
    <row r="1923" spans="1:14">
      <c r="A1923" s="29">
        <v>43790</v>
      </c>
      <c r="B1923" s="22" t="s">
        <v>54</v>
      </c>
      <c r="C1923" s="22" t="s">
        <v>13</v>
      </c>
      <c r="D1923" s="48" t="s">
        <v>11</v>
      </c>
      <c r="E1923" t="s">
        <v>179</v>
      </c>
      <c r="F1923">
        <v>2019</v>
      </c>
      <c r="G1923" t="s">
        <v>57</v>
      </c>
      <c r="H1923" s="42">
        <v>137</v>
      </c>
      <c r="J1923" t="s">
        <v>248</v>
      </c>
      <c r="L1923" s="34">
        <v>1</v>
      </c>
      <c r="M1923" s="38">
        <v>0.75</v>
      </c>
      <c r="N1923" s="38">
        <f t="shared" ref="N1923:N1986" si="30">M1923*L1923</f>
        <v>0.75</v>
      </c>
    </row>
    <row r="1924" spans="1:14">
      <c r="A1924" s="29">
        <v>43790</v>
      </c>
      <c r="B1924" s="22" t="s">
        <v>54</v>
      </c>
      <c r="C1924" s="22" t="s">
        <v>13</v>
      </c>
      <c r="D1924" s="48" t="s">
        <v>8</v>
      </c>
      <c r="E1924" t="s">
        <v>367</v>
      </c>
      <c r="F1924">
        <v>2019</v>
      </c>
      <c r="G1924" t="s">
        <v>500</v>
      </c>
      <c r="H1924" s="42">
        <v>25</v>
      </c>
      <c r="J1924" t="s">
        <v>248</v>
      </c>
      <c r="L1924" s="34">
        <v>1</v>
      </c>
      <c r="M1924" s="38">
        <v>0.75</v>
      </c>
      <c r="N1924" s="38">
        <f t="shared" si="30"/>
        <v>0.75</v>
      </c>
    </row>
    <row r="1925" spans="1:14">
      <c r="A1925" s="29">
        <v>43790</v>
      </c>
      <c r="B1925" s="22" t="s">
        <v>54</v>
      </c>
      <c r="C1925" s="22" t="s">
        <v>13</v>
      </c>
      <c r="D1925" s="48" t="s">
        <v>11</v>
      </c>
      <c r="E1925" t="s">
        <v>177</v>
      </c>
      <c r="F1925">
        <v>2019</v>
      </c>
      <c r="G1925" t="s">
        <v>57</v>
      </c>
      <c r="H1925" s="42">
        <v>70</v>
      </c>
      <c r="J1925" t="s">
        <v>248</v>
      </c>
      <c r="K1925" t="s">
        <v>663</v>
      </c>
      <c r="L1925" s="34">
        <v>2</v>
      </c>
      <c r="M1925" s="38">
        <v>0.75</v>
      </c>
      <c r="N1925" s="38">
        <f t="shared" si="30"/>
        <v>1.5</v>
      </c>
    </row>
    <row r="1926" spans="1:14">
      <c r="A1926" s="29">
        <v>43790</v>
      </c>
      <c r="B1926" s="22" t="s">
        <v>27</v>
      </c>
      <c r="C1926" s="22" t="s">
        <v>47</v>
      </c>
      <c r="D1926" s="48" t="s">
        <v>5</v>
      </c>
      <c r="E1926" t="s">
        <v>157</v>
      </c>
      <c r="F1926">
        <v>2019</v>
      </c>
      <c r="G1926" t="s">
        <v>326</v>
      </c>
      <c r="H1926" s="42">
        <v>402</v>
      </c>
      <c r="J1926" t="s">
        <v>248</v>
      </c>
      <c r="L1926" s="34">
        <v>1</v>
      </c>
      <c r="M1926" s="38">
        <v>0.75</v>
      </c>
      <c r="N1926" s="38">
        <f t="shared" si="30"/>
        <v>0.75</v>
      </c>
    </row>
    <row r="1927" spans="1:14">
      <c r="A1927" s="29">
        <v>43790</v>
      </c>
      <c r="B1927" s="22" t="s">
        <v>27</v>
      </c>
      <c r="C1927" s="22" t="s">
        <v>47</v>
      </c>
      <c r="D1927" s="48" t="s">
        <v>5</v>
      </c>
      <c r="E1927" t="s">
        <v>157</v>
      </c>
      <c r="F1927">
        <v>2019</v>
      </c>
      <c r="G1927" t="s">
        <v>247</v>
      </c>
      <c r="H1927" s="42">
        <v>409</v>
      </c>
      <c r="J1927" t="s">
        <v>248</v>
      </c>
      <c r="L1927" s="34">
        <v>1</v>
      </c>
      <c r="M1927" s="38">
        <v>0.75</v>
      </c>
      <c r="N1927" s="38">
        <f t="shared" si="30"/>
        <v>0.75</v>
      </c>
    </row>
    <row r="1928" spans="1:14">
      <c r="A1928" s="29">
        <v>43791</v>
      </c>
      <c r="B1928" s="22" t="s">
        <v>109</v>
      </c>
      <c r="C1928" s="22" t="s">
        <v>57</v>
      </c>
      <c r="D1928" s="48" t="s">
        <v>8</v>
      </c>
      <c r="E1928" t="s">
        <v>179</v>
      </c>
      <c r="F1928">
        <v>2019</v>
      </c>
      <c r="G1928" t="s">
        <v>109</v>
      </c>
      <c r="H1928" s="42">
        <v>417</v>
      </c>
      <c r="J1928" t="s">
        <v>248</v>
      </c>
      <c r="L1928" s="34">
        <v>8</v>
      </c>
      <c r="M1928" s="38">
        <v>0.75</v>
      </c>
      <c r="N1928" s="38">
        <f t="shared" si="30"/>
        <v>6</v>
      </c>
    </row>
    <row r="1929" spans="1:14">
      <c r="A1929" s="29">
        <v>43791</v>
      </c>
      <c r="B1929" s="22" t="s">
        <v>40</v>
      </c>
      <c r="C1929" s="22" t="s">
        <v>57</v>
      </c>
      <c r="D1929" s="48" t="s">
        <v>5</v>
      </c>
      <c r="E1929" t="s">
        <v>157</v>
      </c>
      <c r="F1929">
        <v>2019</v>
      </c>
      <c r="G1929" t="s">
        <v>326</v>
      </c>
      <c r="H1929" s="42">
        <v>402</v>
      </c>
      <c r="J1929" t="s">
        <v>248</v>
      </c>
      <c r="L1929" s="34">
        <v>2</v>
      </c>
      <c r="M1929" s="38">
        <v>0.75</v>
      </c>
      <c r="N1929" s="38">
        <f t="shared" si="30"/>
        <v>1.5</v>
      </c>
    </row>
    <row r="1930" spans="1:14">
      <c r="A1930" s="29">
        <v>43791</v>
      </c>
      <c r="B1930" s="22" t="s">
        <v>40</v>
      </c>
      <c r="C1930" s="22" t="s">
        <v>57</v>
      </c>
      <c r="D1930" s="48" t="s">
        <v>5</v>
      </c>
      <c r="E1930" t="s">
        <v>157</v>
      </c>
      <c r="F1930">
        <v>2019</v>
      </c>
      <c r="G1930" t="s">
        <v>247</v>
      </c>
      <c r="H1930" s="42">
        <v>409</v>
      </c>
      <c r="J1930" t="s">
        <v>248</v>
      </c>
      <c r="L1930" s="34">
        <v>2</v>
      </c>
      <c r="M1930" s="38">
        <v>0.75</v>
      </c>
      <c r="N1930" s="38">
        <f t="shared" si="30"/>
        <v>1.5</v>
      </c>
    </row>
    <row r="1931" spans="1:14">
      <c r="A1931" s="29">
        <v>43791</v>
      </c>
      <c r="B1931" s="22" t="s">
        <v>40</v>
      </c>
      <c r="C1931" s="22" t="s">
        <v>57</v>
      </c>
      <c r="D1931" s="48" t="s">
        <v>5</v>
      </c>
      <c r="E1931" t="s">
        <v>255</v>
      </c>
      <c r="F1931">
        <v>2019</v>
      </c>
      <c r="G1931" t="s">
        <v>618</v>
      </c>
      <c r="H1931" s="42">
        <v>33</v>
      </c>
      <c r="J1931" t="s">
        <v>248</v>
      </c>
      <c r="L1931" s="34">
        <v>2</v>
      </c>
      <c r="M1931" s="38">
        <v>0.75</v>
      </c>
      <c r="N1931" s="38">
        <f t="shared" si="30"/>
        <v>1.5</v>
      </c>
    </row>
    <row r="1932" spans="1:14">
      <c r="A1932" s="29">
        <v>43791</v>
      </c>
      <c r="B1932" s="22" t="s">
        <v>40</v>
      </c>
      <c r="C1932" s="22" t="s">
        <v>57</v>
      </c>
      <c r="D1932" s="48" t="s">
        <v>5</v>
      </c>
      <c r="E1932" t="s">
        <v>307</v>
      </c>
      <c r="F1932">
        <v>2019</v>
      </c>
      <c r="G1932" t="s">
        <v>307</v>
      </c>
      <c r="H1932" s="42">
        <v>413</v>
      </c>
      <c r="J1932" t="s">
        <v>248</v>
      </c>
      <c r="L1932" s="34">
        <v>2</v>
      </c>
      <c r="M1932" s="38">
        <v>0.75</v>
      </c>
      <c r="N1932" s="38">
        <f t="shared" si="30"/>
        <v>1.5</v>
      </c>
    </row>
    <row r="1933" spans="1:14">
      <c r="A1933" s="29">
        <v>43791</v>
      </c>
      <c r="B1933" s="22" t="s">
        <v>40</v>
      </c>
      <c r="C1933" s="22" t="s">
        <v>57</v>
      </c>
      <c r="D1933" s="48" t="s">
        <v>5</v>
      </c>
      <c r="E1933" t="s">
        <v>307</v>
      </c>
      <c r="F1933">
        <v>2018</v>
      </c>
      <c r="G1933" t="s">
        <v>664</v>
      </c>
      <c r="H1933" s="42">
        <v>45</v>
      </c>
      <c r="J1933" t="s">
        <v>248</v>
      </c>
      <c r="L1933" s="34">
        <v>2</v>
      </c>
      <c r="M1933" s="38">
        <v>0.75</v>
      </c>
      <c r="N1933" s="38">
        <f t="shared" si="30"/>
        <v>1.5</v>
      </c>
    </row>
    <row r="1934" spans="1:14">
      <c r="A1934" s="29">
        <v>43791</v>
      </c>
      <c r="B1934" s="22" t="s">
        <v>40</v>
      </c>
      <c r="C1934" s="22" t="s">
        <v>57</v>
      </c>
      <c r="D1934" s="48" t="s">
        <v>5</v>
      </c>
      <c r="E1934" t="s">
        <v>307</v>
      </c>
      <c r="F1934">
        <v>2018</v>
      </c>
      <c r="G1934" t="s">
        <v>494</v>
      </c>
      <c r="H1934" s="42">
        <v>36</v>
      </c>
      <c r="J1934" t="s">
        <v>248</v>
      </c>
      <c r="L1934" s="34">
        <v>2</v>
      </c>
      <c r="M1934" s="38">
        <v>0.75</v>
      </c>
      <c r="N1934" s="38">
        <f t="shared" si="30"/>
        <v>1.5</v>
      </c>
    </row>
    <row r="1935" spans="1:14">
      <c r="A1935" s="29">
        <v>43794</v>
      </c>
      <c r="B1935" s="22" t="s">
        <v>293</v>
      </c>
      <c r="C1935" s="22" t="s">
        <v>41</v>
      </c>
      <c r="D1935" s="48" t="s">
        <v>5</v>
      </c>
      <c r="E1935" t="s">
        <v>159</v>
      </c>
      <c r="F1935">
        <v>2019</v>
      </c>
      <c r="G1935" t="s">
        <v>247</v>
      </c>
      <c r="H1935" s="42">
        <v>411</v>
      </c>
      <c r="J1935" t="s">
        <v>248</v>
      </c>
      <c r="L1935" s="34">
        <v>3</v>
      </c>
      <c r="M1935" s="38">
        <v>0.75</v>
      </c>
      <c r="N1935" s="38">
        <f t="shared" si="30"/>
        <v>2.25</v>
      </c>
    </row>
    <row r="1936" spans="1:14">
      <c r="A1936" s="29">
        <v>43794</v>
      </c>
      <c r="B1936" s="22" t="s">
        <v>293</v>
      </c>
      <c r="C1936" s="22" t="s">
        <v>41</v>
      </c>
      <c r="D1936" s="48" t="s">
        <v>5</v>
      </c>
      <c r="E1936" t="s">
        <v>255</v>
      </c>
      <c r="F1936">
        <v>2019</v>
      </c>
      <c r="G1936" t="s">
        <v>618</v>
      </c>
      <c r="H1936" s="42">
        <v>33</v>
      </c>
      <c r="J1936" t="s">
        <v>248</v>
      </c>
      <c r="L1936" s="34">
        <v>2</v>
      </c>
      <c r="M1936" s="38">
        <v>0.75</v>
      </c>
      <c r="N1936" s="38">
        <f t="shared" si="30"/>
        <v>1.5</v>
      </c>
    </row>
    <row r="1937" spans="1:14">
      <c r="A1937" s="29">
        <v>43794</v>
      </c>
      <c r="B1937" s="22" t="s">
        <v>293</v>
      </c>
      <c r="C1937" s="22" t="s">
        <v>41</v>
      </c>
      <c r="D1937" s="48" t="s">
        <v>5</v>
      </c>
      <c r="E1937" t="s">
        <v>158</v>
      </c>
      <c r="F1937">
        <v>2019</v>
      </c>
      <c r="G1937" t="s">
        <v>335</v>
      </c>
      <c r="H1937" s="42">
        <v>309</v>
      </c>
      <c r="J1937" t="s">
        <v>248</v>
      </c>
      <c r="L1937" s="34">
        <v>1</v>
      </c>
      <c r="M1937" s="38">
        <v>0.75</v>
      </c>
      <c r="N1937" s="38">
        <f t="shared" si="30"/>
        <v>0.75</v>
      </c>
    </row>
    <row r="1938" spans="1:14">
      <c r="A1938" s="29">
        <v>43794</v>
      </c>
      <c r="B1938" s="22" t="s">
        <v>293</v>
      </c>
      <c r="C1938" s="22" t="s">
        <v>41</v>
      </c>
      <c r="D1938" s="48" t="s">
        <v>5</v>
      </c>
      <c r="E1938" t="s">
        <v>158</v>
      </c>
      <c r="F1938">
        <v>2019</v>
      </c>
      <c r="G1938" t="s">
        <v>648</v>
      </c>
      <c r="H1938" s="42">
        <v>331</v>
      </c>
      <c r="J1938" t="s">
        <v>248</v>
      </c>
      <c r="L1938" s="34">
        <v>1</v>
      </c>
      <c r="M1938" s="38">
        <v>0.75</v>
      </c>
      <c r="N1938" s="38">
        <f t="shared" si="30"/>
        <v>0.75</v>
      </c>
    </row>
    <row r="1939" spans="1:14">
      <c r="A1939" s="29">
        <v>43794</v>
      </c>
      <c r="B1939" s="22" t="s">
        <v>57</v>
      </c>
      <c r="C1939" s="22" t="s">
        <v>38</v>
      </c>
      <c r="D1939" s="48" t="s">
        <v>5</v>
      </c>
      <c r="E1939" t="s">
        <v>159</v>
      </c>
      <c r="F1939">
        <v>2019</v>
      </c>
      <c r="G1939" t="s">
        <v>319</v>
      </c>
      <c r="H1939" s="42">
        <v>310</v>
      </c>
      <c r="J1939" t="s">
        <v>248</v>
      </c>
      <c r="L1939" s="34">
        <v>2</v>
      </c>
      <c r="M1939" s="38">
        <v>0.75</v>
      </c>
      <c r="N1939" s="38">
        <f t="shared" si="30"/>
        <v>1.5</v>
      </c>
    </row>
    <row r="1940" spans="1:14">
      <c r="A1940" s="29">
        <v>43794</v>
      </c>
      <c r="B1940" s="22" t="s">
        <v>57</v>
      </c>
      <c r="C1940" s="22" t="s">
        <v>38</v>
      </c>
      <c r="D1940" s="48" t="s">
        <v>8</v>
      </c>
      <c r="E1940" t="s">
        <v>259</v>
      </c>
      <c r="F1940">
        <v>2019</v>
      </c>
      <c r="G1940" t="s">
        <v>57</v>
      </c>
      <c r="H1940" s="42">
        <v>332</v>
      </c>
      <c r="J1940" t="s">
        <v>248</v>
      </c>
      <c r="L1940" s="34">
        <v>1</v>
      </c>
      <c r="M1940" s="38">
        <v>0.75</v>
      </c>
      <c r="N1940" s="38">
        <f t="shared" si="30"/>
        <v>0.75</v>
      </c>
    </row>
    <row r="1941" spans="1:14">
      <c r="A1941" s="29">
        <v>43797</v>
      </c>
      <c r="B1941" s="22" t="s">
        <v>40</v>
      </c>
      <c r="C1941" s="22" t="s">
        <v>57</v>
      </c>
      <c r="D1941" s="48" t="s">
        <v>5</v>
      </c>
      <c r="E1941" t="s">
        <v>157</v>
      </c>
      <c r="F1941">
        <v>2019</v>
      </c>
      <c r="G1941" t="s">
        <v>326</v>
      </c>
      <c r="H1941" s="42">
        <v>403</v>
      </c>
      <c r="J1941" t="s">
        <v>248</v>
      </c>
      <c r="L1941" s="34">
        <v>5</v>
      </c>
      <c r="M1941" s="38">
        <v>0.75</v>
      </c>
      <c r="N1941" s="38">
        <f t="shared" si="30"/>
        <v>3.75</v>
      </c>
    </row>
    <row r="1942" spans="1:14">
      <c r="A1942" s="29">
        <v>43797</v>
      </c>
      <c r="B1942" s="22" t="s">
        <v>40</v>
      </c>
      <c r="C1942" s="22" t="s">
        <v>57</v>
      </c>
      <c r="D1942" s="48" t="s">
        <v>5</v>
      </c>
      <c r="E1942" t="s">
        <v>157</v>
      </c>
      <c r="F1942">
        <v>2019</v>
      </c>
      <c r="G1942" t="s">
        <v>247</v>
      </c>
      <c r="H1942" s="42">
        <v>37</v>
      </c>
      <c r="J1942" t="s">
        <v>248</v>
      </c>
      <c r="L1942" s="34">
        <v>2</v>
      </c>
      <c r="M1942" s="38">
        <v>0.75</v>
      </c>
      <c r="N1942" s="38">
        <f t="shared" si="30"/>
        <v>1.5</v>
      </c>
    </row>
    <row r="1943" spans="1:14">
      <c r="A1943" s="29">
        <v>43797</v>
      </c>
      <c r="B1943" s="22" t="s">
        <v>40</v>
      </c>
      <c r="C1943" s="22" t="s">
        <v>57</v>
      </c>
      <c r="D1943" s="48" t="s">
        <v>5</v>
      </c>
      <c r="E1943" t="s">
        <v>255</v>
      </c>
      <c r="F1943">
        <v>2019</v>
      </c>
      <c r="G1943" t="s">
        <v>618</v>
      </c>
      <c r="H1943" s="42">
        <v>33</v>
      </c>
      <c r="J1943" t="s">
        <v>248</v>
      </c>
      <c r="L1943" s="34">
        <v>2</v>
      </c>
      <c r="M1943" s="38">
        <v>0.75</v>
      </c>
      <c r="N1943" s="38">
        <f t="shared" si="30"/>
        <v>1.5</v>
      </c>
    </row>
    <row r="1944" spans="1:14">
      <c r="A1944" s="29">
        <v>43797</v>
      </c>
      <c r="B1944" s="22" t="s">
        <v>40</v>
      </c>
      <c r="C1944" s="22" t="s">
        <v>57</v>
      </c>
      <c r="D1944" s="48" t="s">
        <v>5</v>
      </c>
      <c r="E1944" t="s">
        <v>307</v>
      </c>
      <c r="F1944">
        <v>2019</v>
      </c>
      <c r="G1944" t="s">
        <v>307</v>
      </c>
      <c r="H1944" s="42">
        <v>407</v>
      </c>
      <c r="J1944" t="s">
        <v>248</v>
      </c>
      <c r="L1944" s="34">
        <v>2</v>
      </c>
      <c r="M1944" s="38">
        <v>0.75</v>
      </c>
      <c r="N1944" s="38">
        <f t="shared" si="30"/>
        <v>1.5</v>
      </c>
    </row>
    <row r="1945" spans="1:14">
      <c r="A1945" s="29">
        <v>43797</v>
      </c>
      <c r="B1945" s="22" t="s">
        <v>109</v>
      </c>
      <c r="C1945" s="22" t="s">
        <v>57</v>
      </c>
      <c r="D1945" s="48" t="s">
        <v>5</v>
      </c>
      <c r="E1945" t="s">
        <v>494</v>
      </c>
      <c r="F1945">
        <v>2019</v>
      </c>
      <c r="G1945" t="s">
        <v>494</v>
      </c>
      <c r="H1945" s="42" t="s">
        <v>57</v>
      </c>
      <c r="J1945" t="s">
        <v>248</v>
      </c>
      <c r="L1945" s="34">
        <v>2</v>
      </c>
      <c r="M1945" s="38">
        <v>0.75</v>
      </c>
      <c r="N1945" s="38">
        <f t="shared" si="30"/>
        <v>1.5</v>
      </c>
    </row>
    <row r="1946" spans="1:14">
      <c r="A1946" s="29">
        <v>43797</v>
      </c>
      <c r="B1946" s="22" t="s">
        <v>109</v>
      </c>
      <c r="C1946" s="22" t="s">
        <v>57</v>
      </c>
      <c r="D1946" s="48" t="s">
        <v>5</v>
      </c>
      <c r="E1946" t="s">
        <v>494</v>
      </c>
      <c r="F1946">
        <v>2019</v>
      </c>
      <c r="G1946" t="s">
        <v>160</v>
      </c>
      <c r="H1946" s="42" t="s">
        <v>57</v>
      </c>
      <c r="J1946" t="s">
        <v>248</v>
      </c>
      <c r="L1946" s="34">
        <v>2</v>
      </c>
      <c r="M1946" s="38">
        <v>0.75</v>
      </c>
      <c r="N1946" s="38">
        <f t="shared" si="30"/>
        <v>1.5</v>
      </c>
    </row>
    <row r="1947" spans="1:14">
      <c r="A1947" s="29">
        <v>43798</v>
      </c>
      <c r="B1947" s="22" t="s">
        <v>665</v>
      </c>
      <c r="C1947" s="22" t="s">
        <v>47</v>
      </c>
      <c r="D1947" s="48" t="s">
        <v>5</v>
      </c>
      <c r="E1947" t="s">
        <v>267</v>
      </c>
      <c r="F1947">
        <v>2019</v>
      </c>
      <c r="G1947" t="s">
        <v>57</v>
      </c>
      <c r="H1947" s="42" t="s">
        <v>639</v>
      </c>
      <c r="J1947" t="s">
        <v>248</v>
      </c>
      <c r="L1947" s="34">
        <v>3</v>
      </c>
      <c r="M1947" s="38">
        <v>0.75</v>
      </c>
      <c r="N1947" s="38">
        <f t="shared" si="30"/>
        <v>2.25</v>
      </c>
    </row>
    <row r="1948" spans="1:14">
      <c r="A1948" s="29">
        <v>43801</v>
      </c>
      <c r="B1948" s="22" t="s">
        <v>28</v>
      </c>
      <c r="C1948" s="22" t="s">
        <v>271</v>
      </c>
      <c r="D1948" s="48" t="s">
        <v>5</v>
      </c>
      <c r="E1948" t="s">
        <v>157</v>
      </c>
      <c r="F1948">
        <v>2019</v>
      </c>
      <c r="G1948" t="s">
        <v>319</v>
      </c>
      <c r="H1948" s="42">
        <v>203</v>
      </c>
      <c r="J1948" t="s">
        <v>248</v>
      </c>
      <c r="L1948" s="34">
        <v>2</v>
      </c>
      <c r="M1948" s="38">
        <v>0.75</v>
      </c>
      <c r="N1948" s="38">
        <f t="shared" si="30"/>
        <v>1.5</v>
      </c>
    </row>
    <row r="1949" spans="1:14">
      <c r="A1949" s="29">
        <v>43801</v>
      </c>
      <c r="B1949" s="22" t="s">
        <v>28</v>
      </c>
      <c r="C1949" s="22" t="s">
        <v>271</v>
      </c>
      <c r="D1949" s="48" t="s">
        <v>5</v>
      </c>
      <c r="E1949" t="s">
        <v>157</v>
      </c>
      <c r="F1949">
        <v>2019</v>
      </c>
      <c r="G1949" t="s">
        <v>247</v>
      </c>
      <c r="H1949" s="42">
        <v>409</v>
      </c>
      <c r="J1949" t="s">
        <v>248</v>
      </c>
      <c r="L1949" s="34">
        <v>2</v>
      </c>
      <c r="M1949" s="38">
        <v>0.75</v>
      </c>
      <c r="N1949" s="38">
        <f t="shared" si="30"/>
        <v>1.5</v>
      </c>
    </row>
    <row r="1950" spans="1:14">
      <c r="A1950" s="29">
        <v>43801</v>
      </c>
      <c r="B1950" s="22" t="s">
        <v>28</v>
      </c>
      <c r="C1950" s="22" t="s">
        <v>271</v>
      </c>
      <c r="D1950" s="48" t="s">
        <v>5</v>
      </c>
      <c r="E1950" t="s">
        <v>159</v>
      </c>
      <c r="F1950">
        <v>2019</v>
      </c>
      <c r="G1950" t="s">
        <v>326</v>
      </c>
      <c r="H1950" s="42">
        <v>54</v>
      </c>
      <c r="J1950" t="s">
        <v>248</v>
      </c>
      <c r="L1950" s="34">
        <v>6</v>
      </c>
      <c r="M1950" s="38">
        <v>0.75</v>
      </c>
      <c r="N1950" s="38">
        <f t="shared" si="30"/>
        <v>4.5</v>
      </c>
    </row>
    <row r="1951" spans="1:14">
      <c r="A1951" s="29">
        <v>43801</v>
      </c>
      <c r="B1951" s="22" t="s">
        <v>28</v>
      </c>
      <c r="C1951" s="22" t="s">
        <v>271</v>
      </c>
      <c r="D1951" s="48" t="s">
        <v>5</v>
      </c>
      <c r="E1951" t="s">
        <v>255</v>
      </c>
      <c r="F1951">
        <v>2019</v>
      </c>
      <c r="G1951" t="s">
        <v>618</v>
      </c>
      <c r="H1951" s="42">
        <v>33</v>
      </c>
      <c r="J1951" t="s">
        <v>248</v>
      </c>
      <c r="L1951" s="34">
        <v>2</v>
      </c>
      <c r="M1951" s="38">
        <v>0.75</v>
      </c>
      <c r="N1951" s="38">
        <f t="shared" si="30"/>
        <v>1.5</v>
      </c>
    </row>
    <row r="1952" spans="1:14">
      <c r="A1952" s="29">
        <v>43801</v>
      </c>
      <c r="B1952" s="22" t="s">
        <v>70</v>
      </c>
      <c r="C1952" s="22" t="s">
        <v>41</v>
      </c>
      <c r="D1952" s="48" t="s">
        <v>5</v>
      </c>
      <c r="E1952" t="s">
        <v>255</v>
      </c>
      <c r="F1952">
        <v>2019</v>
      </c>
      <c r="G1952" t="s">
        <v>618</v>
      </c>
      <c r="H1952" s="42">
        <v>33</v>
      </c>
      <c r="J1952" t="s">
        <v>248</v>
      </c>
      <c r="L1952" s="34">
        <v>1</v>
      </c>
      <c r="M1952" s="38">
        <v>0.75</v>
      </c>
      <c r="N1952" s="38">
        <f t="shared" si="30"/>
        <v>0.75</v>
      </c>
    </row>
    <row r="1953" spans="1:14">
      <c r="A1953" s="29">
        <v>43801</v>
      </c>
      <c r="B1953" s="22" t="s">
        <v>293</v>
      </c>
      <c r="C1953" s="22" t="s">
        <v>41</v>
      </c>
      <c r="D1953" s="48" t="s">
        <v>5</v>
      </c>
      <c r="E1953" t="s">
        <v>159</v>
      </c>
      <c r="F1953">
        <v>2019</v>
      </c>
      <c r="G1953" t="s">
        <v>247</v>
      </c>
      <c r="H1953" s="42">
        <v>411</v>
      </c>
      <c r="J1953" t="s">
        <v>248</v>
      </c>
      <c r="L1953" s="34">
        <v>8</v>
      </c>
      <c r="M1953" s="38">
        <v>0.75</v>
      </c>
      <c r="N1953" s="38">
        <f t="shared" si="30"/>
        <v>6</v>
      </c>
    </row>
    <row r="1954" spans="1:14">
      <c r="A1954" s="29">
        <v>43801</v>
      </c>
      <c r="B1954" s="22" t="s">
        <v>293</v>
      </c>
      <c r="C1954" s="22" t="s">
        <v>41</v>
      </c>
      <c r="D1954" s="48" t="s">
        <v>5</v>
      </c>
      <c r="E1954" t="s">
        <v>255</v>
      </c>
      <c r="F1954">
        <v>2019</v>
      </c>
      <c r="G1954" t="s">
        <v>618</v>
      </c>
      <c r="H1954" s="42">
        <v>33</v>
      </c>
      <c r="J1954" t="s">
        <v>248</v>
      </c>
      <c r="L1954" s="34">
        <v>1</v>
      </c>
      <c r="M1954" s="38">
        <v>0.75</v>
      </c>
      <c r="N1954" s="38">
        <f t="shared" si="30"/>
        <v>0.75</v>
      </c>
    </row>
    <row r="1955" spans="1:14">
      <c r="A1955" s="29">
        <v>43801</v>
      </c>
      <c r="B1955" s="22" t="s">
        <v>293</v>
      </c>
      <c r="C1955" s="22" t="s">
        <v>41</v>
      </c>
      <c r="D1955" s="48" t="s">
        <v>5</v>
      </c>
      <c r="E1955" t="s">
        <v>158</v>
      </c>
      <c r="F1955">
        <v>2019</v>
      </c>
      <c r="G1955" t="s">
        <v>335</v>
      </c>
      <c r="H1955" s="42">
        <v>309</v>
      </c>
      <c r="J1955" t="s">
        <v>248</v>
      </c>
      <c r="L1955" s="34">
        <v>1</v>
      </c>
      <c r="M1955" s="38">
        <v>0.75</v>
      </c>
      <c r="N1955" s="38">
        <f t="shared" si="30"/>
        <v>0.75</v>
      </c>
    </row>
    <row r="1956" spans="1:14">
      <c r="A1956" s="29">
        <v>43801</v>
      </c>
      <c r="B1956" s="22" t="s">
        <v>60</v>
      </c>
      <c r="C1956" s="22" t="s">
        <v>53</v>
      </c>
      <c r="D1956" s="48" t="s">
        <v>5</v>
      </c>
      <c r="E1956" t="s">
        <v>158</v>
      </c>
      <c r="F1956">
        <v>2019</v>
      </c>
      <c r="G1956" t="s">
        <v>666</v>
      </c>
      <c r="H1956" s="42">
        <v>84</v>
      </c>
      <c r="J1956" t="s">
        <v>248</v>
      </c>
      <c r="L1956" s="34">
        <v>2</v>
      </c>
      <c r="M1956" s="38">
        <v>0.75</v>
      </c>
      <c r="N1956" s="38">
        <f t="shared" si="30"/>
        <v>1.5</v>
      </c>
    </row>
    <row r="1957" spans="1:14">
      <c r="A1957" s="29">
        <v>43801</v>
      </c>
      <c r="B1957" s="22" t="s">
        <v>60</v>
      </c>
      <c r="C1957" s="22" t="s">
        <v>53</v>
      </c>
      <c r="D1957" s="48" t="s">
        <v>5</v>
      </c>
      <c r="E1957" t="s">
        <v>158</v>
      </c>
      <c r="F1957">
        <v>2019</v>
      </c>
      <c r="G1957" t="s">
        <v>667</v>
      </c>
      <c r="H1957" s="42" t="s">
        <v>57</v>
      </c>
      <c r="J1957" t="s">
        <v>248</v>
      </c>
      <c r="L1957" s="34">
        <v>2</v>
      </c>
      <c r="M1957" s="38">
        <v>0.75</v>
      </c>
      <c r="N1957" s="38">
        <f t="shared" si="30"/>
        <v>1.5</v>
      </c>
    </row>
    <row r="1958" spans="1:14">
      <c r="A1958" s="29">
        <v>43801</v>
      </c>
      <c r="B1958" s="22" t="s">
        <v>60</v>
      </c>
      <c r="C1958" s="22" t="s">
        <v>53</v>
      </c>
      <c r="D1958" s="48" t="s">
        <v>5</v>
      </c>
      <c r="E1958" t="s">
        <v>158</v>
      </c>
      <c r="F1958">
        <v>2019</v>
      </c>
      <c r="G1958" t="s">
        <v>668</v>
      </c>
      <c r="H1958" s="42" t="s">
        <v>57</v>
      </c>
      <c r="J1958" t="s">
        <v>248</v>
      </c>
      <c r="L1958" s="34">
        <v>2</v>
      </c>
      <c r="M1958" s="38">
        <v>0.75</v>
      </c>
      <c r="N1958" s="38">
        <f t="shared" si="30"/>
        <v>1.5</v>
      </c>
    </row>
    <row r="1959" spans="1:14">
      <c r="A1959" s="29">
        <v>43801</v>
      </c>
      <c r="B1959" s="22" t="s">
        <v>63</v>
      </c>
      <c r="C1959" s="22" t="s">
        <v>57</v>
      </c>
      <c r="D1959" s="48" t="s">
        <v>5</v>
      </c>
      <c r="E1959" t="s">
        <v>157</v>
      </c>
      <c r="F1959">
        <v>2019</v>
      </c>
      <c r="G1959" t="s">
        <v>326</v>
      </c>
      <c r="H1959" s="42">
        <v>403</v>
      </c>
      <c r="J1959" t="s">
        <v>248</v>
      </c>
      <c r="L1959" s="34">
        <v>6</v>
      </c>
      <c r="M1959" s="38">
        <v>0.75</v>
      </c>
      <c r="N1959" s="38">
        <f t="shared" si="30"/>
        <v>4.5</v>
      </c>
    </row>
    <row r="1960" spans="1:14">
      <c r="A1960" s="29">
        <v>43801</v>
      </c>
      <c r="B1960" s="22" t="s">
        <v>63</v>
      </c>
      <c r="C1960" s="22" t="s">
        <v>57</v>
      </c>
      <c r="D1960" s="48" t="s">
        <v>5</v>
      </c>
      <c r="E1960" t="s">
        <v>157</v>
      </c>
      <c r="F1960">
        <v>2019</v>
      </c>
      <c r="G1960" t="s">
        <v>247</v>
      </c>
      <c r="H1960" s="42">
        <v>409</v>
      </c>
      <c r="J1960" t="s">
        <v>248</v>
      </c>
      <c r="L1960" s="34">
        <v>6</v>
      </c>
      <c r="M1960" s="38">
        <v>0.75</v>
      </c>
      <c r="N1960" s="38">
        <f t="shared" si="30"/>
        <v>4.5</v>
      </c>
    </row>
    <row r="1961" spans="1:14">
      <c r="A1961" s="29">
        <v>43801</v>
      </c>
      <c r="B1961" s="22" t="s">
        <v>63</v>
      </c>
      <c r="C1961" s="22" t="s">
        <v>57</v>
      </c>
      <c r="D1961" s="48" t="s">
        <v>5</v>
      </c>
      <c r="E1961" t="s">
        <v>157</v>
      </c>
      <c r="F1961">
        <v>2019</v>
      </c>
      <c r="G1961" t="s">
        <v>448</v>
      </c>
      <c r="H1961" s="42">
        <v>405</v>
      </c>
      <c r="J1961" t="s">
        <v>248</v>
      </c>
      <c r="L1961" s="34">
        <v>6</v>
      </c>
      <c r="M1961" s="38">
        <v>0.75</v>
      </c>
      <c r="N1961" s="38">
        <f t="shared" si="30"/>
        <v>4.5</v>
      </c>
    </row>
    <row r="1962" spans="1:14">
      <c r="A1962" s="29">
        <v>43801</v>
      </c>
      <c r="B1962" s="22" t="s">
        <v>63</v>
      </c>
      <c r="C1962" s="22" t="s">
        <v>57</v>
      </c>
      <c r="D1962" s="48" t="s">
        <v>5</v>
      </c>
      <c r="E1962" t="s">
        <v>255</v>
      </c>
      <c r="F1962">
        <v>2019</v>
      </c>
      <c r="G1962" t="s">
        <v>618</v>
      </c>
      <c r="H1962" s="42">
        <v>33</v>
      </c>
      <c r="J1962" t="s">
        <v>248</v>
      </c>
      <c r="L1962" s="34">
        <v>4</v>
      </c>
      <c r="M1962" s="38">
        <v>0.75</v>
      </c>
      <c r="N1962" s="38">
        <f t="shared" si="30"/>
        <v>3</v>
      </c>
    </row>
    <row r="1963" spans="1:14">
      <c r="A1963" s="29">
        <v>43802</v>
      </c>
      <c r="B1963" s="22" t="s">
        <v>40</v>
      </c>
      <c r="C1963" s="22" t="s">
        <v>57</v>
      </c>
      <c r="D1963" s="48" t="s">
        <v>5</v>
      </c>
      <c r="E1963" t="s">
        <v>157</v>
      </c>
      <c r="F1963">
        <v>2019</v>
      </c>
      <c r="G1963" t="s">
        <v>326</v>
      </c>
      <c r="H1963" s="42">
        <v>403</v>
      </c>
      <c r="J1963" t="s">
        <v>248</v>
      </c>
      <c r="L1963" s="34">
        <v>3</v>
      </c>
      <c r="M1963" s="38">
        <v>0.75</v>
      </c>
      <c r="N1963" s="38">
        <f t="shared" si="30"/>
        <v>2.25</v>
      </c>
    </row>
    <row r="1964" spans="1:14">
      <c r="A1964" s="29">
        <v>43803</v>
      </c>
      <c r="B1964" s="22" t="s">
        <v>109</v>
      </c>
      <c r="C1964" s="22" t="s">
        <v>57</v>
      </c>
      <c r="D1964" s="48" t="s">
        <v>8</v>
      </c>
      <c r="E1964" t="s">
        <v>179</v>
      </c>
      <c r="F1964">
        <v>2019</v>
      </c>
      <c r="G1964" t="s">
        <v>109</v>
      </c>
      <c r="H1964" s="42">
        <v>417</v>
      </c>
      <c r="J1964" t="s">
        <v>248</v>
      </c>
      <c r="L1964" s="34">
        <v>2</v>
      </c>
      <c r="M1964" s="38">
        <v>0.75</v>
      </c>
      <c r="N1964" s="38">
        <f t="shared" si="30"/>
        <v>1.5</v>
      </c>
    </row>
    <row r="1965" spans="1:14">
      <c r="A1965" s="29">
        <v>43803</v>
      </c>
      <c r="B1965" s="22" t="s">
        <v>109</v>
      </c>
      <c r="C1965" s="22" t="s">
        <v>57</v>
      </c>
      <c r="D1965" s="48" t="s">
        <v>8</v>
      </c>
      <c r="E1965" t="s">
        <v>502</v>
      </c>
      <c r="F1965">
        <v>2019</v>
      </c>
      <c r="G1965" t="s">
        <v>109</v>
      </c>
      <c r="H1965" s="42">
        <v>205</v>
      </c>
      <c r="J1965" t="s">
        <v>248</v>
      </c>
      <c r="L1965" s="34">
        <v>2</v>
      </c>
      <c r="M1965" s="38">
        <v>0.75</v>
      </c>
      <c r="N1965" s="38">
        <f t="shared" si="30"/>
        <v>1.5</v>
      </c>
    </row>
    <row r="1966" spans="1:14">
      <c r="A1966" s="29">
        <v>43803</v>
      </c>
      <c r="B1966" s="22" t="s">
        <v>120</v>
      </c>
      <c r="C1966" s="22" t="s">
        <v>45</v>
      </c>
      <c r="D1966" s="48" t="s">
        <v>5</v>
      </c>
      <c r="E1966" t="s">
        <v>159</v>
      </c>
      <c r="F1966">
        <v>2019</v>
      </c>
      <c r="G1966" t="s">
        <v>500</v>
      </c>
      <c r="H1966" s="42">
        <v>415</v>
      </c>
      <c r="J1966" t="s">
        <v>248</v>
      </c>
      <c r="L1966" s="34">
        <v>2</v>
      </c>
      <c r="M1966" s="38">
        <v>0.75</v>
      </c>
      <c r="N1966" s="38">
        <f t="shared" si="30"/>
        <v>1.5</v>
      </c>
    </row>
    <row r="1967" spans="1:14">
      <c r="A1967" s="29">
        <v>43803</v>
      </c>
      <c r="B1967" s="22" t="s">
        <v>120</v>
      </c>
      <c r="C1967" s="22" t="s">
        <v>45</v>
      </c>
      <c r="D1967" s="48" t="s">
        <v>5</v>
      </c>
      <c r="E1967" t="s">
        <v>157</v>
      </c>
      <c r="F1967">
        <v>2019</v>
      </c>
      <c r="G1967" t="s">
        <v>500</v>
      </c>
      <c r="H1967" s="42">
        <v>31</v>
      </c>
      <c r="J1967" t="s">
        <v>248</v>
      </c>
      <c r="L1967" s="34">
        <v>2</v>
      </c>
      <c r="M1967" s="38">
        <v>0.75</v>
      </c>
      <c r="N1967" s="38">
        <f t="shared" si="30"/>
        <v>1.5</v>
      </c>
    </row>
    <row r="1968" spans="1:14">
      <c r="A1968" s="29">
        <v>43803</v>
      </c>
      <c r="B1968" s="22" t="s">
        <v>120</v>
      </c>
      <c r="C1968" s="22" t="s">
        <v>45</v>
      </c>
      <c r="D1968" s="48" t="s">
        <v>5</v>
      </c>
      <c r="E1968" t="s">
        <v>158</v>
      </c>
      <c r="F1968">
        <v>2019</v>
      </c>
      <c r="G1968" t="s">
        <v>500</v>
      </c>
      <c r="H1968" s="42">
        <v>12</v>
      </c>
      <c r="J1968" t="s">
        <v>248</v>
      </c>
      <c r="L1968" s="34">
        <v>2</v>
      </c>
      <c r="M1968" s="38">
        <v>0.75</v>
      </c>
      <c r="N1968" s="38">
        <f t="shared" si="30"/>
        <v>1.5</v>
      </c>
    </row>
    <row r="1969" spans="1:14">
      <c r="A1969" s="29">
        <v>43803</v>
      </c>
      <c r="B1969" s="22" t="s">
        <v>120</v>
      </c>
      <c r="C1969" s="22" t="s">
        <v>45</v>
      </c>
      <c r="D1969" s="48" t="s">
        <v>5</v>
      </c>
      <c r="E1969" t="s">
        <v>255</v>
      </c>
      <c r="F1969">
        <v>2019</v>
      </c>
      <c r="G1969" t="s">
        <v>500</v>
      </c>
      <c r="H1969" s="42">
        <v>23</v>
      </c>
      <c r="J1969" t="s">
        <v>248</v>
      </c>
      <c r="L1969" s="34">
        <v>2</v>
      </c>
      <c r="M1969" s="38">
        <v>0.75</v>
      </c>
      <c r="N1969" s="38">
        <f t="shared" si="30"/>
        <v>1.5</v>
      </c>
    </row>
    <row r="1970" spans="1:14">
      <c r="A1970" s="29">
        <v>43803</v>
      </c>
      <c r="B1970" s="22" t="s">
        <v>82</v>
      </c>
      <c r="C1970" s="22" t="s">
        <v>38</v>
      </c>
      <c r="D1970" s="48" t="s">
        <v>5</v>
      </c>
      <c r="E1970" t="s">
        <v>159</v>
      </c>
      <c r="F1970">
        <v>2019</v>
      </c>
      <c r="G1970" t="s">
        <v>319</v>
      </c>
      <c r="H1970" s="42">
        <v>54</v>
      </c>
      <c r="J1970" t="s">
        <v>248</v>
      </c>
      <c r="L1970" s="34">
        <v>2</v>
      </c>
      <c r="M1970" s="38">
        <v>0.75</v>
      </c>
      <c r="N1970" s="38">
        <f t="shared" si="30"/>
        <v>1.5</v>
      </c>
    </row>
    <row r="1971" spans="1:14">
      <c r="A1971" s="29">
        <v>43804</v>
      </c>
      <c r="B1971" s="22" t="s">
        <v>669</v>
      </c>
      <c r="C1971" s="22" t="s">
        <v>24</v>
      </c>
      <c r="D1971" s="48" t="s">
        <v>5</v>
      </c>
      <c r="E1971" t="s">
        <v>159</v>
      </c>
      <c r="F1971">
        <v>2019</v>
      </c>
      <c r="G1971" t="s">
        <v>326</v>
      </c>
      <c r="H1971" s="42">
        <v>38</v>
      </c>
      <c r="J1971" t="s">
        <v>248</v>
      </c>
      <c r="L1971" s="34">
        <v>1</v>
      </c>
      <c r="M1971" s="38">
        <v>0.75</v>
      </c>
      <c r="N1971" s="38">
        <f t="shared" si="30"/>
        <v>0.75</v>
      </c>
    </row>
    <row r="1972" spans="1:14">
      <c r="A1972" s="29">
        <v>43804</v>
      </c>
      <c r="B1972" s="22" t="s">
        <v>669</v>
      </c>
      <c r="C1972" s="22" t="s">
        <v>24</v>
      </c>
      <c r="D1972" s="48" t="s">
        <v>5</v>
      </c>
      <c r="E1972" t="s">
        <v>159</v>
      </c>
      <c r="F1972">
        <v>2019</v>
      </c>
      <c r="G1972" t="s">
        <v>247</v>
      </c>
      <c r="H1972" s="42">
        <v>411</v>
      </c>
      <c r="J1972" t="s">
        <v>248</v>
      </c>
      <c r="L1972" s="34">
        <v>1</v>
      </c>
      <c r="M1972" s="38">
        <v>0.75</v>
      </c>
      <c r="N1972" s="38">
        <f t="shared" si="30"/>
        <v>0.75</v>
      </c>
    </row>
    <row r="1973" spans="1:14">
      <c r="A1973" s="29">
        <v>43804</v>
      </c>
      <c r="B1973" s="22" t="s">
        <v>669</v>
      </c>
      <c r="C1973" s="22" t="s">
        <v>24</v>
      </c>
      <c r="D1973" s="48" t="s">
        <v>5</v>
      </c>
      <c r="E1973" t="s">
        <v>159</v>
      </c>
      <c r="F1973">
        <v>2019</v>
      </c>
      <c r="G1973" t="s">
        <v>500</v>
      </c>
      <c r="H1973" s="42">
        <v>415</v>
      </c>
      <c r="J1973" t="s">
        <v>248</v>
      </c>
      <c r="L1973" s="34">
        <v>1</v>
      </c>
      <c r="M1973" s="38">
        <v>0.75</v>
      </c>
      <c r="N1973" s="38">
        <f t="shared" si="30"/>
        <v>0.75</v>
      </c>
    </row>
    <row r="1974" spans="1:14">
      <c r="A1974" s="29">
        <v>43804</v>
      </c>
      <c r="B1974" s="22" t="s">
        <v>669</v>
      </c>
      <c r="C1974" s="22" t="s">
        <v>24</v>
      </c>
      <c r="D1974" s="48" t="s">
        <v>5</v>
      </c>
      <c r="E1974" t="s">
        <v>307</v>
      </c>
      <c r="F1974">
        <v>2019</v>
      </c>
      <c r="G1974" t="s">
        <v>307</v>
      </c>
      <c r="H1974" s="42">
        <v>424</v>
      </c>
      <c r="J1974" t="s">
        <v>248</v>
      </c>
      <c r="L1974" s="34">
        <v>1</v>
      </c>
      <c r="M1974" s="38">
        <v>0.75</v>
      </c>
      <c r="N1974" s="38">
        <f t="shared" si="30"/>
        <v>0.75</v>
      </c>
    </row>
    <row r="1975" spans="1:14">
      <c r="A1975" s="29">
        <v>43804</v>
      </c>
      <c r="B1975" s="22" t="s">
        <v>669</v>
      </c>
      <c r="C1975" s="22" t="s">
        <v>24</v>
      </c>
      <c r="D1975" s="48" t="s">
        <v>5</v>
      </c>
      <c r="E1975" t="s">
        <v>526</v>
      </c>
      <c r="F1975">
        <v>2019</v>
      </c>
      <c r="G1975" t="s">
        <v>500</v>
      </c>
      <c r="H1975" s="42">
        <v>420</v>
      </c>
      <c r="J1975" t="s">
        <v>248</v>
      </c>
      <c r="L1975" s="34">
        <v>1</v>
      </c>
      <c r="M1975" s="38">
        <v>0.75</v>
      </c>
      <c r="N1975" s="38">
        <f t="shared" si="30"/>
        <v>0.75</v>
      </c>
    </row>
    <row r="1976" spans="1:14">
      <c r="A1976" s="29">
        <v>43804</v>
      </c>
      <c r="B1976" s="22" t="s">
        <v>669</v>
      </c>
      <c r="C1976" s="22" t="s">
        <v>24</v>
      </c>
      <c r="D1976" s="48" t="s">
        <v>5</v>
      </c>
      <c r="E1976" t="s">
        <v>161</v>
      </c>
      <c r="F1976">
        <v>2019</v>
      </c>
      <c r="G1976" t="s">
        <v>618</v>
      </c>
      <c r="H1976" s="42">
        <v>24</v>
      </c>
      <c r="J1976" t="s">
        <v>248</v>
      </c>
      <c r="L1976" s="34">
        <v>1</v>
      </c>
      <c r="M1976" s="38">
        <v>0.75</v>
      </c>
      <c r="N1976" s="38">
        <f t="shared" si="30"/>
        <v>0.75</v>
      </c>
    </row>
    <row r="1977" spans="1:14">
      <c r="A1977" s="29">
        <v>43804</v>
      </c>
      <c r="B1977" s="22" t="s">
        <v>669</v>
      </c>
      <c r="C1977" s="22" t="s">
        <v>24</v>
      </c>
      <c r="D1977" s="48" t="s">
        <v>11</v>
      </c>
      <c r="E1977" t="s">
        <v>179</v>
      </c>
      <c r="F1977">
        <v>2019</v>
      </c>
      <c r="G1977" t="s">
        <v>618</v>
      </c>
      <c r="H1977" s="42" t="s">
        <v>57</v>
      </c>
      <c r="J1977" t="s">
        <v>248</v>
      </c>
      <c r="L1977" s="34">
        <v>1</v>
      </c>
      <c r="M1977" s="38">
        <v>0.75</v>
      </c>
      <c r="N1977" s="38">
        <f t="shared" si="30"/>
        <v>0.75</v>
      </c>
    </row>
    <row r="1978" spans="1:14">
      <c r="A1978" s="29">
        <v>43804</v>
      </c>
      <c r="B1978" s="22" t="s">
        <v>669</v>
      </c>
      <c r="C1978" s="22" t="s">
        <v>24</v>
      </c>
      <c r="D1978" s="48" t="s">
        <v>11</v>
      </c>
      <c r="E1978" t="s">
        <v>179</v>
      </c>
      <c r="F1978">
        <v>2019</v>
      </c>
      <c r="G1978" t="s">
        <v>500</v>
      </c>
      <c r="H1978" s="42">
        <v>419</v>
      </c>
      <c r="J1978" t="s">
        <v>248</v>
      </c>
      <c r="L1978" s="34">
        <v>1</v>
      </c>
      <c r="M1978" s="38">
        <v>0.75</v>
      </c>
      <c r="N1978" s="38">
        <f t="shared" si="30"/>
        <v>0.75</v>
      </c>
    </row>
    <row r="1979" spans="1:14">
      <c r="A1979" s="29">
        <v>43805</v>
      </c>
      <c r="B1979" s="22" t="s">
        <v>28</v>
      </c>
      <c r="C1979" s="22" t="s">
        <v>271</v>
      </c>
      <c r="D1979" s="48" t="s">
        <v>5</v>
      </c>
      <c r="E1979" t="s">
        <v>157</v>
      </c>
      <c r="F1979">
        <v>2019</v>
      </c>
      <c r="G1979" t="s">
        <v>257</v>
      </c>
      <c r="H1979" s="42">
        <v>203</v>
      </c>
      <c r="J1979" t="s">
        <v>248</v>
      </c>
      <c r="L1979" s="34">
        <v>2</v>
      </c>
      <c r="M1979" s="38">
        <v>0.75</v>
      </c>
      <c r="N1979" s="38">
        <f t="shared" si="30"/>
        <v>1.5</v>
      </c>
    </row>
    <row r="1980" spans="1:14">
      <c r="A1980" s="29">
        <v>43805</v>
      </c>
      <c r="B1980" s="22" t="s">
        <v>28</v>
      </c>
      <c r="C1980" s="22" t="s">
        <v>271</v>
      </c>
      <c r="D1980" s="48" t="s">
        <v>5</v>
      </c>
      <c r="E1980" t="s">
        <v>157</v>
      </c>
      <c r="F1980">
        <v>2019</v>
      </c>
      <c r="G1980" t="s">
        <v>247</v>
      </c>
      <c r="H1980" s="42">
        <v>409</v>
      </c>
      <c r="J1980" t="s">
        <v>248</v>
      </c>
      <c r="L1980" s="34">
        <v>2</v>
      </c>
      <c r="M1980" s="38">
        <v>0.75</v>
      </c>
      <c r="N1980" s="38">
        <f t="shared" si="30"/>
        <v>1.5</v>
      </c>
    </row>
    <row r="1981" spans="1:14">
      <c r="A1981" s="29">
        <v>43805</v>
      </c>
      <c r="B1981" s="22" t="s">
        <v>28</v>
      </c>
      <c r="C1981" s="22" t="s">
        <v>271</v>
      </c>
      <c r="D1981" s="48" t="s">
        <v>5</v>
      </c>
      <c r="E1981" t="s">
        <v>159</v>
      </c>
      <c r="F1981">
        <v>2019</v>
      </c>
      <c r="G1981" t="s">
        <v>319</v>
      </c>
      <c r="H1981" s="42">
        <v>54</v>
      </c>
      <c r="J1981" t="s">
        <v>248</v>
      </c>
      <c r="L1981" s="34">
        <v>2</v>
      </c>
      <c r="M1981" s="38">
        <v>0.75</v>
      </c>
      <c r="N1981" s="38">
        <f t="shared" si="30"/>
        <v>1.5</v>
      </c>
    </row>
    <row r="1982" spans="1:14">
      <c r="A1982" s="29">
        <v>43805</v>
      </c>
      <c r="B1982" s="22" t="s">
        <v>28</v>
      </c>
      <c r="C1982" s="22" t="s">
        <v>271</v>
      </c>
      <c r="D1982" s="48" t="s">
        <v>8</v>
      </c>
      <c r="E1982" t="s">
        <v>179</v>
      </c>
      <c r="F1982">
        <v>2019</v>
      </c>
      <c r="G1982" t="s">
        <v>357</v>
      </c>
      <c r="H1982" s="42">
        <v>30</v>
      </c>
      <c r="J1982" t="s">
        <v>248</v>
      </c>
      <c r="L1982" s="34">
        <v>1</v>
      </c>
      <c r="M1982" s="38">
        <v>0.75</v>
      </c>
      <c r="N1982" s="38">
        <f t="shared" si="30"/>
        <v>0.75</v>
      </c>
    </row>
    <row r="1983" spans="1:14">
      <c r="A1983" s="29">
        <v>43805</v>
      </c>
      <c r="B1983" s="22" t="s">
        <v>28</v>
      </c>
      <c r="C1983" s="22" t="s">
        <v>271</v>
      </c>
      <c r="D1983" s="48" t="s">
        <v>8</v>
      </c>
      <c r="E1983" t="s">
        <v>177</v>
      </c>
      <c r="F1983">
        <v>2019</v>
      </c>
      <c r="G1983" t="s">
        <v>57</v>
      </c>
      <c r="H1983" s="42">
        <v>14</v>
      </c>
      <c r="J1983" t="s">
        <v>248</v>
      </c>
      <c r="L1983" s="34">
        <v>1</v>
      </c>
      <c r="M1983" s="38">
        <v>0.75</v>
      </c>
      <c r="N1983" s="38">
        <f t="shared" si="30"/>
        <v>0.75</v>
      </c>
    </row>
    <row r="1984" spans="1:14">
      <c r="A1984" s="29">
        <v>43805</v>
      </c>
      <c r="B1984" s="22" t="s">
        <v>28</v>
      </c>
      <c r="C1984" s="22" t="s">
        <v>271</v>
      </c>
      <c r="D1984" s="48" t="s">
        <v>5</v>
      </c>
      <c r="E1984" t="s">
        <v>307</v>
      </c>
      <c r="F1984">
        <v>2019</v>
      </c>
      <c r="G1984" t="s">
        <v>307</v>
      </c>
      <c r="H1984" s="42">
        <v>407</v>
      </c>
      <c r="J1984" t="s">
        <v>248</v>
      </c>
      <c r="L1984" s="34">
        <v>2</v>
      </c>
      <c r="M1984" s="38">
        <v>0.75</v>
      </c>
      <c r="N1984" s="38">
        <f t="shared" si="30"/>
        <v>1.5</v>
      </c>
    </row>
    <row r="1985" spans="1:14">
      <c r="A1985" s="29">
        <v>43805</v>
      </c>
      <c r="B1985" s="22" t="s">
        <v>28</v>
      </c>
      <c r="C1985" s="22" t="s">
        <v>271</v>
      </c>
      <c r="D1985" s="48" t="s">
        <v>8</v>
      </c>
      <c r="E1985" t="s">
        <v>272</v>
      </c>
      <c r="F1985">
        <v>2019</v>
      </c>
      <c r="G1985" t="s">
        <v>273</v>
      </c>
      <c r="H1985" s="42">
        <v>424</v>
      </c>
      <c r="J1985" t="s">
        <v>248</v>
      </c>
      <c r="L1985" s="34">
        <v>2</v>
      </c>
      <c r="M1985" s="38">
        <v>0.75</v>
      </c>
      <c r="N1985" s="38">
        <f t="shared" si="30"/>
        <v>1.5</v>
      </c>
    </row>
    <row r="1986" spans="1:14">
      <c r="A1986" s="29">
        <v>43805</v>
      </c>
      <c r="B1986" s="22" t="s">
        <v>28</v>
      </c>
      <c r="C1986" s="22" t="s">
        <v>271</v>
      </c>
      <c r="D1986" s="48" t="s">
        <v>5</v>
      </c>
      <c r="E1986" t="s">
        <v>255</v>
      </c>
      <c r="F1986">
        <v>2019</v>
      </c>
      <c r="G1986" t="s">
        <v>618</v>
      </c>
      <c r="H1986" s="42">
        <v>49</v>
      </c>
      <c r="J1986" t="s">
        <v>248</v>
      </c>
      <c r="L1986" s="34">
        <v>2</v>
      </c>
      <c r="M1986" s="38">
        <v>0.75</v>
      </c>
      <c r="N1986" s="38">
        <f t="shared" si="30"/>
        <v>1.5</v>
      </c>
    </row>
    <row r="1987" spans="1:14">
      <c r="A1987" s="29">
        <v>43805</v>
      </c>
      <c r="B1987" s="22" t="s">
        <v>28</v>
      </c>
      <c r="C1987" s="22" t="s">
        <v>271</v>
      </c>
      <c r="D1987" s="48" t="s">
        <v>11</v>
      </c>
      <c r="E1987" t="s">
        <v>177</v>
      </c>
      <c r="F1987">
        <v>2018</v>
      </c>
      <c r="G1987" t="s">
        <v>500</v>
      </c>
      <c r="H1987" s="42" t="s">
        <v>670</v>
      </c>
      <c r="J1987" t="s">
        <v>248</v>
      </c>
      <c r="L1987" s="34">
        <v>1</v>
      </c>
      <c r="M1987" s="38">
        <v>0.75</v>
      </c>
      <c r="N1987" s="38">
        <f t="shared" ref="N1987:N2050" si="31">M1987*L1987</f>
        <v>0.75</v>
      </c>
    </row>
    <row r="1988" spans="1:14">
      <c r="A1988" s="29">
        <v>43808</v>
      </c>
      <c r="B1988" s="22" t="s">
        <v>109</v>
      </c>
      <c r="C1988" s="22" t="s">
        <v>57</v>
      </c>
      <c r="D1988" s="48" t="s">
        <v>5</v>
      </c>
      <c r="E1988" t="s">
        <v>494</v>
      </c>
      <c r="F1988">
        <v>2019</v>
      </c>
      <c r="G1988" t="s">
        <v>57</v>
      </c>
      <c r="H1988" s="42">
        <v>197</v>
      </c>
      <c r="J1988" t="s">
        <v>248</v>
      </c>
      <c r="L1988" s="34">
        <v>3</v>
      </c>
      <c r="M1988" s="38">
        <v>0.75</v>
      </c>
      <c r="N1988" s="38">
        <f t="shared" si="31"/>
        <v>2.25</v>
      </c>
    </row>
    <row r="1989" spans="1:14">
      <c r="A1989" s="29">
        <v>43808</v>
      </c>
      <c r="B1989" s="22" t="s">
        <v>109</v>
      </c>
      <c r="C1989" s="22" t="s">
        <v>57</v>
      </c>
      <c r="D1989" s="48" t="s">
        <v>5</v>
      </c>
      <c r="E1989" t="s">
        <v>503</v>
      </c>
      <c r="F1989">
        <v>2019</v>
      </c>
      <c r="G1989" t="s">
        <v>57</v>
      </c>
      <c r="H1989" s="42" t="s">
        <v>57</v>
      </c>
      <c r="J1989" t="s">
        <v>248</v>
      </c>
      <c r="L1989" s="34">
        <v>3</v>
      </c>
      <c r="M1989" s="38">
        <v>0.75</v>
      </c>
      <c r="N1989" s="38">
        <f t="shared" si="31"/>
        <v>2.25</v>
      </c>
    </row>
    <row r="1990" spans="1:14">
      <c r="A1990" s="29">
        <v>43809</v>
      </c>
      <c r="B1990" s="22" t="s">
        <v>63</v>
      </c>
      <c r="C1990" s="22" t="s">
        <v>57</v>
      </c>
      <c r="D1990" s="48" t="s">
        <v>5</v>
      </c>
      <c r="E1990" t="s">
        <v>157</v>
      </c>
      <c r="F1990">
        <v>2019</v>
      </c>
      <c r="G1990" t="s">
        <v>326</v>
      </c>
      <c r="H1990" s="42">
        <v>402</v>
      </c>
      <c r="J1990" t="s">
        <v>248</v>
      </c>
      <c r="L1990" s="34">
        <v>3</v>
      </c>
      <c r="M1990" s="38">
        <v>0.75</v>
      </c>
      <c r="N1990" s="38">
        <f t="shared" si="31"/>
        <v>2.25</v>
      </c>
    </row>
    <row r="1991" spans="1:14">
      <c r="A1991" s="29">
        <v>43809</v>
      </c>
      <c r="B1991" s="22" t="s">
        <v>63</v>
      </c>
      <c r="C1991" s="22" t="s">
        <v>57</v>
      </c>
      <c r="D1991" s="48" t="s">
        <v>5</v>
      </c>
      <c r="E1991" t="s">
        <v>157</v>
      </c>
      <c r="F1991">
        <v>2019</v>
      </c>
      <c r="G1991" t="s">
        <v>247</v>
      </c>
      <c r="H1991" s="42">
        <v>409</v>
      </c>
      <c r="J1991" t="s">
        <v>248</v>
      </c>
      <c r="L1991" s="34">
        <v>3</v>
      </c>
      <c r="M1991" s="38">
        <v>0.75</v>
      </c>
      <c r="N1991" s="38">
        <f t="shared" si="31"/>
        <v>2.25</v>
      </c>
    </row>
    <row r="1992" spans="1:14">
      <c r="A1992" s="29">
        <v>43809</v>
      </c>
      <c r="B1992" s="22" t="s">
        <v>647</v>
      </c>
      <c r="C1992" s="22" t="s">
        <v>57</v>
      </c>
      <c r="D1992" s="48" t="s">
        <v>8</v>
      </c>
      <c r="E1992" t="s">
        <v>273</v>
      </c>
      <c r="F1992">
        <v>2019</v>
      </c>
      <c r="G1992" t="s">
        <v>273</v>
      </c>
      <c r="H1992" s="42">
        <v>424</v>
      </c>
      <c r="J1992" t="s">
        <v>248</v>
      </c>
      <c r="L1992" s="34">
        <v>3</v>
      </c>
      <c r="M1992" s="38">
        <v>0.75</v>
      </c>
      <c r="N1992" s="38">
        <f t="shared" si="31"/>
        <v>2.25</v>
      </c>
    </row>
    <row r="1993" spans="1:14">
      <c r="A1993" s="29">
        <v>43809</v>
      </c>
      <c r="B1993" s="22" t="s">
        <v>15</v>
      </c>
      <c r="C1993" s="22" t="s">
        <v>57</v>
      </c>
      <c r="D1993" s="48" t="s">
        <v>5</v>
      </c>
      <c r="E1993" t="s">
        <v>393</v>
      </c>
      <c r="F1993">
        <v>2019</v>
      </c>
      <c r="G1993" t="s">
        <v>307</v>
      </c>
      <c r="H1993" s="42">
        <v>200</v>
      </c>
      <c r="J1993" t="s">
        <v>248</v>
      </c>
      <c r="L1993" s="34">
        <v>2</v>
      </c>
      <c r="M1993" s="38">
        <v>0.75</v>
      </c>
      <c r="N1993" s="38">
        <f t="shared" si="31"/>
        <v>1.5</v>
      </c>
    </row>
    <row r="1994" spans="1:14">
      <c r="A1994" s="29">
        <v>43809</v>
      </c>
      <c r="B1994" s="22" t="s">
        <v>15</v>
      </c>
      <c r="C1994" s="22" t="s">
        <v>57</v>
      </c>
      <c r="D1994" s="48" t="s">
        <v>8</v>
      </c>
      <c r="E1994" t="s">
        <v>482</v>
      </c>
      <c r="F1994">
        <v>2019</v>
      </c>
      <c r="G1994" t="s">
        <v>273</v>
      </c>
      <c r="H1994" s="42">
        <v>424</v>
      </c>
      <c r="J1994" t="s">
        <v>248</v>
      </c>
      <c r="L1994" s="34">
        <v>2</v>
      </c>
      <c r="M1994" s="38">
        <v>0.75</v>
      </c>
      <c r="N1994" s="38">
        <f t="shared" si="31"/>
        <v>1.5</v>
      </c>
    </row>
    <row r="1995" spans="1:14">
      <c r="A1995" s="29">
        <v>43809</v>
      </c>
      <c r="B1995" s="22" t="s">
        <v>15</v>
      </c>
      <c r="C1995" s="22" t="s">
        <v>57</v>
      </c>
      <c r="D1995" s="48" t="s">
        <v>11</v>
      </c>
      <c r="E1995" t="s">
        <v>467</v>
      </c>
      <c r="F1995">
        <v>2019</v>
      </c>
      <c r="G1995" t="s">
        <v>671</v>
      </c>
      <c r="H1995" s="42">
        <v>305</v>
      </c>
      <c r="J1995" t="s">
        <v>248</v>
      </c>
      <c r="L1995" s="34">
        <v>2</v>
      </c>
      <c r="M1995" s="38">
        <v>0.75</v>
      </c>
      <c r="N1995" s="38">
        <f t="shared" si="31"/>
        <v>1.5</v>
      </c>
    </row>
    <row r="1996" spans="1:14">
      <c r="A1996" s="29">
        <v>43810</v>
      </c>
      <c r="B1996" s="22" t="s">
        <v>57</v>
      </c>
      <c r="C1996" s="22" t="s">
        <v>7</v>
      </c>
      <c r="D1996" s="48" t="s">
        <v>5</v>
      </c>
      <c r="E1996" t="s">
        <v>157</v>
      </c>
      <c r="F1996">
        <v>2019</v>
      </c>
      <c r="G1996" t="s">
        <v>500</v>
      </c>
      <c r="H1996" s="42">
        <v>31</v>
      </c>
      <c r="J1996" t="s">
        <v>248</v>
      </c>
      <c r="L1996" s="34">
        <v>3</v>
      </c>
      <c r="M1996" s="38">
        <v>0.75</v>
      </c>
      <c r="N1996" s="38">
        <f t="shared" si="31"/>
        <v>2.25</v>
      </c>
    </row>
    <row r="1997" spans="1:14">
      <c r="A1997" s="29">
        <v>43811</v>
      </c>
      <c r="B1997" s="22" t="s">
        <v>49</v>
      </c>
      <c r="C1997" s="22" t="s">
        <v>57</v>
      </c>
      <c r="D1997" s="48" t="s">
        <v>5</v>
      </c>
      <c r="E1997" t="s">
        <v>672</v>
      </c>
      <c r="F1997">
        <v>2019</v>
      </c>
      <c r="G1997" t="s">
        <v>57</v>
      </c>
      <c r="H1997" s="42" t="s">
        <v>57</v>
      </c>
      <c r="J1997" t="s">
        <v>248</v>
      </c>
      <c r="K1997" t="s">
        <v>673</v>
      </c>
      <c r="L1997" s="34">
        <v>2</v>
      </c>
      <c r="M1997" s="38">
        <v>0.75</v>
      </c>
      <c r="N1997" s="38">
        <f t="shared" si="31"/>
        <v>1.5</v>
      </c>
    </row>
    <row r="1998" spans="1:14">
      <c r="A1998" s="29">
        <v>43815</v>
      </c>
      <c r="B1998" s="22" t="s">
        <v>105</v>
      </c>
      <c r="C1998" s="22" t="s">
        <v>53</v>
      </c>
      <c r="D1998" s="48" t="s">
        <v>11</v>
      </c>
      <c r="E1998" t="s">
        <v>177</v>
      </c>
      <c r="F1998">
        <v>2019</v>
      </c>
      <c r="G1998" t="s">
        <v>618</v>
      </c>
      <c r="H1998" s="42">
        <v>403</v>
      </c>
      <c r="J1998" t="s">
        <v>248</v>
      </c>
      <c r="L1998" s="34">
        <v>2</v>
      </c>
      <c r="M1998" s="38">
        <v>0.75</v>
      </c>
      <c r="N1998" s="38">
        <f t="shared" si="31"/>
        <v>1.5</v>
      </c>
    </row>
    <row r="1999" spans="1:14">
      <c r="A1999" s="29">
        <v>43815</v>
      </c>
      <c r="B1999" s="22" t="s">
        <v>109</v>
      </c>
      <c r="C1999" s="22" t="s">
        <v>57</v>
      </c>
      <c r="D1999" s="48" t="s">
        <v>5</v>
      </c>
      <c r="E1999" t="s">
        <v>157</v>
      </c>
      <c r="F1999">
        <v>2019</v>
      </c>
      <c r="G1999" t="s">
        <v>109</v>
      </c>
      <c r="H1999" s="42">
        <v>311</v>
      </c>
      <c r="J1999" t="s">
        <v>248</v>
      </c>
      <c r="L1999" s="34">
        <v>1</v>
      </c>
      <c r="M1999" s="38">
        <v>0.75</v>
      </c>
      <c r="N1999" s="38">
        <f t="shared" si="31"/>
        <v>0.75</v>
      </c>
    </row>
    <row r="2000" spans="1:14">
      <c r="A2000" s="29">
        <v>43815</v>
      </c>
      <c r="B2000" s="22" t="s">
        <v>109</v>
      </c>
      <c r="C2000" s="22" t="s">
        <v>57</v>
      </c>
      <c r="D2000" s="48" t="s">
        <v>5</v>
      </c>
      <c r="E2000" t="s">
        <v>494</v>
      </c>
      <c r="F2000">
        <v>2019</v>
      </c>
      <c r="G2000" t="s">
        <v>109</v>
      </c>
      <c r="H2000" s="42">
        <v>199</v>
      </c>
      <c r="J2000" t="s">
        <v>248</v>
      </c>
      <c r="L2000" s="34">
        <v>1</v>
      </c>
      <c r="M2000" s="38">
        <v>0.75</v>
      </c>
      <c r="N2000" s="38">
        <f t="shared" si="31"/>
        <v>0.75</v>
      </c>
    </row>
    <row r="2001" spans="1:14">
      <c r="A2001" s="29">
        <v>43815</v>
      </c>
      <c r="B2001" s="22" t="s">
        <v>63</v>
      </c>
      <c r="C2001" s="22" t="s">
        <v>57</v>
      </c>
      <c r="D2001" s="48" t="s">
        <v>5</v>
      </c>
      <c r="E2001" t="s">
        <v>262</v>
      </c>
      <c r="F2001">
        <v>2019</v>
      </c>
      <c r="G2001" t="s">
        <v>109</v>
      </c>
      <c r="H2001" s="42">
        <v>199</v>
      </c>
      <c r="J2001" t="s">
        <v>248</v>
      </c>
      <c r="L2001" s="34">
        <v>2</v>
      </c>
      <c r="M2001" s="38">
        <v>0.75</v>
      </c>
      <c r="N2001" s="38">
        <f t="shared" si="31"/>
        <v>1.5</v>
      </c>
    </row>
    <row r="2002" spans="1:14">
      <c r="A2002" s="29">
        <v>43815</v>
      </c>
      <c r="B2002" s="22" t="s">
        <v>109</v>
      </c>
      <c r="C2002" s="22" t="s">
        <v>57</v>
      </c>
      <c r="D2002" s="48" t="s">
        <v>5</v>
      </c>
      <c r="E2002" t="s">
        <v>159</v>
      </c>
      <c r="F2002">
        <v>2019</v>
      </c>
      <c r="G2002" t="s">
        <v>109</v>
      </c>
      <c r="H2002" s="42" t="s">
        <v>57</v>
      </c>
      <c r="J2002" t="s">
        <v>248</v>
      </c>
      <c r="L2002" s="34">
        <v>1</v>
      </c>
      <c r="M2002" s="38">
        <v>0.75</v>
      </c>
      <c r="N2002" s="38">
        <f t="shared" si="31"/>
        <v>0.75</v>
      </c>
    </row>
    <row r="2003" spans="1:14">
      <c r="A2003" s="29">
        <v>43815</v>
      </c>
      <c r="B2003" s="22" t="s">
        <v>109</v>
      </c>
      <c r="C2003" s="22" t="s">
        <v>57</v>
      </c>
      <c r="D2003" s="48" t="s">
        <v>8</v>
      </c>
      <c r="E2003" t="s">
        <v>179</v>
      </c>
      <c r="F2003">
        <v>2019</v>
      </c>
      <c r="G2003" t="s">
        <v>109</v>
      </c>
      <c r="H2003" s="42" t="s">
        <v>57</v>
      </c>
      <c r="J2003" t="s">
        <v>248</v>
      </c>
      <c r="L2003" s="34">
        <v>1</v>
      </c>
      <c r="M2003" s="38">
        <v>0.75</v>
      </c>
      <c r="N2003" s="38">
        <f t="shared" si="31"/>
        <v>0.75</v>
      </c>
    </row>
    <row r="2004" spans="1:14">
      <c r="A2004" s="29">
        <v>43815</v>
      </c>
      <c r="B2004" s="22" t="s">
        <v>109</v>
      </c>
      <c r="C2004" s="22" t="s">
        <v>57</v>
      </c>
      <c r="D2004" s="48" t="s">
        <v>8</v>
      </c>
      <c r="E2004" t="s">
        <v>184</v>
      </c>
      <c r="F2004">
        <v>2019</v>
      </c>
      <c r="G2004" t="s">
        <v>109</v>
      </c>
      <c r="H2004" s="42">
        <v>201</v>
      </c>
      <c r="J2004" t="s">
        <v>248</v>
      </c>
      <c r="L2004" s="34">
        <v>1</v>
      </c>
      <c r="M2004" s="38">
        <v>0.75</v>
      </c>
      <c r="N2004" s="38">
        <f t="shared" si="31"/>
        <v>0.75</v>
      </c>
    </row>
    <row r="2005" spans="1:14">
      <c r="A2005" s="29">
        <v>43815</v>
      </c>
      <c r="B2005" s="22" t="s">
        <v>109</v>
      </c>
      <c r="C2005" s="22" t="s">
        <v>57</v>
      </c>
      <c r="D2005" s="48" t="s">
        <v>5</v>
      </c>
      <c r="E2005" t="s">
        <v>160</v>
      </c>
      <c r="F2005">
        <v>2019</v>
      </c>
      <c r="G2005" t="s">
        <v>57</v>
      </c>
      <c r="H2005" s="42">
        <v>306</v>
      </c>
      <c r="J2005" t="s">
        <v>248</v>
      </c>
      <c r="L2005" s="34">
        <v>1</v>
      </c>
      <c r="M2005" s="38">
        <v>0.75</v>
      </c>
      <c r="N2005" s="38">
        <f t="shared" si="31"/>
        <v>0.75</v>
      </c>
    </row>
    <row r="2006" spans="1:14">
      <c r="A2006" s="29">
        <v>43816</v>
      </c>
      <c r="B2006" s="22" t="s">
        <v>293</v>
      </c>
      <c r="C2006" s="22" t="s">
        <v>41</v>
      </c>
      <c r="D2006" s="48" t="s">
        <v>5</v>
      </c>
      <c r="E2006" t="s">
        <v>159</v>
      </c>
      <c r="F2006">
        <v>2019</v>
      </c>
      <c r="G2006" t="s">
        <v>247</v>
      </c>
      <c r="H2006" s="42">
        <v>412</v>
      </c>
      <c r="J2006" t="s">
        <v>248</v>
      </c>
      <c r="L2006" s="34">
        <v>2</v>
      </c>
      <c r="M2006" s="38">
        <v>0.75</v>
      </c>
      <c r="N2006" s="38">
        <f t="shared" si="31"/>
        <v>1.5</v>
      </c>
    </row>
    <row r="2007" spans="1:14">
      <c r="A2007" s="29">
        <v>43816</v>
      </c>
      <c r="B2007" s="22" t="s">
        <v>293</v>
      </c>
      <c r="C2007" s="22" t="s">
        <v>41</v>
      </c>
      <c r="D2007" s="48" t="s">
        <v>5</v>
      </c>
      <c r="E2007" t="s">
        <v>255</v>
      </c>
      <c r="F2007">
        <v>2019</v>
      </c>
      <c r="G2007" t="s">
        <v>618</v>
      </c>
      <c r="H2007" s="42">
        <v>49</v>
      </c>
      <c r="J2007" t="s">
        <v>248</v>
      </c>
      <c r="L2007" s="34">
        <v>2</v>
      </c>
      <c r="M2007" s="38">
        <v>0.75</v>
      </c>
      <c r="N2007" s="38">
        <f t="shared" si="31"/>
        <v>1.5</v>
      </c>
    </row>
    <row r="2008" spans="1:14">
      <c r="A2008" s="29">
        <v>43817</v>
      </c>
      <c r="B2008" s="22" t="s">
        <v>23</v>
      </c>
      <c r="C2008" s="22" t="s">
        <v>34</v>
      </c>
      <c r="D2008" s="48" t="s">
        <v>5</v>
      </c>
      <c r="E2008" t="s">
        <v>157</v>
      </c>
      <c r="F2008">
        <v>2019</v>
      </c>
      <c r="G2008" t="s">
        <v>257</v>
      </c>
      <c r="H2008" s="42">
        <v>203</v>
      </c>
      <c r="J2008" t="s">
        <v>248</v>
      </c>
      <c r="K2008" s="8">
        <v>0.02</v>
      </c>
      <c r="L2008" s="34">
        <v>2</v>
      </c>
      <c r="M2008" s="38">
        <v>0.75</v>
      </c>
      <c r="N2008" s="38">
        <f t="shared" si="31"/>
        <v>1.5</v>
      </c>
    </row>
    <row r="2009" spans="1:14">
      <c r="A2009" s="29">
        <v>43817</v>
      </c>
      <c r="B2009" s="22" t="s">
        <v>74</v>
      </c>
      <c r="C2009" s="22" t="s">
        <v>57</v>
      </c>
      <c r="D2009" s="48" t="s">
        <v>5</v>
      </c>
      <c r="E2009" t="s">
        <v>262</v>
      </c>
      <c r="F2009">
        <v>2019</v>
      </c>
      <c r="G2009" t="s">
        <v>307</v>
      </c>
      <c r="H2009" s="42">
        <v>407</v>
      </c>
      <c r="J2009" t="s">
        <v>248</v>
      </c>
      <c r="L2009" s="34">
        <v>2</v>
      </c>
      <c r="M2009" s="38">
        <v>0.75</v>
      </c>
      <c r="N2009" s="38">
        <f t="shared" si="31"/>
        <v>1.5</v>
      </c>
    </row>
    <row r="2010" spans="1:14">
      <c r="A2010" s="29">
        <v>43819</v>
      </c>
      <c r="B2010" s="22" t="s">
        <v>109</v>
      </c>
      <c r="C2010" s="22" t="s">
        <v>57</v>
      </c>
      <c r="D2010" s="48" t="s">
        <v>8</v>
      </c>
      <c r="E2010" t="s">
        <v>179</v>
      </c>
      <c r="F2010">
        <v>2019</v>
      </c>
      <c r="G2010" t="s">
        <v>109</v>
      </c>
      <c r="H2010" s="42">
        <v>417</v>
      </c>
      <c r="J2010" t="s">
        <v>248</v>
      </c>
      <c r="L2010" s="34">
        <v>10</v>
      </c>
      <c r="M2010" s="38">
        <v>0.75</v>
      </c>
      <c r="N2010" s="38">
        <f t="shared" si="31"/>
        <v>7.5</v>
      </c>
    </row>
    <row r="2011" spans="1:14">
      <c r="A2011" s="29">
        <v>43819</v>
      </c>
      <c r="B2011" s="22" t="s">
        <v>109</v>
      </c>
      <c r="C2011" s="22" t="s">
        <v>57</v>
      </c>
      <c r="D2011" s="48" t="s">
        <v>8</v>
      </c>
      <c r="E2011" t="s">
        <v>502</v>
      </c>
      <c r="F2011">
        <v>2019</v>
      </c>
      <c r="G2011" t="s">
        <v>109</v>
      </c>
      <c r="H2011" s="42">
        <v>201</v>
      </c>
      <c r="J2011" t="s">
        <v>248</v>
      </c>
      <c r="L2011" s="34">
        <v>4</v>
      </c>
      <c r="M2011" s="38">
        <v>0.75</v>
      </c>
      <c r="N2011" s="38">
        <f t="shared" si="31"/>
        <v>3</v>
      </c>
    </row>
    <row r="2012" spans="1:14">
      <c r="A2012" s="29">
        <v>43836</v>
      </c>
      <c r="B2012" s="22" t="s">
        <v>674</v>
      </c>
      <c r="C2012" s="22" t="s">
        <v>57</v>
      </c>
      <c r="D2012" s="48" t="s">
        <v>8</v>
      </c>
      <c r="E2012" t="s">
        <v>179</v>
      </c>
      <c r="F2012">
        <v>2019</v>
      </c>
      <c r="G2012" t="s">
        <v>109</v>
      </c>
      <c r="H2012" s="42">
        <v>417</v>
      </c>
      <c r="J2012" t="s">
        <v>248</v>
      </c>
      <c r="L2012" s="34">
        <v>3</v>
      </c>
      <c r="M2012" s="38">
        <v>0.75</v>
      </c>
      <c r="N2012" s="38">
        <f t="shared" si="31"/>
        <v>2.25</v>
      </c>
    </row>
    <row r="2013" spans="1:14">
      <c r="A2013" s="29">
        <v>43836</v>
      </c>
      <c r="B2013" s="22" t="s">
        <v>109</v>
      </c>
      <c r="C2013" s="22" t="s">
        <v>57</v>
      </c>
      <c r="D2013" s="48" t="s">
        <v>8</v>
      </c>
      <c r="E2013" t="s">
        <v>184</v>
      </c>
      <c r="F2013">
        <v>2019</v>
      </c>
      <c r="G2013" t="s">
        <v>109</v>
      </c>
      <c r="H2013" s="42">
        <v>201</v>
      </c>
      <c r="J2013" t="s">
        <v>248</v>
      </c>
      <c r="L2013" s="34">
        <v>3</v>
      </c>
      <c r="M2013" s="38">
        <v>0.75</v>
      </c>
      <c r="N2013" s="38">
        <f t="shared" si="31"/>
        <v>2.25</v>
      </c>
    </row>
    <row r="2014" spans="1:14">
      <c r="A2014" s="29">
        <v>43836</v>
      </c>
      <c r="B2014" s="22" t="s">
        <v>63</v>
      </c>
      <c r="C2014" s="22" t="s">
        <v>57</v>
      </c>
      <c r="D2014" s="48" t="s">
        <v>5</v>
      </c>
      <c r="E2014" t="s">
        <v>157</v>
      </c>
      <c r="F2014">
        <v>2019</v>
      </c>
      <c r="G2014" t="s">
        <v>326</v>
      </c>
      <c r="H2014" s="42">
        <v>402</v>
      </c>
      <c r="J2014" t="s">
        <v>248</v>
      </c>
      <c r="L2014" s="34">
        <v>3</v>
      </c>
      <c r="M2014" s="38">
        <v>0.75</v>
      </c>
      <c r="N2014" s="38">
        <f t="shared" si="31"/>
        <v>2.25</v>
      </c>
    </row>
    <row r="2015" spans="1:14">
      <c r="A2015" s="29">
        <v>43836</v>
      </c>
      <c r="B2015" s="22" t="s">
        <v>63</v>
      </c>
      <c r="C2015" s="22" t="s">
        <v>57</v>
      </c>
      <c r="D2015" s="48" t="s">
        <v>5</v>
      </c>
      <c r="E2015" t="s">
        <v>157</v>
      </c>
      <c r="F2015">
        <v>2019</v>
      </c>
      <c r="G2015" t="s">
        <v>247</v>
      </c>
      <c r="H2015" s="42">
        <v>409</v>
      </c>
      <c r="J2015" t="s">
        <v>248</v>
      </c>
      <c r="L2015" s="34">
        <v>3</v>
      </c>
      <c r="M2015" s="38">
        <v>0.75</v>
      </c>
      <c r="N2015" s="38">
        <f t="shared" si="31"/>
        <v>2.25</v>
      </c>
    </row>
    <row r="2016" spans="1:14">
      <c r="A2016" s="29">
        <v>43836</v>
      </c>
      <c r="B2016" s="22" t="s">
        <v>40</v>
      </c>
      <c r="C2016" s="22" t="s">
        <v>57</v>
      </c>
      <c r="D2016" s="48" t="s">
        <v>5</v>
      </c>
      <c r="E2016" t="s">
        <v>157</v>
      </c>
      <c r="F2016">
        <v>2019</v>
      </c>
      <c r="G2016" t="s">
        <v>326</v>
      </c>
      <c r="H2016" s="42">
        <v>402</v>
      </c>
      <c r="J2016" t="s">
        <v>248</v>
      </c>
      <c r="L2016" s="34">
        <v>2</v>
      </c>
      <c r="M2016" s="38">
        <v>0.75</v>
      </c>
      <c r="N2016" s="38">
        <f t="shared" si="31"/>
        <v>1.5</v>
      </c>
    </row>
    <row r="2017" spans="1:14">
      <c r="A2017" s="29">
        <v>43837</v>
      </c>
      <c r="B2017" s="22" t="s">
        <v>79</v>
      </c>
      <c r="C2017" s="22" t="s">
        <v>57</v>
      </c>
      <c r="D2017" s="48" t="s">
        <v>8</v>
      </c>
      <c r="E2017" t="s">
        <v>273</v>
      </c>
      <c r="F2017">
        <v>2019</v>
      </c>
      <c r="G2017" t="s">
        <v>273</v>
      </c>
      <c r="H2017" s="42">
        <v>10</v>
      </c>
      <c r="J2017" t="s">
        <v>248</v>
      </c>
      <c r="L2017" s="34">
        <v>2</v>
      </c>
      <c r="M2017" s="38">
        <v>0.75</v>
      </c>
      <c r="N2017" s="38">
        <f t="shared" si="31"/>
        <v>1.5</v>
      </c>
    </row>
    <row r="2018" spans="1:14">
      <c r="A2018" s="29">
        <v>43837</v>
      </c>
      <c r="B2018" s="22" t="s">
        <v>79</v>
      </c>
      <c r="C2018" s="22" t="s">
        <v>57</v>
      </c>
      <c r="D2018" s="48" t="s">
        <v>5</v>
      </c>
      <c r="E2018" t="s">
        <v>159</v>
      </c>
      <c r="F2018">
        <v>2019</v>
      </c>
      <c r="G2018" t="s">
        <v>319</v>
      </c>
      <c r="H2018" s="42">
        <v>79</v>
      </c>
      <c r="J2018" t="s">
        <v>248</v>
      </c>
      <c r="K2018" t="s">
        <v>518</v>
      </c>
      <c r="L2018" s="34">
        <v>2</v>
      </c>
      <c r="M2018" s="38">
        <v>0.75</v>
      </c>
      <c r="N2018" s="38">
        <f t="shared" si="31"/>
        <v>1.5</v>
      </c>
    </row>
    <row r="2019" spans="1:14">
      <c r="A2019" s="29">
        <v>43838</v>
      </c>
      <c r="B2019" s="22" t="s">
        <v>109</v>
      </c>
      <c r="C2019" s="22" t="s">
        <v>57</v>
      </c>
      <c r="D2019" s="48" t="s">
        <v>5</v>
      </c>
      <c r="E2019" t="s">
        <v>159</v>
      </c>
      <c r="F2019">
        <v>2019</v>
      </c>
      <c r="G2019" t="s">
        <v>109</v>
      </c>
      <c r="H2019" s="42" t="s">
        <v>57</v>
      </c>
      <c r="J2019" t="s">
        <v>248</v>
      </c>
      <c r="L2019" s="34">
        <v>3</v>
      </c>
      <c r="M2019" s="38">
        <v>0.75</v>
      </c>
      <c r="N2019" s="38">
        <f t="shared" si="31"/>
        <v>2.25</v>
      </c>
    </row>
    <row r="2020" spans="1:14">
      <c r="A2020" s="29">
        <v>43838</v>
      </c>
      <c r="B2020" s="22" t="s">
        <v>109</v>
      </c>
      <c r="C2020" s="22" t="s">
        <v>57</v>
      </c>
      <c r="D2020" s="48" t="s">
        <v>5</v>
      </c>
      <c r="E2020" t="s">
        <v>157</v>
      </c>
      <c r="F2020">
        <v>2019</v>
      </c>
      <c r="G2020" t="s">
        <v>109</v>
      </c>
      <c r="H2020" s="42">
        <v>304</v>
      </c>
      <c r="J2020" t="s">
        <v>248</v>
      </c>
      <c r="L2020" s="34">
        <v>3</v>
      </c>
      <c r="M2020" s="38">
        <v>0.75</v>
      </c>
      <c r="N2020" s="38">
        <f t="shared" si="31"/>
        <v>2.25</v>
      </c>
    </row>
    <row r="2021" spans="1:14">
      <c r="A2021" s="29">
        <v>43838</v>
      </c>
      <c r="B2021" s="22" t="s">
        <v>109</v>
      </c>
      <c r="C2021" s="22" t="s">
        <v>57</v>
      </c>
      <c r="D2021" s="48" t="s">
        <v>8</v>
      </c>
      <c r="E2021" t="s">
        <v>179</v>
      </c>
      <c r="F2021">
        <v>2019</v>
      </c>
      <c r="G2021" t="s">
        <v>109</v>
      </c>
      <c r="H2021" s="42">
        <v>417</v>
      </c>
      <c r="J2021" t="s">
        <v>248</v>
      </c>
      <c r="L2021" s="34">
        <v>3</v>
      </c>
      <c r="M2021" s="38">
        <v>0.75</v>
      </c>
      <c r="N2021" s="38">
        <f t="shared" si="31"/>
        <v>2.25</v>
      </c>
    </row>
    <row r="2022" spans="1:14">
      <c r="A2022" s="29">
        <v>43838</v>
      </c>
      <c r="B2022" s="22" t="s">
        <v>109</v>
      </c>
      <c r="C2022" s="22" t="s">
        <v>57</v>
      </c>
      <c r="D2022" s="48" t="s">
        <v>5</v>
      </c>
      <c r="E2022" t="s">
        <v>494</v>
      </c>
      <c r="F2022">
        <v>2019</v>
      </c>
      <c r="G2022" t="s">
        <v>494</v>
      </c>
      <c r="H2022" s="42">
        <v>200</v>
      </c>
      <c r="J2022" t="s">
        <v>248</v>
      </c>
      <c r="L2022" s="34">
        <v>1</v>
      </c>
      <c r="M2022" s="38">
        <v>0.75</v>
      </c>
      <c r="N2022" s="38">
        <f t="shared" si="31"/>
        <v>0.75</v>
      </c>
    </row>
    <row r="2023" spans="1:14">
      <c r="A2023" s="29">
        <v>43838</v>
      </c>
      <c r="B2023" s="22" t="s">
        <v>109</v>
      </c>
      <c r="C2023" s="22" t="s">
        <v>57</v>
      </c>
      <c r="D2023" s="48" t="s">
        <v>5</v>
      </c>
      <c r="E2023" t="s">
        <v>184</v>
      </c>
      <c r="F2023">
        <v>2019</v>
      </c>
      <c r="G2023" t="s">
        <v>109</v>
      </c>
      <c r="H2023" s="42">
        <v>201</v>
      </c>
      <c r="J2023" t="s">
        <v>248</v>
      </c>
      <c r="L2023" s="34">
        <v>1</v>
      </c>
      <c r="M2023" s="38">
        <v>0.75</v>
      </c>
      <c r="N2023" s="38">
        <f t="shared" si="31"/>
        <v>0.75</v>
      </c>
    </row>
    <row r="2024" spans="1:14">
      <c r="A2024" s="29">
        <v>43838</v>
      </c>
      <c r="B2024" s="22" t="s">
        <v>109</v>
      </c>
      <c r="C2024" s="22" t="s">
        <v>57</v>
      </c>
      <c r="D2024" s="48" t="s">
        <v>5</v>
      </c>
      <c r="E2024" t="s">
        <v>494</v>
      </c>
      <c r="F2024">
        <v>2019</v>
      </c>
      <c r="G2024" t="s">
        <v>160</v>
      </c>
      <c r="H2024" s="42">
        <v>306</v>
      </c>
      <c r="J2024" t="s">
        <v>248</v>
      </c>
      <c r="L2024" s="34">
        <v>1</v>
      </c>
      <c r="M2024" s="38">
        <v>0.75</v>
      </c>
      <c r="N2024" s="38">
        <f t="shared" si="31"/>
        <v>0.75</v>
      </c>
    </row>
    <row r="2025" spans="1:14">
      <c r="A2025" s="29">
        <v>43838</v>
      </c>
      <c r="B2025" s="22" t="s">
        <v>28</v>
      </c>
      <c r="C2025" s="22" t="s">
        <v>271</v>
      </c>
      <c r="D2025" s="48" t="s">
        <v>5</v>
      </c>
      <c r="E2025" t="s">
        <v>157</v>
      </c>
      <c r="F2025">
        <v>2019</v>
      </c>
      <c r="G2025" t="s">
        <v>675</v>
      </c>
      <c r="H2025" s="42" t="s">
        <v>57</v>
      </c>
      <c r="J2025" t="s">
        <v>248</v>
      </c>
      <c r="L2025" s="34">
        <v>4</v>
      </c>
      <c r="M2025" s="38">
        <v>0.75</v>
      </c>
      <c r="N2025" s="38">
        <f t="shared" si="31"/>
        <v>3</v>
      </c>
    </row>
    <row r="2026" spans="1:14">
      <c r="A2026" s="29">
        <v>43839</v>
      </c>
      <c r="B2026" s="22" t="s">
        <v>9</v>
      </c>
      <c r="C2026" s="22" t="s">
        <v>41</v>
      </c>
      <c r="D2026" s="48" t="s">
        <v>11</v>
      </c>
      <c r="E2026" t="s">
        <v>179</v>
      </c>
      <c r="F2026" t="s">
        <v>423</v>
      </c>
      <c r="G2026" t="s">
        <v>676</v>
      </c>
      <c r="H2026" s="42">
        <v>305</v>
      </c>
      <c r="J2026" t="s">
        <v>248</v>
      </c>
      <c r="L2026" s="34">
        <v>2</v>
      </c>
      <c r="M2026" s="38">
        <v>0.75</v>
      </c>
      <c r="N2026" s="38">
        <f t="shared" si="31"/>
        <v>1.5</v>
      </c>
    </row>
    <row r="2027" spans="1:14">
      <c r="A2027" s="29">
        <v>43840</v>
      </c>
      <c r="B2027" s="22" t="s">
        <v>60</v>
      </c>
      <c r="C2027" s="22" t="s">
        <v>7</v>
      </c>
      <c r="D2027" s="48" t="s">
        <v>5</v>
      </c>
      <c r="E2027" t="s">
        <v>157</v>
      </c>
      <c r="F2027">
        <v>2019</v>
      </c>
      <c r="G2027" t="s">
        <v>500</v>
      </c>
      <c r="H2027" s="42">
        <v>31</v>
      </c>
      <c r="J2027" t="s">
        <v>248</v>
      </c>
      <c r="L2027" s="34">
        <v>2</v>
      </c>
      <c r="M2027" s="38">
        <v>0.75</v>
      </c>
      <c r="N2027" s="38">
        <f t="shared" si="31"/>
        <v>1.5</v>
      </c>
    </row>
    <row r="2028" spans="1:14">
      <c r="A2028" s="29">
        <v>43840</v>
      </c>
      <c r="B2028" s="22" t="s">
        <v>60</v>
      </c>
      <c r="C2028" s="22" t="s">
        <v>7</v>
      </c>
      <c r="D2028" s="48" t="s">
        <v>8</v>
      </c>
      <c r="E2028" t="s">
        <v>182</v>
      </c>
      <c r="F2028">
        <v>2019</v>
      </c>
      <c r="G2028" t="s">
        <v>502</v>
      </c>
      <c r="H2028" s="42">
        <v>21</v>
      </c>
      <c r="J2028" t="s">
        <v>248</v>
      </c>
      <c r="K2028" t="s">
        <v>677</v>
      </c>
      <c r="L2028" s="34">
        <v>2</v>
      </c>
      <c r="M2028" s="38">
        <v>0.75</v>
      </c>
      <c r="N2028" s="38">
        <f t="shared" si="31"/>
        <v>1.5</v>
      </c>
    </row>
    <row r="2029" spans="1:14">
      <c r="A2029" s="29">
        <v>43840</v>
      </c>
      <c r="B2029" s="22" t="s">
        <v>60</v>
      </c>
      <c r="C2029" s="22" t="s">
        <v>7</v>
      </c>
      <c r="D2029" s="48" t="s">
        <v>8</v>
      </c>
      <c r="E2029" t="s">
        <v>479</v>
      </c>
      <c r="F2029">
        <v>2019</v>
      </c>
      <c r="G2029" t="s">
        <v>273</v>
      </c>
      <c r="H2029" s="42">
        <v>15</v>
      </c>
      <c r="J2029" t="s">
        <v>248</v>
      </c>
      <c r="K2029" t="s">
        <v>678</v>
      </c>
      <c r="L2029" s="34">
        <v>2</v>
      </c>
      <c r="M2029" s="38">
        <v>0.75</v>
      </c>
      <c r="N2029" s="38">
        <f t="shared" si="31"/>
        <v>1.5</v>
      </c>
    </row>
    <row r="2030" spans="1:14">
      <c r="A2030" s="29">
        <v>43840</v>
      </c>
      <c r="B2030" s="22" t="s">
        <v>60</v>
      </c>
      <c r="C2030" s="22" t="s">
        <v>7</v>
      </c>
      <c r="D2030" s="48" t="s">
        <v>8</v>
      </c>
      <c r="E2030" t="s">
        <v>479</v>
      </c>
      <c r="F2030">
        <v>2019</v>
      </c>
      <c r="G2030" t="s">
        <v>679</v>
      </c>
      <c r="H2030" s="42">
        <v>53</v>
      </c>
      <c r="J2030" t="s">
        <v>248</v>
      </c>
      <c r="K2030" t="s">
        <v>680</v>
      </c>
      <c r="L2030" s="34">
        <v>2</v>
      </c>
      <c r="M2030" s="38">
        <v>0.75</v>
      </c>
      <c r="N2030" s="38">
        <f t="shared" si="31"/>
        <v>1.5</v>
      </c>
    </row>
    <row r="2031" spans="1:14">
      <c r="A2031" s="29">
        <v>43843</v>
      </c>
      <c r="B2031" s="22" t="s">
        <v>23</v>
      </c>
      <c r="C2031" s="22" t="s">
        <v>57</v>
      </c>
      <c r="D2031" s="48" t="s">
        <v>5</v>
      </c>
      <c r="E2031" t="s">
        <v>157</v>
      </c>
      <c r="F2031">
        <v>2019</v>
      </c>
      <c r="G2031" t="s">
        <v>257</v>
      </c>
      <c r="H2031" s="42">
        <v>96</v>
      </c>
      <c r="J2031" t="s">
        <v>248</v>
      </c>
      <c r="L2031" s="34">
        <v>2</v>
      </c>
      <c r="M2031" s="38">
        <v>0.75</v>
      </c>
      <c r="N2031" s="38">
        <f t="shared" si="31"/>
        <v>1.5</v>
      </c>
    </row>
    <row r="2032" spans="1:14">
      <c r="A2032" s="29">
        <v>43843</v>
      </c>
      <c r="B2032" s="22" t="s">
        <v>681</v>
      </c>
      <c r="C2032" s="22" t="s">
        <v>57</v>
      </c>
      <c r="D2032" s="48" t="s">
        <v>11</v>
      </c>
      <c r="E2032" t="s">
        <v>177</v>
      </c>
      <c r="F2032">
        <v>2019</v>
      </c>
      <c r="G2032" t="s">
        <v>500</v>
      </c>
      <c r="H2032" s="42">
        <v>130</v>
      </c>
      <c r="J2032" t="s">
        <v>248</v>
      </c>
      <c r="L2032" s="34">
        <v>2</v>
      </c>
      <c r="M2032" s="38">
        <v>0.75</v>
      </c>
      <c r="N2032" s="38">
        <f t="shared" si="31"/>
        <v>1.5</v>
      </c>
    </row>
    <row r="2033" spans="1:14">
      <c r="A2033" s="29">
        <v>43843</v>
      </c>
      <c r="B2033" s="22" t="s">
        <v>681</v>
      </c>
      <c r="C2033" s="22" t="s">
        <v>57</v>
      </c>
      <c r="D2033" s="48" t="s">
        <v>11</v>
      </c>
      <c r="E2033" t="s">
        <v>682</v>
      </c>
      <c r="F2033">
        <v>2019</v>
      </c>
      <c r="G2033" t="s">
        <v>500</v>
      </c>
      <c r="H2033" s="42">
        <v>98</v>
      </c>
      <c r="J2033" t="s">
        <v>248</v>
      </c>
      <c r="L2033" s="34">
        <v>2</v>
      </c>
      <c r="M2033" s="38">
        <v>0.75</v>
      </c>
      <c r="N2033" s="38">
        <f t="shared" si="31"/>
        <v>1.5</v>
      </c>
    </row>
    <row r="2034" spans="1:14">
      <c r="A2034" s="29">
        <v>43843</v>
      </c>
      <c r="B2034" s="22" t="s">
        <v>681</v>
      </c>
      <c r="C2034" s="22" t="s">
        <v>57</v>
      </c>
      <c r="D2034" s="48" t="s">
        <v>11</v>
      </c>
      <c r="E2034" t="s">
        <v>683</v>
      </c>
      <c r="F2034">
        <v>2019</v>
      </c>
      <c r="G2034" t="s">
        <v>500</v>
      </c>
      <c r="H2034" s="42" t="s">
        <v>531</v>
      </c>
      <c r="J2034" t="s">
        <v>248</v>
      </c>
      <c r="L2034" s="34">
        <v>2</v>
      </c>
      <c r="M2034" s="38">
        <v>0.75</v>
      </c>
      <c r="N2034" s="38">
        <f t="shared" si="31"/>
        <v>1.5</v>
      </c>
    </row>
    <row r="2035" spans="1:14">
      <c r="A2035" s="29">
        <v>43844</v>
      </c>
      <c r="B2035" s="22" t="s">
        <v>64</v>
      </c>
      <c r="C2035" s="22" t="s">
        <v>621</v>
      </c>
      <c r="D2035" s="48" t="s">
        <v>11</v>
      </c>
      <c r="E2035" t="s">
        <v>177</v>
      </c>
      <c r="F2035">
        <v>2019</v>
      </c>
      <c r="G2035" t="s">
        <v>500</v>
      </c>
      <c r="H2035" s="42">
        <v>130</v>
      </c>
      <c r="J2035" t="s">
        <v>248</v>
      </c>
      <c r="K2035" t="s">
        <v>684</v>
      </c>
      <c r="L2035" s="34">
        <v>2</v>
      </c>
      <c r="M2035" s="38">
        <v>0.75</v>
      </c>
      <c r="N2035" s="38">
        <f t="shared" si="31"/>
        <v>1.5</v>
      </c>
    </row>
    <row r="2036" spans="1:14">
      <c r="A2036" s="29">
        <v>43844</v>
      </c>
      <c r="B2036" s="22" t="s">
        <v>81</v>
      </c>
      <c r="C2036" s="22" t="s">
        <v>57</v>
      </c>
      <c r="D2036" s="48" t="s">
        <v>5</v>
      </c>
      <c r="E2036" t="s">
        <v>159</v>
      </c>
      <c r="F2036">
        <v>2019</v>
      </c>
      <c r="G2036" t="s">
        <v>326</v>
      </c>
      <c r="H2036" s="42">
        <v>30</v>
      </c>
      <c r="J2036" t="s">
        <v>248</v>
      </c>
      <c r="L2036" s="34">
        <v>4</v>
      </c>
      <c r="M2036" s="38">
        <v>0.75</v>
      </c>
      <c r="N2036" s="38">
        <f t="shared" si="31"/>
        <v>3</v>
      </c>
    </row>
    <row r="2037" spans="1:14">
      <c r="A2037" s="29">
        <v>43845</v>
      </c>
      <c r="B2037" s="22" t="s">
        <v>63</v>
      </c>
      <c r="C2037" s="22" t="s">
        <v>57</v>
      </c>
      <c r="D2037" s="48" t="s">
        <v>8</v>
      </c>
      <c r="E2037" t="s">
        <v>273</v>
      </c>
      <c r="F2037">
        <v>2019</v>
      </c>
      <c r="G2037" t="s">
        <v>273</v>
      </c>
      <c r="H2037" s="42">
        <v>15</v>
      </c>
      <c r="J2037" t="s">
        <v>248</v>
      </c>
      <c r="L2037" s="34">
        <v>2</v>
      </c>
      <c r="M2037" s="38">
        <v>0.75</v>
      </c>
      <c r="N2037" s="38">
        <f t="shared" si="31"/>
        <v>1.5</v>
      </c>
    </row>
    <row r="2038" spans="1:14">
      <c r="A2038" s="29">
        <v>43846</v>
      </c>
      <c r="B2038" s="22" t="s">
        <v>293</v>
      </c>
      <c r="C2038" s="22" t="s">
        <v>41</v>
      </c>
      <c r="D2038" s="48" t="s">
        <v>5</v>
      </c>
      <c r="E2038" t="s">
        <v>159</v>
      </c>
      <c r="F2038">
        <v>2019</v>
      </c>
      <c r="G2038" t="s">
        <v>247</v>
      </c>
      <c r="H2038" s="42">
        <v>412</v>
      </c>
      <c r="J2038" t="s">
        <v>248</v>
      </c>
      <c r="L2038" s="34">
        <v>2</v>
      </c>
      <c r="M2038" s="38">
        <v>0.75</v>
      </c>
      <c r="N2038" s="38">
        <f t="shared" si="31"/>
        <v>1.5</v>
      </c>
    </row>
    <row r="2039" spans="1:14">
      <c r="A2039" s="29">
        <v>43846</v>
      </c>
      <c r="B2039" s="22" t="s">
        <v>685</v>
      </c>
      <c r="C2039" s="22" t="s">
        <v>57</v>
      </c>
      <c r="D2039" s="48" t="s">
        <v>5</v>
      </c>
      <c r="E2039" t="s">
        <v>310</v>
      </c>
      <c r="F2039">
        <v>2019</v>
      </c>
      <c r="G2039" t="s">
        <v>500</v>
      </c>
      <c r="H2039" s="42">
        <v>52</v>
      </c>
      <c r="J2039" t="s">
        <v>248</v>
      </c>
      <c r="L2039" s="34">
        <v>2</v>
      </c>
      <c r="M2039" s="38">
        <v>0.75</v>
      </c>
      <c r="N2039" s="38">
        <f t="shared" si="31"/>
        <v>1.5</v>
      </c>
    </row>
    <row r="2040" spans="1:14">
      <c r="A2040" s="29">
        <v>43846</v>
      </c>
      <c r="B2040" s="22" t="s">
        <v>40</v>
      </c>
      <c r="C2040" s="22" t="s">
        <v>57</v>
      </c>
      <c r="D2040" s="48" t="s">
        <v>5</v>
      </c>
      <c r="E2040" t="s">
        <v>307</v>
      </c>
      <c r="F2040">
        <v>2019</v>
      </c>
      <c r="G2040" t="s">
        <v>307</v>
      </c>
      <c r="H2040" s="42">
        <v>407</v>
      </c>
      <c r="J2040" t="s">
        <v>248</v>
      </c>
      <c r="L2040" s="34">
        <v>2</v>
      </c>
      <c r="M2040" s="38">
        <v>0.75</v>
      </c>
      <c r="N2040" s="38">
        <f t="shared" si="31"/>
        <v>1.5</v>
      </c>
    </row>
    <row r="2041" spans="1:14">
      <c r="A2041" s="29">
        <v>43846</v>
      </c>
      <c r="B2041" s="22" t="s">
        <v>60</v>
      </c>
      <c r="C2041" s="22" t="s">
        <v>45</v>
      </c>
      <c r="D2041" s="48" t="s">
        <v>5</v>
      </c>
      <c r="E2041" t="s">
        <v>157</v>
      </c>
      <c r="F2041">
        <v>2019</v>
      </c>
      <c r="G2041" t="s">
        <v>326</v>
      </c>
      <c r="H2041" s="42">
        <v>411</v>
      </c>
      <c r="J2041" t="s">
        <v>248</v>
      </c>
      <c r="L2041" s="34">
        <v>6</v>
      </c>
      <c r="M2041" s="38">
        <v>0.75</v>
      </c>
      <c r="N2041" s="38">
        <f t="shared" si="31"/>
        <v>4.5</v>
      </c>
    </row>
    <row r="2042" spans="1:14">
      <c r="A2042" s="29">
        <v>43847</v>
      </c>
      <c r="B2042" s="22" t="s">
        <v>109</v>
      </c>
      <c r="C2042" s="22" t="s">
        <v>57</v>
      </c>
      <c r="D2042" s="48" t="s">
        <v>5</v>
      </c>
      <c r="E2042" t="s">
        <v>160</v>
      </c>
      <c r="F2042">
        <v>2019</v>
      </c>
      <c r="G2042" t="s">
        <v>57</v>
      </c>
      <c r="H2042" s="42">
        <v>306</v>
      </c>
      <c r="J2042" t="s">
        <v>248</v>
      </c>
      <c r="L2042" s="34">
        <v>2</v>
      </c>
      <c r="M2042" s="38">
        <v>0.75</v>
      </c>
      <c r="N2042" s="38">
        <f t="shared" si="31"/>
        <v>1.5</v>
      </c>
    </row>
    <row r="2043" spans="1:14">
      <c r="A2043" s="29">
        <v>43850</v>
      </c>
      <c r="B2043" s="22" t="s">
        <v>113</v>
      </c>
      <c r="C2043" s="22" t="s">
        <v>271</v>
      </c>
      <c r="D2043" s="48" t="s">
        <v>5</v>
      </c>
      <c r="E2043" t="s">
        <v>262</v>
      </c>
      <c r="F2043">
        <v>2019</v>
      </c>
      <c r="G2043" t="s">
        <v>307</v>
      </c>
      <c r="H2043" s="42">
        <v>407</v>
      </c>
      <c r="J2043" t="s">
        <v>248</v>
      </c>
      <c r="L2043" s="34">
        <v>2</v>
      </c>
      <c r="M2043" s="38">
        <v>0.75</v>
      </c>
      <c r="N2043" s="38">
        <f t="shared" si="31"/>
        <v>1.5</v>
      </c>
    </row>
    <row r="2044" spans="1:14">
      <c r="A2044" s="29">
        <v>43850</v>
      </c>
      <c r="B2044" s="22" t="s">
        <v>79</v>
      </c>
      <c r="C2044" s="22" t="s">
        <v>57</v>
      </c>
      <c r="D2044" s="48" t="s">
        <v>5</v>
      </c>
      <c r="E2044" t="s">
        <v>159</v>
      </c>
      <c r="F2044">
        <v>2019</v>
      </c>
      <c r="G2044" t="s">
        <v>319</v>
      </c>
      <c r="H2044" s="42">
        <v>54</v>
      </c>
      <c r="J2044" t="s">
        <v>248</v>
      </c>
      <c r="K2044" t="s">
        <v>518</v>
      </c>
      <c r="L2044" s="34">
        <v>6</v>
      </c>
      <c r="M2044" s="38">
        <v>0.75</v>
      </c>
      <c r="N2044" s="38">
        <f t="shared" si="31"/>
        <v>4.5</v>
      </c>
    </row>
    <row r="2045" spans="1:14">
      <c r="A2045" s="29">
        <v>43850</v>
      </c>
      <c r="B2045" s="22" t="s">
        <v>109</v>
      </c>
      <c r="C2045" s="22" t="s">
        <v>57</v>
      </c>
      <c r="D2045" s="48" t="s">
        <v>8</v>
      </c>
      <c r="E2045" t="s">
        <v>179</v>
      </c>
      <c r="F2045">
        <v>2019</v>
      </c>
      <c r="G2045" t="s">
        <v>109</v>
      </c>
      <c r="H2045" s="42">
        <v>417</v>
      </c>
      <c r="J2045" t="s">
        <v>248</v>
      </c>
      <c r="L2045" s="34">
        <v>3</v>
      </c>
      <c r="M2045" s="38">
        <v>0.75</v>
      </c>
      <c r="N2045" s="38">
        <f t="shared" si="31"/>
        <v>2.25</v>
      </c>
    </row>
    <row r="2046" spans="1:14">
      <c r="A2046" s="29">
        <v>43850</v>
      </c>
      <c r="B2046" s="22" t="s">
        <v>109</v>
      </c>
      <c r="C2046" s="22" t="s">
        <v>57</v>
      </c>
      <c r="D2046" s="48" t="s">
        <v>8</v>
      </c>
      <c r="E2046" t="s">
        <v>184</v>
      </c>
      <c r="F2046">
        <v>2019</v>
      </c>
      <c r="G2046" t="s">
        <v>109</v>
      </c>
      <c r="H2046" s="42">
        <v>201</v>
      </c>
      <c r="J2046" t="s">
        <v>248</v>
      </c>
      <c r="L2046" s="34">
        <v>6</v>
      </c>
      <c r="M2046" s="38">
        <v>0.75</v>
      </c>
      <c r="N2046" s="38">
        <f t="shared" si="31"/>
        <v>4.5</v>
      </c>
    </row>
    <row r="2047" spans="1:14">
      <c r="A2047" s="29">
        <v>43850</v>
      </c>
      <c r="B2047" s="22" t="s">
        <v>13</v>
      </c>
      <c r="C2047" s="22" t="s">
        <v>57</v>
      </c>
      <c r="D2047" s="48" t="s">
        <v>5</v>
      </c>
      <c r="E2047" t="s">
        <v>262</v>
      </c>
      <c r="F2047">
        <v>2019</v>
      </c>
      <c r="G2047" t="s">
        <v>307</v>
      </c>
      <c r="H2047" s="42">
        <v>407</v>
      </c>
      <c r="J2047" t="s">
        <v>248</v>
      </c>
      <c r="L2047" s="34">
        <v>2</v>
      </c>
      <c r="M2047" s="38">
        <v>0.75</v>
      </c>
      <c r="N2047" s="38">
        <f t="shared" si="31"/>
        <v>1.5</v>
      </c>
    </row>
    <row r="2048" spans="1:14">
      <c r="A2048" s="29">
        <v>43850</v>
      </c>
      <c r="B2048" s="22" t="s">
        <v>13</v>
      </c>
      <c r="C2048" s="22" t="s">
        <v>57</v>
      </c>
      <c r="D2048" s="48" t="s">
        <v>5</v>
      </c>
      <c r="E2048" t="s">
        <v>255</v>
      </c>
      <c r="F2048">
        <v>2019</v>
      </c>
      <c r="G2048" t="s">
        <v>618</v>
      </c>
      <c r="H2048" s="42">
        <v>414</v>
      </c>
      <c r="J2048" t="s">
        <v>248</v>
      </c>
      <c r="L2048" s="34">
        <v>2</v>
      </c>
      <c r="M2048" s="38">
        <v>0.75</v>
      </c>
      <c r="N2048" s="38">
        <f t="shared" si="31"/>
        <v>1.5</v>
      </c>
    </row>
    <row r="2049" spans="1:14">
      <c r="A2049" s="29">
        <v>43851</v>
      </c>
      <c r="B2049" s="22" t="s">
        <v>13</v>
      </c>
      <c r="C2049" s="22" t="s">
        <v>57</v>
      </c>
      <c r="D2049" s="48" t="s">
        <v>5</v>
      </c>
      <c r="E2049" t="s">
        <v>159</v>
      </c>
      <c r="F2049">
        <v>2019</v>
      </c>
      <c r="G2049" t="s">
        <v>500</v>
      </c>
      <c r="H2049" s="42">
        <v>422</v>
      </c>
      <c r="J2049" t="s">
        <v>248</v>
      </c>
      <c r="L2049" s="34">
        <v>12</v>
      </c>
      <c r="M2049" s="38">
        <v>0.75</v>
      </c>
      <c r="N2049" s="38">
        <f t="shared" si="31"/>
        <v>9</v>
      </c>
    </row>
    <row r="2050" spans="1:14">
      <c r="A2050" s="29">
        <v>43851</v>
      </c>
      <c r="B2050" s="22" t="s">
        <v>13</v>
      </c>
      <c r="C2050" s="22" t="s">
        <v>57</v>
      </c>
      <c r="D2050" s="48" t="s">
        <v>5</v>
      </c>
      <c r="E2050" t="s">
        <v>255</v>
      </c>
      <c r="F2050">
        <v>2019</v>
      </c>
      <c r="G2050" t="s">
        <v>500</v>
      </c>
      <c r="H2050" s="42">
        <v>23</v>
      </c>
      <c r="J2050" t="s">
        <v>248</v>
      </c>
      <c r="L2050" s="34">
        <v>12</v>
      </c>
      <c r="M2050" s="38">
        <v>0.75</v>
      </c>
      <c r="N2050" s="38">
        <f t="shared" si="31"/>
        <v>9</v>
      </c>
    </row>
    <row r="2051" spans="1:14">
      <c r="A2051" s="29">
        <v>43851</v>
      </c>
      <c r="B2051" s="22" t="s">
        <v>13</v>
      </c>
      <c r="C2051" s="22" t="s">
        <v>57</v>
      </c>
      <c r="D2051" s="48" t="s">
        <v>5</v>
      </c>
      <c r="E2051" t="s">
        <v>262</v>
      </c>
      <c r="F2051">
        <v>2019</v>
      </c>
      <c r="G2051" t="s">
        <v>500</v>
      </c>
      <c r="H2051" s="42">
        <v>78</v>
      </c>
      <c r="J2051" t="s">
        <v>248</v>
      </c>
      <c r="L2051" s="34">
        <v>12</v>
      </c>
      <c r="M2051" s="38">
        <v>0.75</v>
      </c>
      <c r="N2051" s="38">
        <f t="shared" ref="N2051:N2114" si="32">M2051*L2051</f>
        <v>9</v>
      </c>
    </row>
    <row r="2052" spans="1:14">
      <c r="A2052" s="29">
        <v>43851</v>
      </c>
      <c r="B2052" s="22" t="s">
        <v>13</v>
      </c>
      <c r="C2052" s="22" t="s">
        <v>57</v>
      </c>
      <c r="D2052" s="48" t="s">
        <v>11</v>
      </c>
      <c r="E2052" t="s">
        <v>179</v>
      </c>
      <c r="F2052">
        <v>2019</v>
      </c>
      <c r="G2052" t="s">
        <v>500</v>
      </c>
      <c r="H2052" s="42">
        <v>82</v>
      </c>
      <c r="J2052" t="s">
        <v>248</v>
      </c>
      <c r="L2052" s="34">
        <v>12</v>
      </c>
      <c r="M2052" s="38">
        <v>0.75</v>
      </c>
      <c r="N2052" s="38">
        <f t="shared" si="32"/>
        <v>9</v>
      </c>
    </row>
    <row r="2053" spans="1:14">
      <c r="A2053" s="29">
        <v>43851</v>
      </c>
      <c r="B2053" s="22" t="s">
        <v>13</v>
      </c>
      <c r="C2053" s="22" t="s">
        <v>57</v>
      </c>
      <c r="D2053" s="48" t="s">
        <v>11</v>
      </c>
      <c r="E2053" t="s">
        <v>177</v>
      </c>
      <c r="F2053">
        <v>2019</v>
      </c>
      <c r="G2053" t="s">
        <v>500</v>
      </c>
      <c r="H2053" s="42">
        <v>130</v>
      </c>
      <c r="J2053" t="s">
        <v>248</v>
      </c>
      <c r="L2053" s="34">
        <v>12</v>
      </c>
      <c r="M2053" s="38">
        <v>0.75</v>
      </c>
      <c r="N2053" s="38">
        <f t="shared" si="32"/>
        <v>9</v>
      </c>
    </row>
    <row r="2054" spans="1:14">
      <c r="A2054" s="29">
        <v>43851</v>
      </c>
      <c r="B2054" s="22" t="s">
        <v>13</v>
      </c>
      <c r="C2054" s="22" t="s">
        <v>57</v>
      </c>
      <c r="D2054" s="48" t="s">
        <v>11</v>
      </c>
      <c r="E2054" t="s">
        <v>179</v>
      </c>
      <c r="F2054">
        <v>2019</v>
      </c>
      <c r="G2054" t="s">
        <v>664</v>
      </c>
      <c r="H2054" s="42">
        <v>138</v>
      </c>
      <c r="J2054" t="s">
        <v>248</v>
      </c>
      <c r="L2054" s="34">
        <v>12</v>
      </c>
      <c r="M2054" s="38">
        <v>0.75</v>
      </c>
      <c r="N2054" s="38">
        <f t="shared" si="32"/>
        <v>9</v>
      </c>
    </row>
    <row r="2055" spans="1:14">
      <c r="A2055" s="29">
        <v>43852</v>
      </c>
      <c r="B2055" s="22" t="s">
        <v>293</v>
      </c>
      <c r="C2055" s="22" t="s">
        <v>57</v>
      </c>
      <c r="D2055" s="48" t="s">
        <v>5</v>
      </c>
      <c r="E2055" t="s">
        <v>159</v>
      </c>
      <c r="F2055">
        <v>2019</v>
      </c>
      <c r="G2055" t="s">
        <v>247</v>
      </c>
      <c r="H2055" s="42">
        <v>412</v>
      </c>
      <c r="J2055" t="s">
        <v>248</v>
      </c>
      <c r="L2055" s="34">
        <v>2</v>
      </c>
      <c r="M2055" s="38">
        <v>0.75</v>
      </c>
      <c r="N2055" s="38">
        <f t="shared" si="32"/>
        <v>1.5</v>
      </c>
    </row>
    <row r="2056" spans="1:14">
      <c r="A2056" s="29">
        <v>43852</v>
      </c>
      <c r="B2056" s="22" t="s">
        <v>293</v>
      </c>
      <c r="C2056" s="22" t="s">
        <v>57</v>
      </c>
      <c r="D2056" s="48" t="s">
        <v>5</v>
      </c>
      <c r="E2056" t="s">
        <v>255</v>
      </c>
      <c r="F2056">
        <v>2019</v>
      </c>
      <c r="G2056" t="s">
        <v>618</v>
      </c>
      <c r="H2056" s="42">
        <v>414</v>
      </c>
      <c r="J2056" t="s">
        <v>248</v>
      </c>
      <c r="L2056" s="34">
        <v>2</v>
      </c>
      <c r="M2056" s="38">
        <v>0.75</v>
      </c>
      <c r="N2056" s="38">
        <f t="shared" si="32"/>
        <v>1.5</v>
      </c>
    </row>
    <row r="2057" spans="1:14">
      <c r="A2057" s="29">
        <v>43853</v>
      </c>
      <c r="B2057" s="22" t="s">
        <v>23</v>
      </c>
      <c r="C2057" s="22" t="s">
        <v>34</v>
      </c>
      <c r="D2057" s="48" t="s">
        <v>5</v>
      </c>
      <c r="E2057" t="s">
        <v>157</v>
      </c>
      <c r="F2057">
        <v>2019</v>
      </c>
      <c r="G2057" t="s">
        <v>257</v>
      </c>
      <c r="H2057" s="42">
        <v>84</v>
      </c>
      <c r="J2057" t="s">
        <v>248</v>
      </c>
      <c r="K2057" t="s">
        <v>686</v>
      </c>
      <c r="L2057" s="34">
        <v>2</v>
      </c>
      <c r="M2057" s="38">
        <v>0.75</v>
      </c>
      <c r="N2057" s="38">
        <f t="shared" si="32"/>
        <v>1.5</v>
      </c>
    </row>
    <row r="2058" spans="1:14">
      <c r="A2058" s="29">
        <v>43853</v>
      </c>
      <c r="B2058" s="22" t="s">
        <v>81</v>
      </c>
      <c r="C2058" s="22" t="s">
        <v>57</v>
      </c>
      <c r="D2058" s="48" t="s">
        <v>5</v>
      </c>
      <c r="E2058" t="s">
        <v>157</v>
      </c>
      <c r="F2058">
        <v>2019</v>
      </c>
      <c r="G2058" t="s">
        <v>326</v>
      </c>
      <c r="H2058" s="42">
        <v>411</v>
      </c>
      <c r="J2058" t="s">
        <v>248</v>
      </c>
      <c r="L2058" s="34">
        <v>3</v>
      </c>
      <c r="M2058" s="38">
        <v>0.75</v>
      </c>
      <c r="N2058" s="38">
        <f t="shared" si="32"/>
        <v>2.25</v>
      </c>
    </row>
    <row r="2059" spans="1:14">
      <c r="A2059" s="29">
        <v>43853</v>
      </c>
      <c r="B2059" s="22" t="s">
        <v>81</v>
      </c>
      <c r="C2059" s="22" t="s">
        <v>57</v>
      </c>
      <c r="D2059" s="48" t="s">
        <v>5</v>
      </c>
      <c r="E2059" t="s">
        <v>157</v>
      </c>
      <c r="F2059">
        <v>2019</v>
      </c>
      <c r="G2059" t="s">
        <v>651</v>
      </c>
      <c r="H2059" s="42">
        <v>33</v>
      </c>
      <c r="J2059" t="s">
        <v>248</v>
      </c>
      <c r="L2059" s="34">
        <v>3</v>
      </c>
      <c r="M2059" s="38">
        <v>0.75</v>
      </c>
      <c r="N2059" s="38">
        <f t="shared" si="32"/>
        <v>2.25</v>
      </c>
    </row>
    <row r="2060" spans="1:14">
      <c r="A2060" s="29">
        <v>43853</v>
      </c>
      <c r="B2060" s="22" t="s">
        <v>13</v>
      </c>
      <c r="C2060" s="22" t="s">
        <v>57</v>
      </c>
      <c r="D2060" s="48" t="s">
        <v>5</v>
      </c>
      <c r="E2060" t="s">
        <v>157</v>
      </c>
      <c r="F2060">
        <v>2019</v>
      </c>
      <c r="G2060" t="s">
        <v>500</v>
      </c>
      <c r="H2060" s="42">
        <v>31</v>
      </c>
      <c r="J2060" t="s">
        <v>248</v>
      </c>
      <c r="L2060" s="34">
        <v>12</v>
      </c>
      <c r="M2060" s="38">
        <v>0.75</v>
      </c>
      <c r="N2060" s="38">
        <f t="shared" si="32"/>
        <v>9</v>
      </c>
    </row>
    <row r="2061" spans="1:14">
      <c r="A2061" s="29">
        <v>43859</v>
      </c>
      <c r="B2061" s="22" t="s">
        <v>622</v>
      </c>
      <c r="C2061" s="22" t="s">
        <v>621</v>
      </c>
      <c r="D2061" s="48" t="s">
        <v>11</v>
      </c>
      <c r="E2061" t="s">
        <v>177</v>
      </c>
      <c r="F2061">
        <v>2019</v>
      </c>
      <c r="G2061" t="s">
        <v>500</v>
      </c>
      <c r="H2061" s="42">
        <v>130</v>
      </c>
      <c r="J2061" t="s">
        <v>248</v>
      </c>
      <c r="K2061" t="s">
        <v>687</v>
      </c>
      <c r="L2061" s="34">
        <v>4</v>
      </c>
      <c r="M2061" s="38">
        <v>0.75</v>
      </c>
      <c r="N2061" s="38">
        <f t="shared" si="32"/>
        <v>3</v>
      </c>
    </row>
    <row r="2062" spans="1:14" s="9" customFormat="1" ht="30">
      <c r="A2062" s="31">
        <v>43865</v>
      </c>
      <c r="B2062" s="27" t="s">
        <v>688</v>
      </c>
      <c r="C2062" s="27" t="s">
        <v>57</v>
      </c>
      <c r="D2062" s="48" t="s">
        <v>11</v>
      </c>
      <c r="E2062" t="s">
        <v>689</v>
      </c>
      <c r="F2062">
        <v>2019</v>
      </c>
      <c r="G2062" t="s">
        <v>357</v>
      </c>
      <c r="H2062" s="45" t="s">
        <v>57</v>
      </c>
      <c r="I2062" s="14"/>
      <c r="J2062" s="9" t="s">
        <v>248</v>
      </c>
      <c r="K2062" s="10" t="s">
        <v>690</v>
      </c>
      <c r="L2062" s="35">
        <v>2</v>
      </c>
      <c r="M2062" s="39">
        <v>0.75</v>
      </c>
      <c r="N2062" s="39">
        <f t="shared" si="32"/>
        <v>1.5</v>
      </c>
    </row>
    <row r="2063" spans="1:14" s="9" customFormat="1" ht="30">
      <c r="A2063" s="31">
        <v>43865</v>
      </c>
      <c r="B2063" s="27" t="s">
        <v>688</v>
      </c>
      <c r="C2063" s="27" t="s">
        <v>57</v>
      </c>
      <c r="D2063" s="48" t="s">
        <v>11</v>
      </c>
      <c r="E2063" t="s">
        <v>689</v>
      </c>
      <c r="F2063">
        <v>2019</v>
      </c>
      <c r="G2063" t="s">
        <v>359</v>
      </c>
      <c r="H2063" s="45" t="s">
        <v>57</v>
      </c>
      <c r="I2063" s="14"/>
      <c r="J2063" s="9" t="s">
        <v>248</v>
      </c>
      <c r="K2063" s="10" t="s">
        <v>691</v>
      </c>
      <c r="L2063" s="35">
        <v>2</v>
      </c>
      <c r="M2063" s="39">
        <v>0.75</v>
      </c>
      <c r="N2063" s="39">
        <f t="shared" si="32"/>
        <v>1.5</v>
      </c>
    </row>
    <row r="2064" spans="1:14">
      <c r="A2064" s="29">
        <v>43865</v>
      </c>
      <c r="B2064" s="22" t="s">
        <v>3</v>
      </c>
      <c r="C2064" s="22" t="s">
        <v>57</v>
      </c>
      <c r="D2064" s="48" t="s">
        <v>5</v>
      </c>
      <c r="E2064" t="s">
        <v>158</v>
      </c>
      <c r="F2064">
        <v>2019</v>
      </c>
      <c r="G2064" t="s">
        <v>60</v>
      </c>
      <c r="H2064" s="42">
        <v>93</v>
      </c>
      <c r="J2064" t="s">
        <v>248</v>
      </c>
      <c r="L2064" s="34">
        <v>2</v>
      </c>
      <c r="M2064" s="38">
        <v>0.75</v>
      </c>
      <c r="N2064" s="38">
        <f t="shared" si="32"/>
        <v>1.5</v>
      </c>
    </row>
    <row r="2065" spans="1:14">
      <c r="A2065" s="29">
        <v>43868</v>
      </c>
      <c r="B2065" s="22" t="s">
        <v>125</v>
      </c>
      <c r="C2065" s="22" t="s">
        <v>57</v>
      </c>
      <c r="D2065" s="48" t="s">
        <v>5</v>
      </c>
      <c r="E2065" t="s">
        <v>157</v>
      </c>
      <c r="F2065">
        <v>2019</v>
      </c>
      <c r="G2065" t="s">
        <v>326</v>
      </c>
      <c r="H2065" s="42">
        <v>411</v>
      </c>
      <c r="J2065" t="s">
        <v>248</v>
      </c>
      <c r="L2065" s="34">
        <v>2</v>
      </c>
      <c r="M2065" s="38">
        <v>0.75</v>
      </c>
      <c r="N2065" s="38">
        <f t="shared" si="32"/>
        <v>1.5</v>
      </c>
    </row>
    <row r="2066" spans="1:14">
      <c r="A2066" s="29">
        <v>43868</v>
      </c>
      <c r="B2066" s="22" t="s">
        <v>125</v>
      </c>
      <c r="C2066" s="22" t="s">
        <v>57</v>
      </c>
      <c r="D2066" s="48" t="s">
        <v>11</v>
      </c>
      <c r="E2066" t="s">
        <v>259</v>
      </c>
      <c r="F2066">
        <v>2019</v>
      </c>
      <c r="G2066" t="s">
        <v>57</v>
      </c>
      <c r="H2066" s="42">
        <v>314</v>
      </c>
      <c r="J2066" t="s">
        <v>248</v>
      </c>
      <c r="L2066" s="34">
        <v>2</v>
      </c>
      <c r="M2066" s="38">
        <v>0.75</v>
      </c>
      <c r="N2066" s="38">
        <f t="shared" si="32"/>
        <v>1.5</v>
      </c>
    </row>
    <row r="2067" spans="1:14">
      <c r="A2067" s="29">
        <v>43874</v>
      </c>
      <c r="B2067" s="22" t="s">
        <v>74</v>
      </c>
      <c r="C2067" s="22" t="s">
        <v>57</v>
      </c>
      <c r="D2067" s="48" t="s">
        <v>5</v>
      </c>
      <c r="E2067" t="s">
        <v>262</v>
      </c>
      <c r="F2067">
        <v>2018</v>
      </c>
      <c r="G2067" t="s">
        <v>494</v>
      </c>
      <c r="H2067" s="42">
        <v>334</v>
      </c>
      <c r="J2067" t="s">
        <v>248</v>
      </c>
      <c r="K2067" t="s">
        <v>692</v>
      </c>
      <c r="L2067" s="34">
        <v>1</v>
      </c>
      <c r="M2067" s="38">
        <v>0.75</v>
      </c>
      <c r="N2067" s="38">
        <f t="shared" si="32"/>
        <v>0.75</v>
      </c>
    </row>
    <row r="2068" spans="1:14">
      <c r="A2068" s="29">
        <v>43874</v>
      </c>
      <c r="B2068" s="22" t="s">
        <v>57</v>
      </c>
      <c r="C2068" s="22" t="s">
        <v>45</v>
      </c>
      <c r="D2068" s="48" t="s">
        <v>5</v>
      </c>
      <c r="E2068" t="s">
        <v>157</v>
      </c>
      <c r="F2068">
        <v>2019</v>
      </c>
      <c r="G2068" t="s">
        <v>326</v>
      </c>
      <c r="H2068" s="42">
        <v>26</v>
      </c>
      <c r="J2068" t="s">
        <v>248</v>
      </c>
      <c r="L2068" s="34">
        <v>6</v>
      </c>
      <c r="M2068" s="38">
        <v>0.75</v>
      </c>
      <c r="N2068" s="38">
        <f t="shared" si="32"/>
        <v>4.5</v>
      </c>
    </row>
    <row r="2069" spans="1:14">
      <c r="A2069" s="29">
        <v>43874</v>
      </c>
      <c r="B2069" s="22" t="s">
        <v>57</v>
      </c>
      <c r="C2069" s="22" t="s">
        <v>45</v>
      </c>
      <c r="D2069" s="48" t="s">
        <v>11</v>
      </c>
      <c r="E2069" t="s">
        <v>467</v>
      </c>
      <c r="F2069" t="s">
        <v>423</v>
      </c>
      <c r="G2069" t="s">
        <v>57</v>
      </c>
      <c r="H2069" s="42">
        <v>305</v>
      </c>
      <c r="J2069" t="s">
        <v>248</v>
      </c>
      <c r="L2069" s="34">
        <v>6</v>
      </c>
      <c r="M2069" s="38">
        <v>0.75</v>
      </c>
      <c r="N2069" s="38">
        <f t="shared" si="32"/>
        <v>4.5</v>
      </c>
    </row>
    <row r="2070" spans="1:14">
      <c r="A2070" s="29">
        <v>43874</v>
      </c>
      <c r="B2070" s="22" t="s">
        <v>109</v>
      </c>
      <c r="C2070" s="22" t="s">
        <v>57</v>
      </c>
      <c r="D2070" s="48" t="s">
        <v>8</v>
      </c>
      <c r="E2070" t="s">
        <v>184</v>
      </c>
      <c r="F2070">
        <v>2019</v>
      </c>
      <c r="G2070">
        <v>2</v>
      </c>
      <c r="H2070" s="42" t="s">
        <v>57</v>
      </c>
      <c r="J2070" t="s">
        <v>248</v>
      </c>
      <c r="K2070" t="s">
        <v>693</v>
      </c>
      <c r="L2070" s="34">
        <v>4</v>
      </c>
      <c r="M2070" s="38">
        <v>0.75</v>
      </c>
      <c r="N2070" s="38">
        <f t="shared" si="32"/>
        <v>3</v>
      </c>
    </row>
    <row r="2071" spans="1:14">
      <c r="A2071" s="29">
        <v>43875</v>
      </c>
      <c r="B2071" s="22" t="s">
        <v>293</v>
      </c>
      <c r="C2071" s="22" t="s">
        <v>41</v>
      </c>
      <c r="D2071" s="48" t="s">
        <v>5</v>
      </c>
      <c r="E2071" t="s">
        <v>255</v>
      </c>
      <c r="F2071">
        <v>2019</v>
      </c>
      <c r="G2071" t="s">
        <v>618</v>
      </c>
      <c r="H2071" s="42">
        <v>414</v>
      </c>
      <c r="J2071" t="s">
        <v>248</v>
      </c>
      <c r="L2071" s="34">
        <v>3</v>
      </c>
      <c r="M2071" s="38">
        <v>0.75</v>
      </c>
      <c r="N2071" s="38">
        <f t="shared" si="32"/>
        <v>2.25</v>
      </c>
    </row>
    <row r="2072" spans="1:14">
      <c r="A2072" s="29">
        <v>43875</v>
      </c>
      <c r="B2072" s="22" t="s">
        <v>293</v>
      </c>
      <c r="C2072" s="22" t="s">
        <v>41</v>
      </c>
      <c r="D2072" s="48" t="s">
        <v>5</v>
      </c>
      <c r="E2072" t="s">
        <v>255</v>
      </c>
      <c r="F2072">
        <v>2019</v>
      </c>
      <c r="G2072" t="s">
        <v>618</v>
      </c>
      <c r="H2072" s="42">
        <v>414</v>
      </c>
      <c r="J2072" t="s">
        <v>248</v>
      </c>
      <c r="L2072" s="34">
        <v>2</v>
      </c>
      <c r="M2072" s="38">
        <v>0.75</v>
      </c>
      <c r="N2072" s="38">
        <f t="shared" si="32"/>
        <v>1.5</v>
      </c>
    </row>
    <row r="2073" spans="1:14">
      <c r="A2073" s="29">
        <v>43878</v>
      </c>
      <c r="B2073" s="22" t="s">
        <v>113</v>
      </c>
      <c r="C2073" s="22" t="s">
        <v>271</v>
      </c>
      <c r="D2073" s="48" t="s">
        <v>5</v>
      </c>
      <c r="E2073" t="s">
        <v>157</v>
      </c>
      <c r="F2073">
        <v>2019</v>
      </c>
      <c r="G2073" t="s">
        <v>257</v>
      </c>
      <c r="H2073" s="42">
        <v>19</v>
      </c>
      <c r="J2073" t="s">
        <v>248</v>
      </c>
      <c r="L2073" s="34">
        <v>1</v>
      </c>
      <c r="M2073" s="38">
        <v>0.75</v>
      </c>
      <c r="N2073" s="38">
        <f t="shared" si="32"/>
        <v>0.75</v>
      </c>
    </row>
    <row r="2074" spans="1:14">
      <c r="A2074" s="29">
        <v>43878</v>
      </c>
      <c r="B2074" s="22" t="s">
        <v>113</v>
      </c>
      <c r="C2074" s="22" t="s">
        <v>271</v>
      </c>
      <c r="D2074" s="48" t="s">
        <v>5</v>
      </c>
      <c r="E2074" t="s">
        <v>157</v>
      </c>
      <c r="F2074">
        <v>2019</v>
      </c>
      <c r="G2074" t="s">
        <v>675</v>
      </c>
      <c r="H2074" s="42">
        <v>412</v>
      </c>
      <c r="J2074" t="s">
        <v>248</v>
      </c>
      <c r="L2074" s="34">
        <v>1</v>
      </c>
      <c r="M2074" s="38">
        <v>0.75</v>
      </c>
      <c r="N2074" s="38">
        <f t="shared" si="32"/>
        <v>0.75</v>
      </c>
    </row>
    <row r="2075" spans="1:14">
      <c r="A2075" s="29">
        <v>43880</v>
      </c>
      <c r="B2075" s="22" t="s">
        <v>685</v>
      </c>
      <c r="C2075" s="22" t="s">
        <v>57</v>
      </c>
      <c r="D2075" s="48" t="s">
        <v>5</v>
      </c>
      <c r="E2075" t="s">
        <v>310</v>
      </c>
      <c r="F2075">
        <v>2019</v>
      </c>
      <c r="G2075" t="s">
        <v>500</v>
      </c>
      <c r="H2075" s="42" t="s">
        <v>694</v>
      </c>
      <c r="J2075" t="s">
        <v>248</v>
      </c>
      <c r="L2075" s="34">
        <v>2</v>
      </c>
      <c r="M2075" s="38">
        <v>0.75</v>
      </c>
      <c r="N2075" s="38">
        <f t="shared" si="32"/>
        <v>1.5</v>
      </c>
    </row>
    <row r="2076" spans="1:14">
      <c r="A2076" s="29">
        <v>43880</v>
      </c>
      <c r="B2076" s="22" t="s">
        <v>685</v>
      </c>
      <c r="C2076" s="22" t="s">
        <v>57</v>
      </c>
      <c r="D2076" s="48" t="s">
        <v>8</v>
      </c>
      <c r="E2076" t="s">
        <v>513</v>
      </c>
      <c r="F2076">
        <v>2019</v>
      </c>
      <c r="G2076" t="s">
        <v>500</v>
      </c>
      <c r="H2076" s="42">
        <v>83</v>
      </c>
      <c r="J2076" t="s">
        <v>248</v>
      </c>
      <c r="L2076" s="34">
        <v>2</v>
      </c>
      <c r="M2076" s="38">
        <v>0.75</v>
      </c>
      <c r="N2076" s="38">
        <f t="shared" si="32"/>
        <v>1.5</v>
      </c>
    </row>
    <row r="2077" spans="1:14">
      <c r="A2077" s="29">
        <v>43881</v>
      </c>
      <c r="B2077" s="22" t="s">
        <v>57</v>
      </c>
      <c r="C2077" s="22" t="s">
        <v>49</v>
      </c>
      <c r="D2077" s="48" t="s">
        <v>5</v>
      </c>
      <c r="E2077" t="s">
        <v>267</v>
      </c>
      <c r="F2077">
        <v>2019</v>
      </c>
      <c r="G2077" t="s">
        <v>57</v>
      </c>
      <c r="H2077" s="42" t="s">
        <v>639</v>
      </c>
      <c r="J2077" t="s">
        <v>248</v>
      </c>
      <c r="L2077" s="34">
        <v>3</v>
      </c>
      <c r="M2077" s="38">
        <v>0.75</v>
      </c>
      <c r="N2077" s="38">
        <f t="shared" si="32"/>
        <v>2.25</v>
      </c>
    </row>
    <row r="2078" spans="1:14">
      <c r="A2078" s="29">
        <v>43881</v>
      </c>
      <c r="B2078" s="22" t="s">
        <v>57</v>
      </c>
      <c r="C2078" s="22" t="s">
        <v>49</v>
      </c>
      <c r="D2078" s="48" t="s">
        <v>5</v>
      </c>
      <c r="E2078" t="s">
        <v>287</v>
      </c>
      <c r="F2078">
        <v>2019</v>
      </c>
      <c r="G2078" t="s">
        <v>57</v>
      </c>
      <c r="H2078" s="42" t="s">
        <v>617</v>
      </c>
      <c r="J2078" t="s">
        <v>248</v>
      </c>
      <c r="L2078" s="34">
        <v>3</v>
      </c>
      <c r="M2078" s="38">
        <v>0.75</v>
      </c>
      <c r="N2078" s="38">
        <f t="shared" si="32"/>
        <v>2.25</v>
      </c>
    </row>
    <row r="2079" spans="1:14">
      <c r="A2079" s="29">
        <v>43881</v>
      </c>
      <c r="B2079" s="22" t="s">
        <v>695</v>
      </c>
      <c r="C2079" s="22" t="s">
        <v>57</v>
      </c>
      <c r="D2079" s="48" t="s">
        <v>5</v>
      </c>
      <c r="E2079" t="s">
        <v>657</v>
      </c>
      <c r="F2079">
        <v>2019</v>
      </c>
      <c r="G2079" t="s">
        <v>57</v>
      </c>
      <c r="H2079" s="42" t="s">
        <v>57</v>
      </c>
      <c r="J2079" t="s">
        <v>248</v>
      </c>
      <c r="K2079" t="s">
        <v>696</v>
      </c>
      <c r="L2079" s="34">
        <v>2</v>
      </c>
      <c r="M2079" s="38">
        <v>0.75</v>
      </c>
      <c r="N2079" s="38">
        <f t="shared" si="32"/>
        <v>1.5</v>
      </c>
    </row>
    <row r="2080" spans="1:14">
      <c r="A2080" s="29">
        <v>43881</v>
      </c>
      <c r="B2080" s="22" t="s">
        <v>695</v>
      </c>
      <c r="C2080" s="22" t="s">
        <v>57</v>
      </c>
      <c r="D2080" s="48" t="s">
        <v>11</v>
      </c>
      <c r="E2080" t="s">
        <v>502</v>
      </c>
      <c r="F2080">
        <v>2019</v>
      </c>
      <c r="G2080" t="s">
        <v>500</v>
      </c>
      <c r="H2080" s="42" t="s">
        <v>530</v>
      </c>
      <c r="J2080" t="s">
        <v>248</v>
      </c>
      <c r="K2080" t="s">
        <v>697</v>
      </c>
      <c r="L2080" s="34">
        <v>5</v>
      </c>
      <c r="M2080" s="38">
        <v>0.75</v>
      </c>
      <c r="N2080" s="38">
        <f t="shared" si="32"/>
        <v>3.75</v>
      </c>
    </row>
    <row r="2081" spans="1:14">
      <c r="A2081" s="29">
        <v>43885</v>
      </c>
      <c r="B2081" s="22" t="s">
        <v>82</v>
      </c>
      <c r="C2081" s="22" t="s">
        <v>38</v>
      </c>
      <c r="D2081" s="48" t="s">
        <v>5</v>
      </c>
      <c r="E2081" t="s">
        <v>159</v>
      </c>
      <c r="F2081">
        <v>2019</v>
      </c>
      <c r="G2081" t="s">
        <v>319</v>
      </c>
      <c r="H2081" s="42">
        <v>54</v>
      </c>
      <c r="J2081" t="s">
        <v>248</v>
      </c>
      <c r="L2081" s="34">
        <v>2</v>
      </c>
      <c r="M2081" s="38">
        <v>0.75</v>
      </c>
      <c r="N2081" s="38">
        <f t="shared" si="32"/>
        <v>1.5</v>
      </c>
    </row>
    <row r="2082" spans="1:14">
      <c r="A2082" s="29">
        <v>43886</v>
      </c>
      <c r="B2082" s="22" t="s">
        <v>685</v>
      </c>
      <c r="C2082" s="22" t="s">
        <v>57</v>
      </c>
      <c r="D2082" s="48" t="s">
        <v>8</v>
      </c>
      <c r="E2082" t="s">
        <v>513</v>
      </c>
      <c r="F2082">
        <v>2019</v>
      </c>
      <c r="G2082" t="s">
        <v>500</v>
      </c>
      <c r="H2082" s="42">
        <v>83</v>
      </c>
      <c r="J2082" t="s">
        <v>248</v>
      </c>
      <c r="L2082" s="34">
        <v>6</v>
      </c>
      <c r="M2082" s="38">
        <v>0.75</v>
      </c>
      <c r="N2082" s="38">
        <f t="shared" si="32"/>
        <v>4.5</v>
      </c>
    </row>
    <row r="2083" spans="1:14">
      <c r="A2083" s="29">
        <v>43886</v>
      </c>
      <c r="B2083" s="22" t="s">
        <v>109</v>
      </c>
      <c r="C2083" s="22" t="s">
        <v>57</v>
      </c>
      <c r="D2083" s="48" t="s">
        <v>5</v>
      </c>
      <c r="E2083" t="s">
        <v>494</v>
      </c>
      <c r="F2083">
        <v>2019</v>
      </c>
      <c r="G2083" t="s">
        <v>109</v>
      </c>
      <c r="H2083" s="42">
        <v>200</v>
      </c>
      <c r="J2083" t="s">
        <v>248</v>
      </c>
      <c r="L2083" s="34">
        <v>3</v>
      </c>
      <c r="M2083" s="38">
        <v>0.75</v>
      </c>
      <c r="N2083" s="38">
        <f t="shared" si="32"/>
        <v>2.25</v>
      </c>
    </row>
    <row r="2084" spans="1:14">
      <c r="A2084" s="29">
        <v>43886</v>
      </c>
      <c r="B2084" s="22" t="s">
        <v>698</v>
      </c>
      <c r="C2084" s="22" t="s">
        <v>49</v>
      </c>
      <c r="D2084" s="48" t="s">
        <v>5</v>
      </c>
      <c r="E2084" t="s">
        <v>672</v>
      </c>
      <c r="F2084">
        <v>2019</v>
      </c>
      <c r="G2084" t="s">
        <v>57</v>
      </c>
      <c r="H2084" s="42" t="s">
        <v>57</v>
      </c>
      <c r="J2084" t="s">
        <v>248</v>
      </c>
      <c r="K2084" t="s">
        <v>673</v>
      </c>
      <c r="L2084" s="34">
        <v>4</v>
      </c>
      <c r="M2084" s="38">
        <v>0.75</v>
      </c>
      <c r="N2084" s="38">
        <f t="shared" si="32"/>
        <v>3</v>
      </c>
    </row>
    <row r="2085" spans="1:14">
      <c r="A2085" s="29">
        <v>43888</v>
      </c>
      <c r="B2085" s="22" t="s">
        <v>699</v>
      </c>
      <c r="C2085" s="22" t="s">
        <v>53</v>
      </c>
      <c r="D2085" s="48" t="s">
        <v>5</v>
      </c>
      <c r="E2085" t="s">
        <v>158</v>
      </c>
      <c r="F2085">
        <v>2019</v>
      </c>
      <c r="G2085" t="s">
        <v>618</v>
      </c>
      <c r="H2085" s="42">
        <v>93</v>
      </c>
      <c r="J2085" t="s">
        <v>248</v>
      </c>
      <c r="L2085" s="34">
        <v>3</v>
      </c>
      <c r="M2085" s="38">
        <v>0.75</v>
      </c>
      <c r="N2085" s="38">
        <f t="shared" si="32"/>
        <v>2.25</v>
      </c>
    </row>
    <row r="2086" spans="1:14">
      <c r="A2086" s="29">
        <v>43894</v>
      </c>
      <c r="B2086" s="22" t="s">
        <v>700</v>
      </c>
      <c r="C2086" s="22" t="s">
        <v>57</v>
      </c>
      <c r="D2086" s="48" t="s">
        <v>5</v>
      </c>
      <c r="E2086" t="s">
        <v>701</v>
      </c>
      <c r="F2086">
        <v>2019</v>
      </c>
      <c r="G2086" t="s">
        <v>664</v>
      </c>
      <c r="H2086" s="42" t="s">
        <v>702</v>
      </c>
      <c r="J2086" t="s">
        <v>248</v>
      </c>
      <c r="L2086" s="34">
        <v>2</v>
      </c>
      <c r="M2086" s="38">
        <v>0.75</v>
      </c>
      <c r="N2086" s="38">
        <f t="shared" si="32"/>
        <v>1.5</v>
      </c>
    </row>
    <row r="2087" spans="1:14">
      <c r="A2087" s="29">
        <v>43894</v>
      </c>
      <c r="B2087" s="22" t="s">
        <v>700</v>
      </c>
      <c r="C2087" s="22" t="s">
        <v>57</v>
      </c>
      <c r="D2087" s="48" t="s">
        <v>8</v>
      </c>
      <c r="E2087" t="s">
        <v>294</v>
      </c>
      <c r="F2087">
        <v>2019</v>
      </c>
      <c r="G2087" t="s">
        <v>703</v>
      </c>
      <c r="H2087" s="42" t="s">
        <v>57</v>
      </c>
      <c r="J2087" t="s">
        <v>248</v>
      </c>
      <c r="K2087" s="11" t="s">
        <v>704</v>
      </c>
      <c r="L2087" s="34">
        <v>2</v>
      </c>
      <c r="M2087" s="38">
        <v>0.75</v>
      </c>
      <c r="N2087" s="38">
        <f t="shared" si="32"/>
        <v>1.5</v>
      </c>
    </row>
    <row r="2088" spans="1:14">
      <c r="A2088" s="29">
        <v>43894</v>
      </c>
      <c r="B2088" s="22" t="s">
        <v>700</v>
      </c>
      <c r="C2088" s="22" t="s">
        <v>57</v>
      </c>
      <c r="D2088" s="48" t="s">
        <v>8</v>
      </c>
      <c r="E2088" t="s">
        <v>682</v>
      </c>
      <c r="F2088">
        <v>2019</v>
      </c>
      <c r="G2088" t="s">
        <v>705</v>
      </c>
      <c r="H2088" s="42" t="s">
        <v>57</v>
      </c>
      <c r="J2088" t="s">
        <v>248</v>
      </c>
      <c r="K2088" s="11" t="s">
        <v>706</v>
      </c>
      <c r="L2088" s="34">
        <v>2</v>
      </c>
      <c r="M2088" s="38">
        <v>0.75</v>
      </c>
      <c r="N2088" s="38">
        <f t="shared" si="32"/>
        <v>1.5</v>
      </c>
    </row>
    <row r="2089" spans="1:14">
      <c r="A2089" s="29">
        <v>43894</v>
      </c>
      <c r="B2089" s="22" t="s">
        <v>700</v>
      </c>
      <c r="C2089" s="22" t="s">
        <v>57</v>
      </c>
      <c r="D2089" s="48" t="s">
        <v>8</v>
      </c>
      <c r="E2089" t="s">
        <v>707</v>
      </c>
      <c r="F2089">
        <v>2019</v>
      </c>
      <c r="G2089" t="s">
        <v>708</v>
      </c>
      <c r="H2089" s="42" t="s">
        <v>57</v>
      </c>
      <c r="J2089" t="s">
        <v>248</v>
      </c>
      <c r="K2089" s="11" t="s">
        <v>709</v>
      </c>
      <c r="L2089" s="34">
        <v>2</v>
      </c>
      <c r="M2089" s="38">
        <v>0.75</v>
      </c>
      <c r="N2089" s="38">
        <f t="shared" si="32"/>
        <v>1.5</v>
      </c>
    </row>
    <row r="2090" spans="1:14">
      <c r="A2090" s="29">
        <v>43894</v>
      </c>
      <c r="B2090" s="22" t="s">
        <v>700</v>
      </c>
      <c r="C2090" s="22" t="s">
        <v>57</v>
      </c>
      <c r="D2090" s="48" t="s">
        <v>11</v>
      </c>
      <c r="E2090" t="s">
        <v>179</v>
      </c>
      <c r="F2090">
        <v>2019</v>
      </c>
      <c r="G2090" t="s">
        <v>664</v>
      </c>
      <c r="H2090" s="42">
        <v>131</v>
      </c>
      <c r="J2090" t="s">
        <v>248</v>
      </c>
      <c r="L2090" s="34">
        <v>2</v>
      </c>
      <c r="M2090" s="38">
        <v>0.75</v>
      </c>
      <c r="N2090" s="38">
        <f t="shared" si="32"/>
        <v>1.5</v>
      </c>
    </row>
    <row r="2091" spans="1:14">
      <c r="A2091" s="29">
        <v>43906</v>
      </c>
      <c r="B2091" s="22" t="s">
        <v>25</v>
      </c>
      <c r="C2091" s="22" t="s">
        <v>38</v>
      </c>
      <c r="D2091" s="48" t="s">
        <v>8</v>
      </c>
      <c r="E2091" t="s">
        <v>259</v>
      </c>
      <c r="F2091">
        <v>2019</v>
      </c>
      <c r="G2091" t="s">
        <v>618</v>
      </c>
      <c r="H2091" s="42">
        <v>322</v>
      </c>
      <c r="J2091" t="s">
        <v>248</v>
      </c>
      <c r="L2091" s="34">
        <v>2</v>
      </c>
      <c r="M2091" s="38">
        <v>0.75</v>
      </c>
      <c r="N2091" s="38">
        <f t="shared" si="32"/>
        <v>1.5</v>
      </c>
    </row>
    <row r="2092" spans="1:14">
      <c r="A2092" s="29">
        <v>43907</v>
      </c>
      <c r="B2092" s="22" t="s">
        <v>700</v>
      </c>
      <c r="C2092" s="22" t="s">
        <v>57</v>
      </c>
      <c r="D2092" s="48" t="s">
        <v>8</v>
      </c>
      <c r="E2092" t="s">
        <v>294</v>
      </c>
      <c r="F2092">
        <v>2019</v>
      </c>
      <c r="G2092" t="s">
        <v>703</v>
      </c>
      <c r="H2092" s="42" t="s">
        <v>57</v>
      </c>
      <c r="J2092" t="s">
        <v>248</v>
      </c>
      <c r="K2092" s="11" t="s">
        <v>704</v>
      </c>
      <c r="L2092" s="34">
        <v>2</v>
      </c>
      <c r="M2092" s="38">
        <v>0.75</v>
      </c>
      <c r="N2092" s="38">
        <f t="shared" si="32"/>
        <v>1.5</v>
      </c>
    </row>
    <row r="2093" spans="1:14">
      <c r="A2093" s="29">
        <v>43907</v>
      </c>
      <c r="B2093" s="22" t="s">
        <v>700</v>
      </c>
      <c r="C2093" s="22" t="s">
        <v>57</v>
      </c>
      <c r="D2093" s="48" t="s">
        <v>8</v>
      </c>
      <c r="E2093" t="s">
        <v>682</v>
      </c>
      <c r="F2093">
        <v>2019</v>
      </c>
      <c r="G2093" t="s">
        <v>705</v>
      </c>
      <c r="H2093" s="42" t="s">
        <v>57</v>
      </c>
      <c r="J2093" t="s">
        <v>248</v>
      </c>
      <c r="K2093" s="11" t="s">
        <v>706</v>
      </c>
      <c r="L2093" s="34">
        <v>2</v>
      </c>
      <c r="M2093" s="38">
        <v>0.75</v>
      </c>
      <c r="N2093" s="38">
        <f t="shared" si="32"/>
        <v>1.5</v>
      </c>
    </row>
    <row r="2094" spans="1:14">
      <c r="A2094" s="29">
        <v>43907</v>
      </c>
      <c r="B2094" s="22" t="s">
        <v>700</v>
      </c>
      <c r="C2094" s="22" t="s">
        <v>57</v>
      </c>
      <c r="D2094" s="48" t="s">
        <v>8</v>
      </c>
      <c r="E2094" t="s">
        <v>707</v>
      </c>
      <c r="F2094">
        <v>2019</v>
      </c>
      <c r="G2094" t="s">
        <v>708</v>
      </c>
      <c r="H2094" s="42" t="s">
        <v>57</v>
      </c>
      <c r="J2094" t="s">
        <v>248</v>
      </c>
      <c r="K2094" s="11" t="s">
        <v>709</v>
      </c>
      <c r="L2094" s="34">
        <v>2</v>
      </c>
      <c r="M2094" s="38">
        <v>0.75</v>
      </c>
      <c r="N2094" s="38">
        <f t="shared" si="32"/>
        <v>1.5</v>
      </c>
    </row>
    <row r="2095" spans="1:14">
      <c r="A2095" s="29">
        <v>43907</v>
      </c>
      <c r="B2095" s="22" t="s">
        <v>700</v>
      </c>
      <c r="C2095" s="22" t="s">
        <v>57</v>
      </c>
      <c r="D2095" s="48" t="s">
        <v>5</v>
      </c>
      <c r="E2095" t="s">
        <v>701</v>
      </c>
      <c r="F2095">
        <v>2019</v>
      </c>
      <c r="G2095" t="s">
        <v>664</v>
      </c>
      <c r="H2095" s="42" t="s">
        <v>702</v>
      </c>
      <c r="J2095" t="s">
        <v>248</v>
      </c>
      <c r="L2095" s="34">
        <v>2</v>
      </c>
      <c r="M2095" s="38">
        <v>0.75</v>
      </c>
      <c r="N2095" s="38">
        <f t="shared" si="32"/>
        <v>1.5</v>
      </c>
    </row>
    <row r="2096" spans="1:14">
      <c r="A2096" s="29">
        <v>43907</v>
      </c>
      <c r="B2096" s="22" t="s">
        <v>700</v>
      </c>
      <c r="C2096" s="22" t="s">
        <v>57</v>
      </c>
      <c r="D2096" s="48" t="s">
        <v>11</v>
      </c>
      <c r="E2096" t="s">
        <v>179</v>
      </c>
      <c r="F2096">
        <v>2019</v>
      </c>
      <c r="G2096" t="s">
        <v>664</v>
      </c>
      <c r="H2096" s="42">
        <v>131</v>
      </c>
      <c r="J2096" t="s">
        <v>248</v>
      </c>
      <c r="L2096" s="34">
        <v>2</v>
      </c>
      <c r="M2096" s="38">
        <v>0.75</v>
      </c>
      <c r="N2096" s="38">
        <f t="shared" si="32"/>
        <v>1.5</v>
      </c>
    </row>
    <row r="2097" spans="1:14">
      <c r="A2097" s="29">
        <v>43908</v>
      </c>
      <c r="B2097" s="22" t="s">
        <v>68</v>
      </c>
      <c r="C2097" s="22" t="s">
        <v>57</v>
      </c>
      <c r="D2097" s="48" t="s">
        <v>5</v>
      </c>
      <c r="E2097" t="s">
        <v>494</v>
      </c>
      <c r="F2097">
        <v>2019</v>
      </c>
      <c r="G2097" t="s">
        <v>494</v>
      </c>
      <c r="H2097" s="42">
        <v>199</v>
      </c>
      <c r="J2097" t="s">
        <v>248</v>
      </c>
      <c r="L2097" s="34">
        <v>2</v>
      </c>
      <c r="M2097" s="38">
        <v>0.75</v>
      </c>
      <c r="N2097" s="38">
        <f t="shared" si="32"/>
        <v>1.5</v>
      </c>
    </row>
    <row r="2098" spans="1:14">
      <c r="A2098" s="29">
        <v>43909</v>
      </c>
      <c r="B2098" s="22" t="s">
        <v>69</v>
      </c>
      <c r="C2098" s="22" t="s">
        <v>57</v>
      </c>
      <c r="D2098" s="48" t="s">
        <v>5</v>
      </c>
      <c r="E2098" t="s">
        <v>710</v>
      </c>
      <c r="F2098">
        <v>2019</v>
      </c>
      <c r="G2098" t="s">
        <v>703</v>
      </c>
      <c r="H2098" s="42" t="s">
        <v>57</v>
      </c>
      <c r="J2098" t="s">
        <v>248</v>
      </c>
      <c r="K2098" t="s">
        <v>711</v>
      </c>
      <c r="L2098" s="34">
        <v>2</v>
      </c>
      <c r="M2098" s="38">
        <v>0.75</v>
      </c>
      <c r="N2098" s="38">
        <f t="shared" si="32"/>
        <v>1.5</v>
      </c>
    </row>
    <row r="2099" spans="1:14">
      <c r="A2099" s="29">
        <v>43909</v>
      </c>
      <c r="B2099" s="22" t="s">
        <v>69</v>
      </c>
      <c r="C2099" s="22" t="s">
        <v>57</v>
      </c>
      <c r="D2099" s="48" t="s">
        <v>5</v>
      </c>
      <c r="E2099" t="s">
        <v>710</v>
      </c>
      <c r="F2099">
        <v>2019</v>
      </c>
      <c r="G2099" t="s">
        <v>705</v>
      </c>
      <c r="H2099" s="42" t="s">
        <v>57</v>
      </c>
      <c r="J2099" t="s">
        <v>248</v>
      </c>
      <c r="K2099" t="s">
        <v>712</v>
      </c>
      <c r="L2099" s="34">
        <v>2</v>
      </c>
      <c r="M2099" s="38">
        <v>0.75</v>
      </c>
      <c r="N2099" s="38">
        <f t="shared" si="32"/>
        <v>1.5</v>
      </c>
    </row>
    <row r="2100" spans="1:14">
      <c r="A2100" s="29">
        <v>43909</v>
      </c>
      <c r="B2100" s="22" t="s">
        <v>69</v>
      </c>
      <c r="C2100" s="22" t="s">
        <v>57</v>
      </c>
      <c r="D2100" s="48" t="s">
        <v>5</v>
      </c>
      <c r="E2100" t="s">
        <v>710</v>
      </c>
      <c r="F2100">
        <v>2019</v>
      </c>
      <c r="G2100" t="s">
        <v>708</v>
      </c>
      <c r="H2100" s="42" t="s">
        <v>57</v>
      </c>
      <c r="J2100" t="s">
        <v>248</v>
      </c>
      <c r="K2100" t="s">
        <v>713</v>
      </c>
      <c r="L2100" s="34">
        <v>2</v>
      </c>
      <c r="M2100" s="38">
        <v>0.75</v>
      </c>
      <c r="N2100" s="38">
        <f t="shared" si="32"/>
        <v>1.5</v>
      </c>
    </row>
    <row r="2101" spans="1:14">
      <c r="A2101" s="29">
        <v>43909</v>
      </c>
      <c r="B2101" s="22" t="s">
        <v>69</v>
      </c>
      <c r="C2101" s="22" t="s">
        <v>57</v>
      </c>
      <c r="D2101" s="48" t="s">
        <v>8</v>
      </c>
      <c r="E2101" t="s">
        <v>294</v>
      </c>
      <c r="F2101">
        <v>2019</v>
      </c>
      <c r="G2101" t="s">
        <v>703</v>
      </c>
      <c r="H2101" s="42" t="s">
        <v>57</v>
      </c>
      <c r="J2101" t="s">
        <v>248</v>
      </c>
      <c r="K2101" s="11" t="s">
        <v>704</v>
      </c>
      <c r="L2101" s="34">
        <v>2</v>
      </c>
      <c r="M2101" s="38">
        <v>0.75</v>
      </c>
      <c r="N2101" s="38">
        <f t="shared" si="32"/>
        <v>1.5</v>
      </c>
    </row>
    <row r="2102" spans="1:14">
      <c r="A2102" s="29">
        <v>43909</v>
      </c>
      <c r="B2102" s="22" t="s">
        <v>69</v>
      </c>
      <c r="C2102" s="22" t="s">
        <v>57</v>
      </c>
      <c r="D2102" s="48" t="s">
        <v>8</v>
      </c>
      <c r="E2102" t="s">
        <v>682</v>
      </c>
      <c r="F2102">
        <v>2019</v>
      </c>
      <c r="G2102" t="s">
        <v>705</v>
      </c>
      <c r="H2102" s="42" t="s">
        <v>57</v>
      </c>
      <c r="J2102" t="s">
        <v>248</v>
      </c>
      <c r="K2102" s="11" t="s">
        <v>706</v>
      </c>
      <c r="L2102" s="34">
        <v>2</v>
      </c>
      <c r="M2102" s="38">
        <v>0.75</v>
      </c>
      <c r="N2102" s="38">
        <f t="shared" si="32"/>
        <v>1.5</v>
      </c>
    </row>
    <row r="2103" spans="1:14">
      <c r="A2103" s="29">
        <v>43909</v>
      </c>
      <c r="B2103" s="22" t="s">
        <v>69</v>
      </c>
      <c r="C2103" s="22" t="s">
        <v>57</v>
      </c>
      <c r="D2103" s="48" t="s">
        <v>8</v>
      </c>
      <c r="E2103" t="s">
        <v>707</v>
      </c>
      <c r="F2103">
        <v>2019</v>
      </c>
      <c r="G2103" t="s">
        <v>708</v>
      </c>
      <c r="H2103" s="42" t="s">
        <v>57</v>
      </c>
      <c r="J2103" t="s">
        <v>248</v>
      </c>
      <c r="K2103" s="11" t="s">
        <v>709</v>
      </c>
      <c r="L2103" s="34">
        <v>2</v>
      </c>
      <c r="M2103" s="38">
        <v>0.75</v>
      </c>
      <c r="N2103" s="38">
        <f t="shared" si="32"/>
        <v>1.5</v>
      </c>
    </row>
    <row r="2104" spans="1:14">
      <c r="A2104" s="29">
        <v>43909</v>
      </c>
      <c r="B2104" s="22" t="s">
        <v>69</v>
      </c>
      <c r="C2104" s="22" t="s">
        <v>57</v>
      </c>
      <c r="D2104" s="48" t="s">
        <v>5</v>
      </c>
      <c r="E2104" t="s">
        <v>255</v>
      </c>
      <c r="F2104">
        <v>2019</v>
      </c>
      <c r="G2104" t="s">
        <v>500</v>
      </c>
      <c r="H2104" s="42">
        <v>12</v>
      </c>
      <c r="J2104" t="s">
        <v>248</v>
      </c>
      <c r="L2104" s="34">
        <v>2</v>
      </c>
      <c r="M2104" s="38">
        <v>0.75</v>
      </c>
      <c r="N2104" s="38">
        <f t="shared" si="32"/>
        <v>1.5</v>
      </c>
    </row>
    <row r="2105" spans="1:14">
      <c r="A2105" s="29">
        <v>43909</v>
      </c>
      <c r="B2105" s="22" t="s">
        <v>69</v>
      </c>
      <c r="C2105" s="22" t="s">
        <v>57</v>
      </c>
      <c r="D2105" s="48" t="s">
        <v>5</v>
      </c>
      <c r="E2105" t="s">
        <v>157</v>
      </c>
      <c r="F2105">
        <v>2019</v>
      </c>
      <c r="G2105" t="s">
        <v>500</v>
      </c>
      <c r="H2105" s="42">
        <v>122</v>
      </c>
      <c r="J2105" t="s">
        <v>248</v>
      </c>
      <c r="L2105" s="34">
        <v>2</v>
      </c>
      <c r="M2105" s="38">
        <v>0.75</v>
      </c>
      <c r="N2105" s="38">
        <f t="shared" si="32"/>
        <v>1.5</v>
      </c>
    </row>
    <row r="2106" spans="1:14">
      <c r="A2106" s="29">
        <v>43909</v>
      </c>
      <c r="B2106" s="22" t="s">
        <v>69</v>
      </c>
      <c r="C2106" s="22" t="s">
        <v>57</v>
      </c>
      <c r="D2106" s="48" t="s">
        <v>8</v>
      </c>
      <c r="E2106" t="s">
        <v>182</v>
      </c>
      <c r="F2106">
        <v>2019</v>
      </c>
      <c r="G2106" t="s">
        <v>500</v>
      </c>
      <c r="H2106" s="42">
        <v>21</v>
      </c>
      <c r="J2106" t="s">
        <v>248</v>
      </c>
      <c r="L2106" s="34">
        <v>2</v>
      </c>
      <c r="M2106" s="38">
        <v>0.75</v>
      </c>
      <c r="N2106" s="38">
        <f t="shared" si="32"/>
        <v>1.5</v>
      </c>
    </row>
    <row r="2107" spans="1:14">
      <c r="A2107" s="29">
        <v>43909</v>
      </c>
      <c r="B2107" s="22" t="s">
        <v>69</v>
      </c>
      <c r="C2107" s="22" t="s">
        <v>57</v>
      </c>
      <c r="D2107" s="48" t="s">
        <v>8</v>
      </c>
      <c r="E2107" t="s">
        <v>179</v>
      </c>
      <c r="F2107">
        <v>2019</v>
      </c>
      <c r="G2107" t="s">
        <v>109</v>
      </c>
      <c r="H2107" s="42">
        <v>15</v>
      </c>
      <c r="J2107" t="s">
        <v>248</v>
      </c>
      <c r="L2107" s="34">
        <v>2</v>
      </c>
      <c r="M2107" s="38">
        <v>0.75</v>
      </c>
      <c r="N2107" s="38">
        <f t="shared" si="32"/>
        <v>1.5</v>
      </c>
    </row>
    <row r="2108" spans="1:14">
      <c r="A2108" s="29">
        <v>43909</v>
      </c>
      <c r="B2108" s="22" t="s">
        <v>69</v>
      </c>
      <c r="C2108" s="22" t="s">
        <v>57</v>
      </c>
      <c r="D2108" s="48" t="s">
        <v>11</v>
      </c>
      <c r="E2108" t="s">
        <v>179</v>
      </c>
      <c r="F2108">
        <v>2019</v>
      </c>
      <c r="G2108" t="s">
        <v>500</v>
      </c>
      <c r="H2108" s="42">
        <v>129</v>
      </c>
      <c r="J2108" t="s">
        <v>248</v>
      </c>
      <c r="K2108" t="s">
        <v>714</v>
      </c>
      <c r="L2108" s="34">
        <v>2</v>
      </c>
      <c r="M2108" s="38">
        <v>0.75</v>
      </c>
      <c r="N2108" s="38">
        <f t="shared" si="32"/>
        <v>1.5</v>
      </c>
    </row>
    <row r="2109" spans="1:14">
      <c r="A2109" s="29">
        <v>43909</v>
      </c>
      <c r="B2109" s="22" t="s">
        <v>69</v>
      </c>
      <c r="C2109" s="22" t="s">
        <v>57</v>
      </c>
      <c r="D2109" s="48" t="s">
        <v>11</v>
      </c>
      <c r="E2109" t="s">
        <v>177</v>
      </c>
      <c r="F2109">
        <v>2019</v>
      </c>
      <c r="G2109" t="s">
        <v>500</v>
      </c>
      <c r="H2109" s="42">
        <v>136</v>
      </c>
      <c r="J2109" t="s">
        <v>248</v>
      </c>
      <c r="K2109" t="s">
        <v>715</v>
      </c>
      <c r="L2109" s="34">
        <v>2</v>
      </c>
      <c r="M2109" s="38">
        <v>0.75</v>
      </c>
      <c r="N2109" s="38">
        <f t="shared" si="32"/>
        <v>1.5</v>
      </c>
    </row>
    <row r="2110" spans="1:14">
      <c r="A2110" s="29">
        <v>43913</v>
      </c>
      <c r="B2110" s="22" t="s">
        <v>698</v>
      </c>
      <c r="C2110" s="22" t="s">
        <v>49</v>
      </c>
      <c r="D2110" s="48" t="s">
        <v>5</v>
      </c>
      <c r="E2110" t="s">
        <v>672</v>
      </c>
      <c r="F2110">
        <v>2019</v>
      </c>
      <c r="G2110" t="s">
        <v>57</v>
      </c>
      <c r="H2110" s="42" t="s">
        <v>57</v>
      </c>
      <c r="J2110" t="s">
        <v>248</v>
      </c>
      <c r="K2110" t="s">
        <v>673</v>
      </c>
      <c r="L2110" s="34">
        <v>6</v>
      </c>
      <c r="M2110" s="38">
        <v>0.75</v>
      </c>
      <c r="N2110" s="38">
        <f t="shared" si="32"/>
        <v>4.5</v>
      </c>
    </row>
    <row r="2111" spans="1:14" ht="30">
      <c r="A2111" s="29">
        <v>43923</v>
      </c>
      <c r="B2111" s="22" t="s">
        <v>69</v>
      </c>
      <c r="C2111" s="22" t="s">
        <v>57</v>
      </c>
      <c r="D2111" s="48" t="s">
        <v>8</v>
      </c>
      <c r="E2111" t="s">
        <v>294</v>
      </c>
      <c r="F2111">
        <v>2019</v>
      </c>
      <c r="G2111" t="s">
        <v>703</v>
      </c>
      <c r="H2111" s="42" t="s">
        <v>57</v>
      </c>
      <c r="J2111" t="s">
        <v>248</v>
      </c>
      <c r="K2111" s="11" t="s">
        <v>716</v>
      </c>
      <c r="L2111" s="34">
        <v>2</v>
      </c>
      <c r="M2111" s="38">
        <v>0.75</v>
      </c>
      <c r="N2111" s="38">
        <f t="shared" si="32"/>
        <v>1.5</v>
      </c>
    </row>
    <row r="2112" spans="1:14" ht="30">
      <c r="A2112" s="29">
        <v>43923</v>
      </c>
      <c r="B2112" s="22" t="s">
        <v>69</v>
      </c>
      <c r="C2112" s="22" t="s">
        <v>57</v>
      </c>
      <c r="D2112" s="48" t="s">
        <v>8</v>
      </c>
      <c r="E2112" t="s">
        <v>682</v>
      </c>
      <c r="F2112">
        <v>2019</v>
      </c>
      <c r="G2112" t="s">
        <v>705</v>
      </c>
      <c r="H2112" s="42" t="s">
        <v>57</v>
      </c>
      <c r="J2112" t="s">
        <v>248</v>
      </c>
      <c r="K2112" s="11" t="s">
        <v>717</v>
      </c>
      <c r="L2112" s="34">
        <v>2</v>
      </c>
      <c r="M2112" s="38">
        <v>0.75</v>
      </c>
      <c r="N2112" s="38">
        <f t="shared" si="32"/>
        <v>1.5</v>
      </c>
    </row>
    <row r="2113" spans="1:14" ht="30">
      <c r="A2113" s="29">
        <v>43923</v>
      </c>
      <c r="B2113" s="22" t="s">
        <v>69</v>
      </c>
      <c r="C2113" s="22" t="s">
        <v>57</v>
      </c>
      <c r="D2113" s="48" t="s">
        <v>8</v>
      </c>
      <c r="E2113" t="s">
        <v>707</v>
      </c>
      <c r="F2113">
        <v>2019</v>
      </c>
      <c r="G2113" t="s">
        <v>708</v>
      </c>
      <c r="H2113" s="42" t="s">
        <v>57</v>
      </c>
      <c r="J2113" t="s">
        <v>248</v>
      </c>
      <c r="K2113" s="11" t="s">
        <v>718</v>
      </c>
      <c r="L2113" s="34">
        <v>2</v>
      </c>
      <c r="M2113" s="38">
        <v>0.75</v>
      </c>
      <c r="N2113" s="38">
        <f t="shared" si="32"/>
        <v>1.5</v>
      </c>
    </row>
    <row r="2114" spans="1:14">
      <c r="A2114" s="29">
        <v>43930</v>
      </c>
      <c r="B2114" s="22" t="s">
        <v>293</v>
      </c>
      <c r="C2114" s="22" t="s">
        <v>41</v>
      </c>
      <c r="D2114" s="48" t="s">
        <v>11</v>
      </c>
      <c r="E2114" t="s">
        <v>179</v>
      </c>
      <c r="F2114">
        <v>2019</v>
      </c>
      <c r="G2114" t="s">
        <v>500</v>
      </c>
      <c r="H2114" s="42">
        <v>129</v>
      </c>
      <c r="J2114" t="s">
        <v>248</v>
      </c>
      <c r="L2114" s="34">
        <v>2</v>
      </c>
      <c r="M2114" s="38">
        <v>0.75</v>
      </c>
      <c r="N2114" s="38">
        <f t="shared" si="32"/>
        <v>1.5</v>
      </c>
    </row>
    <row r="2115" spans="1:14">
      <c r="A2115" s="29">
        <v>43930</v>
      </c>
      <c r="B2115" s="22" t="s">
        <v>293</v>
      </c>
      <c r="C2115" s="22" t="s">
        <v>41</v>
      </c>
      <c r="D2115" s="48" t="s">
        <v>11</v>
      </c>
      <c r="E2115" t="s">
        <v>177</v>
      </c>
      <c r="F2115">
        <v>2019</v>
      </c>
      <c r="G2115" t="s">
        <v>500</v>
      </c>
      <c r="H2115" s="42">
        <v>136</v>
      </c>
      <c r="J2115" t="s">
        <v>248</v>
      </c>
      <c r="L2115" s="34">
        <v>2</v>
      </c>
      <c r="M2115" s="38">
        <v>0.75</v>
      </c>
      <c r="N2115" s="38">
        <f t="shared" ref="N2115:N2178" si="33">M2115*L2115</f>
        <v>1.5</v>
      </c>
    </row>
    <row r="2116" spans="1:14">
      <c r="A2116" s="29">
        <v>43936</v>
      </c>
      <c r="B2116" s="22" t="s">
        <v>63</v>
      </c>
      <c r="C2116" s="22" t="s">
        <v>57</v>
      </c>
      <c r="D2116" s="48" t="s">
        <v>5</v>
      </c>
      <c r="E2116" t="s">
        <v>255</v>
      </c>
      <c r="F2116">
        <v>2019</v>
      </c>
      <c r="G2116" t="s">
        <v>618</v>
      </c>
      <c r="H2116" s="42">
        <v>47</v>
      </c>
      <c r="J2116" t="s">
        <v>248</v>
      </c>
      <c r="L2116" s="34">
        <v>2</v>
      </c>
      <c r="M2116" s="38">
        <v>0.75</v>
      </c>
      <c r="N2116" s="38">
        <f t="shared" si="33"/>
        <v>1.5</v>
      </c>
    </row>
    <row r="2117" spans="1:14">
      <c r="A2117" s="29">
        <v>43937</v>
      </c>
      <c r="B2117" s="22" t="s">
        <v>25</v>
      </c>
      <c r="C2117" s="22" t="s">
        <v>38</v>
      </c>
      <c r="D2117" s="48" t="s">
        <v>8</v>
      </c>
      <c r="E2117" t="s">
        <v>259</v>
      </c>
      <c r="F2117">
        <v>2019</v>
      </c>
      <c r="G2117" t="s">
        <v>57</v>
      </c>
      <c r="H2117" s="42">
        <v>332</v>
      </c>
      <c r="J2117" t="s">
        <v>248</v>
      </c>
      <c r="L2117" s="34">
        <v>2</v>
      </c>
      <c r="M2117" s="38">
        <v>0.75</v>
      </c>
      <c r="N2117" s="38">
        <f t="shared" si="33"/>
        <v>1.5</v>
      </c>
    </row>
    <row r="2118" spans="1:14">
      <c r="A2118" s="29">
        <v>43941</v>
      </c>
      <c r="B2118" s="22" t="s">
        <v>63</v>
      </c>
      <c r="C2118" s="22" t="s">
        <v>57</v>
      </c>
      <c r="D2118" s="48" t="s">
        <v>5</v>
      </c>
      <c r="E2118" t="s">
        <v>158</v>
      </c>
      <c r="F2118">
        <v>2019</v>
      </c>
      <c r="G2118" t="s">
        <v>500</v>
      </c>
      <c r="H2118" s="42">
        <v>44</v>
      </c>
      <c r="J2118" t="s">
        <v>248</v>
      </c>
      <c r="L2118" s="34">
        <v>2</v>
      </c>
      <c r="M2118" s="38">
        <v>0.75</v>
      </c>
      <c r="N2118" s="38">
        <f t="shared" si="33"/>
        <v>1.5</v>
      </c>
    </row>
    <row r="2119" spans="1:14">
      <c r="A2119" s="29">
        <v>43941</v>
      </c>
      <c r="B2119" s="22" t="s">
        <v>63</v>
      </c>
      <c r="C2119" s="22" t="s">
        <v>57</v>
      </c>
      <c r="D2119" s="48" t="s">
        <v>5</v>
      </c>
      <c r="E2119" t="s">
        <v>262</v>
      </c>
      <c r="F2119">
        <v>2019</v>
      </c>
      <c r="G2119" t="s">
        <v>494</v>
      </c>
      <c r="H2119" s="42">
        <v>23</v>
      </c>
      <c r="J2119" t="s">
        <v>248</v>
      </c>
      <c r="L2119" s="34">
        <v>2</v>
      </c>
      <c r="M2119" s="38">
        <v>0.75</v>
      </c>
      <c r="N2119" s="38">
        <f t="shared" si="33"/>
        <v>1.5</v>
      </c>
    </row>
    <row r="2120" spans="1:14">
      <c r="A2120" s="29">
        <v>43941</v>
      </c>
      <c r="B2120" s="22" t="s">
        <v>63</v>
      </c>
      <c r="C2120" s="22" t="s">
        <v>57</v>
      </c>
      <c r="D2120" s="48" t="s">
        <v>5</v>
      </c>
      <c r="E2120" t="s">
        <v>159</v>
      </c>
      <c r="F2120">
        <v>2019</v>
      </c>
      <c r="G2120" t="s">
        <v>63</v>
      </c>
      <c r="H2120" s="42">
        <v>29</v>
      </c>
      <c r="J2120" t="s">
        <v>248</v>
      </c>
      <c r="L2120" s="34">
        <v>2</v>
      </c>
      <c r="M2120" s="38">
        <v>0.75</v>
      </c>
      <c r="N2120" s="38">
        <f t="shared" si="33"/>
        <v>1.5</v>
      </c>
    </row>
    <row r="2121" spans="1:14">
      <c r="A2121" s="29">
        <v>43948</v>
      </c>
      <c r="B2121" s="22" t="s">
        <v>647</v>
      </c>
      <c r="C2121" s="22" t="s">
        <v>57</v>
      </c>
      <c r="D2121" s="48" t="s">
        <v>5</v>
      </c>
      <c r="E2121" t="s">
        <v>255</v>
      </c>
      <c r="F2121">
        <v>2019</v>
      </c>
      <c r="G2121" t="s">
        <v>500</v>
      </c>
      <c r="H2121" s="42">
        <v>12</v>
      </c>
      <c r="J2121" t="s">
        <v>248</v>
      </c>
      <c r="L2121" s="34">
        <v>4</v>
      </c>
      <c r="M2121" s="38">
        <v>0.75</v>
      </c>
      <c r="N2121" s="38">
        <f t="shared" si="33"/>
        <v>3</v>
      </c>
    </row>
    <row r="2122" spans="1:14">
      <c r="A2122" s="29">
        <v>43948</v>
      </c>
      <c r="B2122" s="22" t="s">
        <v>647</v>
      </c>
      <c r="C2122" s="22" t="s">
        <v>57</v>
      </c>
      <c r="D2122" s="48" t="s">
        <v>8</v>
      </c>
      <c r="E2122" t="s">
        <v>272</v>
      </c>
      <c r="F2122">
        <v>2019</v>
      </c>
      <c r="G2122" t="s">
        <v>374</v>
      </c>
      <c r="H2122" s="42">
        <v>10</v>
      </c>
      <c r="J2122" t="s">
        <v>248</v>
      </c>
      <c r="L2122" s="34">
        <v>4</v>
      </c>
      <c r="M2122" s="38">
        <v>0.75</v>
      </c>
      <c r="N2122" s="38">
        <f t="shared" si="33"/>
        <v>3</v>
      </c>
    </row>
    <row r="2123" spans="1:14" ht="30">
      <c r="A2123" s="29">
        <v>43949</v>
      </c>
      <c r="B2123" s="22" t="s">
        <v>688</v>
      </c>
      <c r="C2123" s="22" t="s">
        <v>719</v>
      </c>
      <c r="D2123" s="48" t="s">
        <v>11</v>
      </c>
      <c r="E2123" t="s">
        <v>689</v>
      </c>
      <c r="F2123">
        <v>2019</v>
      </c>
      <c r="G2123" t="s">
        <v>357</v>
      </c>
      <c r="H2123" s="42" t="s">
        <v>57</v>
      </c>
      <c r="J2123" t="s">
        <v>248</v>
      </c>
      <c r="K2123" s="10" t="s">
        <v>720</v>
      </c>
      <c r="L2123" s="34">
        <v>2</v>
      </c>
      <c r="M2123" s="38">
        <v>0.75</v>
      </c>
      <c r="N2123" s="39">
        <f t="shared" si="33"/>
        <v>1.5</v>
      </c>
    </row>
    <row r="2124" spans="1:14" ht="30">
      <c r="A2124" s="29">
        <v>43949</v>
      </c>
      <c r="B2124" s="22" t="s">
        <v>688</v>
      </c>
      <c r="C2124" s="22" t="s">
        <v>719</v>
      </c>
      <c r="D2124" s="48" t="s">
        <v>11</v>
      </c>
      <c r="E2124" t="s">
        <v>347</v>
      </c>
      <c r="F2124">
        <v>2019</v>
      </c>
      <c r="G2124" t="s">
        <v>721</v>
      </c>
      <c r="H2124" s="42" t="s">
        <v>57</v>
      </c>
      <c r="J2124" t="s">
        <v>248</v>
      </c>
      <c r="K2124" s="10" t="s">
        <v>722</v>
      </c>
      <c r="L2124" s="34">
        <v>2</v>
      </c>
      <c r="M2124" s="38">
        <v>0.75</v>
      </c>
      <c r="N2124" s="39">
        <f t="shared" si="33"/>
        <v>1.5</v>
      </c>
    </row>
    <row r="2125" spans="1:14" ht="30">
      <c r="A2125" s="29">
        <v>43949</v>
      </c>
      <c r="B2125" s="22" t="s">
        <v>69</v>
      </c>
      <c r="C2125" s="22" t="s">
        <v>57</v>
      </c>
      <c r="D2125" s="48" t="s">
        <v>8</v>
      </c>
      <c r="E2125" t="s">
        <v>294</v>
      </c>
      <c r="F2125">
        <v>2019</v>
      </c>
      <c r="G2125" t="s">
        <v>723</v>
      </c>
      <c r="H2125" s="42" t="s">
        <v>57</v>
      </c>
      <c r="J2125" t="s">
        <v>248</v>
      </c>
      <c r="K2125" s="11" t="s">
        <v>724</v>
      </c>
      <c r="L2125" s="34">
        <v>2</v>
      </c>
      <c r="M2125" s="38">
        <v>0.75</v>
      </c>
      <c r="N2125" s="38">
        <f t="shared" si="33"/>
        <v>1.5</v>
      </c>
    </row>
    <row r="2126" spans="1:14">
      <c r="A2126" s="29">
        <v>43949</v>
      </c>
      <c r="B2126" s="22" t="s">
        <v>69</v>
      </c>
      <c r="C2126" s="22" t="s">
        <v>57</v>
      </c>
      <c r="D2126" s="48" t="s">
        <v>5</v>
      </c>
      <c r="E2126" t="s">
        <v>710</v>
      </c>
      <c r="F2126">
        <v>2019</v>
      </c>
      <c r="G2126" t="s">
        <v>725</v>
      </c>
      <c r="H2126" s="42" t="s">
        <v>57</v>
      </c>
      <c r="J2126" t="s">
        <v>248</v>
      </c>
      <c r="K2126" s="11" t="s">
        <v>726</v>
      </c>
      <c r="L2126" s="34">
        <v>2</v>
      </c>
      <c r="M2126" s="38">
        <v>0.75</v>
      </c>
      <c r="N2126" s="38">
        <f t="shared" si="33"/>
        <v>1.5</v>
      </c>
    </row>
    <row r="2127" spans="1:14">
      <c r="A2127" s="29">
        <v>43949</v>
      </c>
      <c r="B2127" s="22" t="s">
        <v>698</v>
      </c>
      <c r="C2127" s="22" t="s">
        <v>49</v>
      </c>
      <c r="D2127" s="48" t="s">
        <v>5</v>
      </c>
      <c r="E2127" t="s">
        <v>672</v>
      </c>
      <c r="F2127">
        <v>2019</v>
      </c>
      <c r="G2127" t="s">
        <v>57</v>
      </c>
      <c r="H2127" s="42" t="s">
        <v>57</v>
      </c>
      <c r="J2127" t="s">
        <v>248</v>
      </c>
      <c r="K2127" t="s">
        <v>673</v>
      </c>
      <c r="L2127" s="34">
        <v>18</v>
      </c>
      <c r="M2127" s="38">
        <v>0.75</v>
      </c>
      <c r="N2127" s="38">
        <f t="shared" si="33"/>
        <v>13.5</v>
      </c>
    </row>
    <row r="2128" spans="1:14">
      <c r="A2128" s="29">
        <v>43950</v>
      </c>
      <c r="B2128" s="22" t="s">
        <v>3</v>
      </c>
      <c r="C2128" s="22" t="s">
        <v>57</v>
      </c>
      <c r="D2128" s="48" t="s">
        <v>5</v>
      </c>
      <c r="E2128" t="s">
        <v>158</v>
      </c>
      <c r="F2128">
        <v>2019</v>
      </c>
      <c r="G2128" t="s">
        <v>500</v>
      </c>
      <c r="H2128" s="42">
        <v>44</v>
      </c>
      <c r="J2128" t="s">
        <v>248</v>
      </c>
      <c r="L2128" s="34">
        <v>2</v>
      </c>
      <c r="M2128" s="38">
        <v>0.75</v>
      </c>
      <c r="N2128" s="38">
        <f t="shared" si="33"/>
        <v>1.5</v>
      </c>
    </row>
    <row r="2129" spans="1:14">
      <c r="A2129" s="29">
        <v>43957</v>
      </c>
      <c r="B2129" s="22" t="s">
        <v>57</v>
      </c>
      <c r="C2129" s="22" t="s">
        <v>53</v>
      </c>
      <c r="D2129" s="48" t="s">
        <v>5</v>
      </c>
      <c r="E2129" t="s">
        <v>267</v>
      </c>
      <c r="F2129">
        <v>2019</v>
      </c>
      <c r="G2129" t="s">
        <v>57</v>
      </c>
      <c r="H2129" s="42" t="s">
        <v>639</v>
      </c>
      <c r="J2129" t="s">
        <v>248</v>
      </c>
      <c r="L2129" s="34">
        <v>2</v>
      </c>
      <c r="M2129" s="38">
        <v>0.75</v>
      </c>
      <c r="N2129" s="38">
        <f t="shared" si="33"/>
        <v>1.5</v>
      </c>
    </row>
    <row r="2130" spans="1:14">
      <c r="A2130" s="29">
        <v>43957</v>
      </c>
      <c r="B2130" s="22" t="s">
        <v>57</v>
      </c>
      <c r="C2130" s="22" t="s">
        <v>53</v>
      </c>
      <c r="D2130" s="48" t="s">
        <v>5</v>
      </c>
      <c r="E2130" t="s">
        <v>287</v>
      </c>
      <c r="F2130">
        <v>2019</v>
      </c>
      <c r="G2130" t="s">
        <v>57</v>
      </c>
      <c r="H2130" s="42" t="s">
        <v>617</v>
      </c>
      <c r="J2130" t="s">
        <v>248</v>
      </c>
      <c r="L2130" s="34">
        <v>2</v>
      </c>
      <c r="M2130" s="38">
        <v>0.75</v>
      </c>
      <c r="N2130" s="38">
        <f t="shared" si="33"/>
        <v>1.5</v>
      </c>
    </row>
    <row r="2131" spans="1:14">
      <c r="A2131" s="29">
        <v>43963</v>
      </c>
      <c r="B2131" s="22" t="s">
        <v>57</v>
      </c>
      <c r="C2131" s="22" t="s">
        <v>49</v>
      </c>
      <c r="D2131" s="48" t="s">
        <v>5</v>
      </c>
      <c r="E2131" t="s">
        <v>158</v>
      </c>
      <c r="F2131">
        <v>2019</v>
      </c>
      <c r="G2131" t="s">
        <v>60</v>
      </c>
      <c r="H2131" s="42">
        <v>93</v>
      </c>
      <c r="J2131" t="s">
        <v>248</v>
      </c>
      <c r="L2131" s="34">
        <v>4</v>
      </c>
      <c r="M2131" s="38">
        <v>0.75</v>
      </c>
      <c r="N2131" s="38">
        <f t="shared" si="33"/>
        <v>3</v>
      </c>
    </row>
    <row r="2132" spans="1:14">
      <c r="A2132" s="29">
        <v>43963</v>
      </c>
      <c r="B2132" s="22" t="s">
        <v>3</v>
      </c>
      <c r="C2132" s="22" t="s">
        <v>57</v>
      </c>
      <c r="D2132" s="48" t="s">
        <v>5</v>
      </c>
      <c r="E2132" t="s">
        <v>158</v>
      </c>
      <c r="F2132">
        <v>2019</v>
      </c>
      <c r="G2132" t="s">
        <v>727</v>
      </c>
      <c r="H2132" s="42" t="s">
        <v>57</v>
      </c>
      <c r="J2132" t="s">
        <v>248</v>
      </c>
      <c r="K2132" t="s">
        <v>728</v>
      </c>
      <c r="L2132" s="34">
        <v>1</v>
      </c>
      <c r="M2132" s="38">
        <v>0.75</v>
      </c>
      <c r="N2132" s="38">
        <f t="shared" si="33"/>
        <v>0.75</v>
      </c>
    </row>
    <row r="2133" spans="1:14">
      <c r="A2133" s="29">
        <v>43963</v>
      </c>
      <c r="B2133" s="22" t="s">
        <v>3</v>
      </c>
      <c r="C2133" s="22" t="s">
        <v>57</v>
      </c>
      <c r="D2133" s="48" t="s">
        <v>5</v>
      </c>
      <c r="E2133" t="s">
        <v>158</v>
      </c>
      <c r="F2133">
        <v>2019</v>
      </c>
      <c r="G2133" t="s">
        <v>359</v>
      </c>
      <c r="H2133" s="42" t="s">
        <v>57</v>
      </c>
      <c r="J2133" t="s">
        <v>248</v>
      </c>
      <c r="K2133" t="s">
        <v>729</v>
      </c>
      <c r="L2133" s="34">
        <v>1</v>
      </c>
      <c r="M2133" s="38">
        <v>0.75</v>
      </c>
      <c r="N2133" s="38">
        <f t="shared" si="33"/>
        <v>0.75</v>
      </c>
    </row>
    <row r="2134" spans="1:14">
      <c r="A2134" s="29">
        <v>43963</v>
      </c>
      <c r="B2134" s="22" t="s">
        <v>3</v>
      </c>
      <c r="C2134" s="22" t="s">
        <v>57</v>
      </c>
      <c r="D2134" s="48" t="s">
        <v>5</v>
      </c>
      <c r="E2134" t="s">
        <v>307</v>
      </c>
      <c r="F2134">
        <v>2019</v>
      </c>
      <c r="G2134" t="s">
        <v>730</v>
      </c>
      <c r="H2134" s="42" t="s">
        <v>57</v>
      </c>
      <c r="J2134" t="s">
        <v>248</v>
      </c>
      <c r="K2134" t="s">
        <v>731</v>
      </c>
      <c r="L2134" s="34">
        <v>1</v>
      </c>
      <c r="M2134" s="38">
        <v>0.75</v>
      </c>
      <c r="N2134" s="38">
        <f t="shared" si="33"/>
        <v>0.75</v>
      </c>
    </row>
    <row r="2135" spans="1:14">
      <c r="A2135" s="29">
        <v>43963</v>
      </c>
      <c r="B2135" s="22" t="s">
        <v>3</v>
      </c>
      <c r="C2135" s="22" t="s">
        <v>57</v>
      </c>
      <c r="D2135" s="48" t="s">
        <v>11</v>
      </c>
      <c r="E2135" t="s">
        <v>179</v>
      </c>
      <c r="F2135">
        <v>2019</v>
      </c>
      <c r="G2135" t="s">
        <v>664</v>
      </c>
      <c r="H2135" s="42">
        <v>130</v>
      </c>
      <c r="J2135" t="s">
        <v>248</v>
      </c>
      <c r="L2135" s="34">
        <v>1</v>
      </c>
      <c r="M2135" s="38">
        <v>0.75</v>
      </c>
      <c r="N2135" s="38">
        <f t="shared" si="33"/>
        <v>0.75</v>
      </c>
    </row>
    <row r="2136" spans="1:14">
      <c r="A2136" s="29">
        <v>43964</v>
      </c>
      <c r="B2136" s="22" t="s">
        <v>69</v>
      </c>
      <c r="C2136" s="22" t="s">
        <v>57</v>
      </c>
      <c r="D2136" s="48" t="s">
        <v>5</v>
      </c>
      <c r="E2136" t="s">
        <v>710</v>
      </c>
      <c r="F2136">
        <v>2019</v>
      </c>
      <c r="G2136" t="s">
        <v>703</v>
      </c>
      <c r="H2136" s="42" t="s">
        <v>57</v>
      </c>
      <c r="J2136" t="s">
        <v>248</v>
      </c>
      <c r="K2136" t="s">
        <v>732</v>
      </c>
      <c r="L2136" s="34">
        <v>2</v>
      </c>
      <c r="M2136" s="38">
        <v>0.75</v>
      </c>
      <c r="N2136" s="38">
        <f t="shared" si="33"/>
        <v>1.5</v>
      </c>
    </row>
    <row r="2137" spans="1:14">
      <c r="A2137" s="29">
        <v>43964</v>
      </c>
      <c r="B2137" s="22" t="s">
        <v>69</v>
      </c>
      <c r="C2137" s="22" t="s">
        <v>57</v>
      </c>
      <c r="D2137" s="48" t="s">
        <v>5</v>
      </c>
      <c r="E2137" t="s">
        <v>710</v>
      </c>
      <c r="F2137">
        <v>2019</v>
      </c>
      <c r="G2137" t="s">
        <v>705</v>
      </c>
      <c r="H2137" s="42" t="s">
        <v>57</v>
      </c>
      <c r="J2137" t="s">
        <v>248</v>
      </c>
      <c r="K2137" t="s">
        <v>733</v>
      </c>
      <c r="L2137" s="34">
        <v>2</v>
      </c>
      <c r="M2137" s="38">
        <v>0.75</v>
      </c>
      <c r="N2137" s="38">
        <f t="shared" si="33"/>
        <v>1.5</v>
      </c>
    </row>
    <row r="2138" spans="1:14">
      <c r="A2138" s="29">
        <v>43964</v>
      </c>
      <c r="B2138" s="22" t="s">
        <v>69</v>
      </c>
      <c r="C2138" s="22" t="s">
        <v>57</v>
      </c>
      <c r="D2138" s="48" t="s">
        <v>5</v>
      </c>
      <c r="E2138" t="s">
        <v>710</v>
      </c>
      <c r="F2138">
        <v>2019</v>
      </c>
      <c r="G2138" t="s">
        <v>708</v>
      </c>
      <c r="H2138" s="42" t="s">
        <v>57</v>
      </c>
      <c r="J2138" t="s">
        <v>248</v>
      </c>
      <c r="K2138" t="s">
        <v>734</v>
      </c>
      <c r="L2138" s="34">
        <v>2</v>
      </c>
      <c r="M2138" s="38">
        <v>0.75</v>
      </c>
      <c r="N2138" s="38">
        <f t="shared" si="33"/>
        <v>1.5</v>
      </c>
    </row>
    <row r="2139" spans="1:14">
      <c r="A2139" s="29">
        <v>43965</v>
      </c>
      <c r="B2139" s="22" t="s">
        <v>57</v>
      </c>
      <c r="C2139" s="22" t="s">
        <v>53</v>
      </c>
      <c r="D2139" s="48" t="s">
        <v>5</v>
      </c>
      <c r="E2139" t="s">
        <v>267</v>
      </c>
      <c r="F2139">
        <v>2019</v>
      </c>
      <c r="G2139" t="s">
        <v>57</v>
      </c>
      <c r="H2139" s="42" t="s">
        <v>639</v>
      </c>
      <c r="J2139" t="s">
        <v>248</v>
      </c>
      <c r="K2139" t="s">
        <v>735</v>
      </c>
      <c r="L2139" s="34">
        <v>4</v>
      </c>
      <c r="M2139" s="38">
        <v>0.75</v>
      </c>
      <c r="N2139" s="38">
        <f t="shared" si="33"/>
        <v>3</v>
      </c>
    </row>
    <row r="2140" spans="1:14">
      <c r="A2140" s="29">
        <v>43965</v>
      </c>
      <c r="B2140" s="22" t="s">
        <v>57</v>
      </c>
      <c r="C2140" s="22" t="s">
        <v>53</v>
      </c>
      <c r="D2140" s="48" t="s">
        <v>5</v>
      </c>
      <c r="E2140" t="s">
        <v>287</v>
      </c>
      <c r="F2140">
        <v>2019</v>
      </c>
      <c r="G2140" t="s">
        <v>57</v>
      </c>
      <c r="H2140" s="42" t="s">
        <v>617</v>
      </c>
      <c r="J2140" t="s">
        <v>248</v>
      </c>
      <c r="K2140" t="s">
        <v>735</v>
      </c>
      <c r="L2140" s="34">
        <v>4</v>
      </c>
      <c r="M2140" s="38">
        <v>0.75</v>
      </c>
      <c r="N2140" s="38">
        <f t="shared" si="33"/>
        <v>3</v>
      </c>
    </row>
    <row r="2141" spans="1:14">
      <c r="A2141" s="29">
        <v>43976</v>
      </c>
      <c r="B2141" s="22" t="s">
        <v>63</v>
      </c>
      <c r="C2141" s="22" t="s">
        <v>57</v>
      </c>
      <c r="D2141" s="48" t="s">
        <v>5</v>
      </c>
      <c r="E2141" t="s">
        <v>159</v>
      </c>
      <c r="F2141">
        <v>2019</v>
      </c>
      <c r="G2141" t="s">
        <v>448</v>
      </c>
      <c r="H2141" s="42">
        <v>13</v>
      </c>
      <c r="J2141" t="s">
        <v>248</v>
      </c>
      <c r="L2141" s="34">
        <v>4</v>
      </c>
      <c r="M2141" s="38">
        <v>0.75</v>
      </c>
      <c r="N2141" s="38">
        <f t="shared" si="33"/>
        <v>3</v>
      </c>
    </row>
    <row r="2142" spans="1:14">
      <c r="A2142" s="29">
        <v>43976</v>
      </c>
      <c r="B2142" s="22" t="s">
        <v>63</v>
      </c>
      <c r="C2142" s="22" t="s">
        <v>57</v>
      </c>
      <c r="D2142" s="48" t="s">
        <v>5</v>
      </c>
      <c r="E2142" t="s">
        <v>157</v>
      </c>
      <c r="F2142">
        <v>2019</v>
      </c>
      <c r="G2142" t="s">
        <v>448</v>
      </c>
      <c r="H2142" s="42">
        <v>16</v>
      </c>
      <c r="J2142" t="s">
        <v>248</v>
      </c>
      <c r="L2142" s="34">
        <v>2</v>
      </c>
      <c r="M2142" s="38">
        <v>0.75</v>
      </c>
      <c r="N2142" s="38">
        <f t="shared" si="33"/>
        <v>1.5</v>
      </c>
    </row>
    <row r="2143" spans="1:14">
      <c r="A2143" s="29">
        <v>43976</v>
      </c>
      <c r="B2143" s="22" t="s">
        <v>63</v>
      </c>
      <c r="C2143" s="22" t="s">
        <v>57</v>
      </c>
      <c r="D2143" s="48" t="s">
        <v>5</v>
      </c>
      <c r="E2143" t="s">
        <v>262</v>
      </c>
      <c r="F2143">
        <v>2019</v>
      </c>
      <c r="G2143" t="s">
        <v>494</v>
      </c>
      <c r="H2143" s="42">
        <v>11</v>
      </c>
      <c r="J2143" t="s">
        <v>248</v>
      </c>
      <c r="L2143" s="34">
        <v>2</v>
      </c>
      <c r="M2143" s="38">
        <v>0.75</v>
      </c>
      <c r="N2143" s="38">
        <f t="shared" si="33"/>
        <v>1.5</v>
      </c>
    </row>
    <row r="2144" spans="1:14">
      <c r="A2144" s="29">
        <v>43976</v>
      </c>
      <c r="B2144" s="22" t="s">
        <v>63</v>
      </c>
      <c r="C2144" s="22" t="s">
        <v>57</v>
      </c>
      <c r="D2144" s="48" t="s">
        <v>5</v>
      </c>
      <c r="E2144" t="s">
        <v>158</v>
      </c>
      <c r="F2144">
        <v>2019</v>
      </c>
      <c r="G2144" t="s">
        <v>500</v>
      </c>
      <c r="H2144" s="42">
        <v>44</v>
      </c>
      <c r="J2144" t="s">
        <v>248</v>
      </c>
      <c r="L2144" s="34">
        <v>4</v>
      </c>
      <c r="M2144" s="38">
        <v>0.75</v>
      </c>
      <c r="N2144" s="38">
        <f t="shared" si="33"/>
        <v>3</v>
      </c>
    </row>
    <row r="2145" spans="1:14">
      <c r="A2145" s="29">
        <v>43987</v>
      </c>
      <c r="B2145" s="22" t="s">
        <v>13</v>
      </c>
      <c r="C2145" s="22" t="s">
        <v>57</v>
      </c>
      <c r="D2145" s="48" t="s">
        <v>5</v>
      </c>
      <c r="E2145" t="s">
        <v>157</v>
      </c>
      <c r="F2145">
        <v>2019</v>
      </c>
      <c r="G2145" t="s">
        <v>326</v>
      </c>
      <c r="H2145" s="42">
        <v>23</v>
      </c>
      <c r="J2145" t="s">
        <v>248</v>
      </c>
      <c r="L2145" s="34">
        <v>2</v>
      </c>
      <c r="M2145" s="38">
        <v>0.75</v>
      </c>
      <c r="N2145" s="38">
        <f t="shared" si="33"/>
        <v>1.5</v>
      </c>
    </row>
    <row r="2146" spans="1:14">
      <c r="A2146" s="29">
        <v>43990</v>
      </c>
      <c r="B2146" s="22" t="s">
        <v>60</v>
      </c>
      <c r="C2146" s="22" t="s">
        <v>7</v>
      </c>
      <c r="D2146" s="48" t="s">
        <v>8</v>
      </c>
      <c r="E2146" t="s">
        <v>615</v>
      </c>
      <c r="F2146">
        <v>2019</v>
      </c>
      <c r="G2146" t="s">
        <v>57</v>
      </c>
      <c r="H2146" s="42">
        <v>30</v>
      </c>
      <c r="J2146" t="s">
        <v>248</v>
      </c>
      <c r="K2146" t="s">
        <v>736</v>
      </c>
      <c r="L2146" s="34">
        <v>2</v>
      </c>
      <c r="M2146" s="38">
        <v>0.75</v>
      </c>
      <c r="N2146" s="38">
        <f t="shared" si="33"/>
        <v>1.5</v>
      </c>
    </row>
    <row r="2147" spans="1:14">
      <c r="A2147" s="29">
        <v>43992</v>
      </c>
      <c r="B2147" s="22" t="s">
        <v>123</v>
      </c>
      <c r="C2147" s="22" t="s">
        <v>45</v>
      </c>
      <c r="D2147" s="48" t="s">
        <v>5</v>
      </c>
      <c r="E2147" t="s">
        <v>157</v>
      </c>
      <c r="F2147">
        <v>2019</v>
      </c>
      <c r="G2147" t="s">
        <v>326</v>
      </c>
      <c r="H2147" s="42">
        <v>23</v>
      </c>
      <c r="J2147" t="s">
        <v>248</v>
      </c>
      <c r="L2147" s="34">
        <v>6</v>
      </c>
      <c r="M2147" s="38">
        <v>0.75</v>
      </c>
      <c r="N2147" s="38">
        <f t="shared" si="33"/>
        <v>4.5</v>
      </c>
    </row>
    <row r="2148" spans="1:14">
      <c r="A2148" s="29">
        <v>43992</v>
      </c>
      <c r="B2148" s="22" t="s">
        <v>647</v>
      </c>
      <c r="C2148" s="22" t="s">
        <v>57</v>
      </c>
      <c r="D2148" s="48" t="s">
        <v>8</v>
      </c>
      <c r="E2148" t="s">
        <v>272</v>
      </c>
      <c r="F2148">
        <v>2019</v>
      </c>
      <c r="G2148" t="s">
        <v>273</v>
      </c>
      <c r="H2148" s="42">
        <v>10</v>
      </c>
      <c r="J2148" t="s">
        <v>248</v>
      </c>
      <c r="L2148" s="34">
        <v>2</v>
      </c>
      <c r="M2148" s="38">
        <v>0.75</v>
      </c>
      <c r="N2148" s="38">
        <f t="shared" si="33"/>
        <v>1.5</v>
      </c>
    </row>
    <row r="2149" spans="1:14">
      <c r="A2149" s="29">
        <v>43994</v>
      </c>
      <c r="B2149" s="22" t="s">
        <v>74</v>
      </c>
      <c r="C2149" s="22" t="s">
        <v>57</v>
      </c>
      <c r="D2149" s="48" t="s">
        <v>5</v>
      </c>
      <c r="E2149" t="s">
        <v>307</v>
      </c>
      <c r="F2149">
        <v>2019</v>
      </c>
      <c r="G2149" t="s">
        <v>307</v>
      </c>
      <c r="H2149" s="42">
        <v>34</v>
      </c>
      <c r="J2149" t="s">
        <v>248</v>
      </c>
      <c r="L2149" s="34">
        <v>2</v>
      </c>
      <c r="M2149" s="38">
        <v>0.75</v>
      </c>
      <c r="N2149" s="38">
        <f t="shared" si="33"/>
        <v>1.5</v>
      </c>
    </row>
    <row r="2150" spans="1:14">
      <c r="A2150" s="29">
        <v>43997</v>
      </c>
      <c r="B2150" s="22" t="s">
        <v>109</v>
      </c>
      <c r="C2150" s="22" t="s">
        <v>57</v>
      </c>
      <c r="D2150" s="48" t="s">
        <v>5</v>
      </c>
      <c r="E2150" t="s">
        <v>494</v>
      </c>
      <c r="F2150">
        <v>2019</v>
      </c>
      <c r="G2150" t="s">
        <v>160</v>
      </c>
      <c r="H2150" s="42" t="s">
        <v>322</v>
      </c>
      <c r="J2150" t="s">
        <v>248</v>
      </c>
      <c r="L2150" s="34">
        <v>1</v>
      </c>
      <c r="M2150" s="38">
        <v>0.75</v>
      </c>
      <c r="N2150" s="38">
        <f t="shared" si="33"/>
        <v>0.75</v>
      </c>
    </row>
    <row r="2151" spans="1:14">
      <c r="A2151" s="29">
        <v>43997</v>
      </c>
      <c r="B2151" s="22" t="s">
        <v>109</v>
      </c>
      <c r="C2151" s="22" t="s">
        <v>57</v>
      </c>
      <c r="D2151" s="48" t="s">
        <v>5</v>
      </c>
      <c r="E2151" t="s">
        <v>494</v>
      </c>
      <c r="F2151">
        <v>2019</v>
      </c>
      <c r="G2151" t="s">
        <v>494</v>
      </c>
      <c r="H2151" s="42">
        <v>197</v>
      </c>
      <c r="J2151" t="s">
        <v>248</v>
      </c>
      <c r="L2151" s="34">
        <v>1</v>
      </c>
      <c r="M2151" s="38">
        <v>0.75</v>
      </c>
      <c r="N2151" s="38">
        <f t="shared" si="33"/>
        <v>0.75</v>
      </c>
    </row>
    <row r="2152" spans="1:14">
      <c r="A2152" s="29">
        <v>43997</v>
      </c>
      <c r="B2152" s="22" t="s">
        <v>42</v>
      </c>
      <c r="C2152" s="22" t="s">
        <v>57</v>
      </c>
      <c r="D2152" s="48" t="s">
        <v>8</v>
      </c>
      <c r="E2152" t="s">
        <v>502</v>
      </c>
      <c r="F2152">
        <v>2019</v>
      </c>
      <c r="G2152" t="s">
        <v>359</v>
      </c>
      <c r="H2152" s="42">
        <v>8</v>
      </c>
      <c r="J2152" t="s">
        <v>248</v>
      </c>
      <c r="L2152" s="34">
        <v>1</v>
      </c>
      <c r="M2152" s="38">
        <v>0.75</v>
      </c>
      <c r="N2152" s="38">
        <f t="shared" si="33"/>
        <v>0.75</v>
      </c>
    </row>
    <row r="2153" spans="1:14">
      <c r="A2153" s="29">
        <v>43997</v>
      </c>
      <c r="B2153" s="22" t="s">
        <v>109</v>
      </c>
      <c r="C2153" s="22" t="s">
        <v>57</v>
      </c>
      <c r="D2153" s="48" t="s">
        <v>8</v>
      </c>
      <c r="E2153" t="s">
        <v>502</v>
      </c>
      <c r="F2153">
        <v>2019</v>
      </c>
      <c r="G2153" t="s">
        <v>263</v>
      </c>
      <c r="H2153" s="42">
        <v>12</v>
      </c>
      <c r="J2153" t="s">
        <v>248</v>
      </c>
      <c r="L2153" s="34">
        <v>1</v>
      </c>
      <c r="M2153" s="38">
        <v>0.75</v>
      </c>
      <c r="N2153" s="38">
        <f t="shared" si="33"/>
        <v>0.75</v>
      </c>
    </row>
    <row r="2154" spans="1:14">
      <c r="A2154" s="29">
        <v>43997</v>
      </c>
      <c r="B2154" s="22" t="s">
        <v>109</v>
      </c>
      <c r="C2154" s="22" t="s">
        <v>57</v>
      </c>
      <c r="D2154" s="48" t="s">
        <v>5</v>
      </c>
      <c r="E2154" t="s">
        <v>159</v>
      </c>
      <c r="F2154">
        <v>2019</v>
      </c>
      <c r="G2154" t="s">
        <v>309</v>
      </c>
      <c r="H2154" s="42">
        <v>310</v>
      </c>
      <c r="J2154" t="s">
        <v>248</v>
      </c>
      <c r="L2154" s="34">
        <v>1</v>
      </c>
      <c r="M2154" s="38">
        <v>0.75</v>
      </c>
      <c r="N2154" s="38">
        <f t="shared" si="33"/>
        <v>0.75</v>
      </c>
    </row>
    <row r="2155" spans="1:14">
      <c r="A2155" s="29">
        <v>43997</v>
      </c>
      <c r="B2155" s="22" t="s">
        <v>109</v>
      </c>
      <c r="C2155" s="22" t="s">
        <v>57</v>
      </c>
      <c r="D2155" s="48" t="s">
        <v>5</v>
      </c>
      <c r="E2155" t="s">
        <v>157</v>
      </c>
      <c r="F2155">
        <v>2019</v>
      </c>
      <c r="G2155" t="s">
        <v>309</v>
      </c>
      <c r="H2155" s="42">
        <v>311</v>
      </c>
      <c r="J2155" t="s">
        <v>248</v>
      </c>
      <c r="L2155" s="34">
        <v>1</v>
      </c>
      <c r="M2155" s="38">
        <v>0.75</v>
      </c>
      <c r="N2155" s="38">
        <f t="shared" si="33"/>
        <v>0.75</v>
      </c>
    </row>
    <row r="2156" spans="1:14">
      <c r="A2156" s="29">
        <v>43997</v>
      </c>
      <c r="B2156" s="22" t="s">
        <v>109</v>
      </c>
      <c r="C2156" s="22" t="s">
        <v>57</v>
      </c>
      <c r="D2156" s="48" t="s">
        <v>8</v>
      </c>
      <c r="E2156" t="s">
        <v>179</v>
      </c>
      <c r="F2156">
        <v>2019</v>
      </c>
      <c r="G2156" t="s">
        <v>309</v>
      </c>
      <c r="H2156" s="42">
        <v>15</v>
      </c>
      <c r="J2156" t="s">
        <v>248</v>
      </c>
      <c r="L2156" s="34">
        <v>1</v>
      </c>
      <c r="M2156" s="38">
        <v>0.75</v>
      </c>
      <c r="N2156" s="38">
        <f t="shared" si="33"/>
        <v>0.75</v>
      </c>
    </row>
    <row r="2157" spans="1:14">
      <c r="A2157" s="29">
        <v>43997</v>
      </c>
      <c r="B2157" s="22" t="s">
        <v>109</v>
      </c>
      <c r="C2157" s="22" t="s">
        <v>57</v>
      </c>
      <c r="D2157" s="48" t="s">
        <v>5</v>
      </c>
      <c r="E2157" t="s">
        <v>503</v>
      </c>
      <c r="F2157">
        <v>2019</v>
      </c>
      <c r="G2157" t="s">
        <v>57</v>
      </c>
      <c r="H2157" s="42" t="s">
        <v>57</v>
      </c>
      <c r="J2157" t="s">
        <v>248</v>
      </c>
      <c r="L2157" s="34">
        <v>1</v>
      </c>
      <c r="M2157" s="38">
        <v>0.75</v>
      </c>
      <c r="N2157" s="38">
        <f t="shared" si="33"/>
        <v>0.75</v>
      </c>
    </row>
    <row r="2158" spans="1:14">
      <c r="A2158" s="29">
        <v>44008</v>
      </c>
      <c r="B2158" s="22" t="s">
        <v>113</v>
      </c>
      <c r="C2158" s="22" t="s">
        <v>57</v>
      </c>
      <c r="D2158" s="48" t="s">
        <v>5</v>
      </c>
      <c r="E2158" t="s">
        <v>157</v>
      </c>
      <c r="F2158">
        <v>2019</v>
      </c>
      <c r="G2158" t="s">
        <v>257</v>
      </c>
      <c r="H2158" s="42" t="s">
        <v>57</v>
      </c>
      <c r="J2158" t="s">
        <v>248</v>
      </c>
      <c r="K2158" t="s">
        <v>737</v>
      </c>
      <c r="L2158" s="34">
        <v>2</v>
      </c>
      <c r="M2158" s="38">
        <v>0.75</v>
      </c>
      <c r="N2158" s="38">
        <f t="shared" si="33"/>
        <v>1.5</v>
      </c>
    </row>
    <row r="2159" spans="1:14">
      <c r="A2159" s="29">
        <v>44013</v>
      </c>
      <c r="B2159" s="22" t="s">
        <v>738</v>
      </c>
      <c r="C2159" s="22" t="s">
        <v>57</v>
      </c>
      <c r="D2159" s="48" t="s">
        <v>11</v>
      </c>
      <c r="E2159" t="s">
        <v>179</v>
      </c>
      <c r="F2159">
        <v>2019</v>
      </c>
      <c r="G2159" t="s">
        <v>664</v>
      </c>
      <c r="H2159" s="42">
        <v>131</v>
      </c>
      <c r="J2159" t="s">
        <v>248</v>
      </c>
      <c r="K2159" t="s">
        <v>739</v>
      </c>
      <c r="L2159" s="34">
        <v>2</v>
      </c>
      <c r="M2159" s="38">
        <v>0.75</v>
      </c>
      <c r="N2159" s="38">
        <f t="shared" si="33"/>
        <v>1.5</v>
      </c>
    </row>
    <row r="2160" spans="1:14">
      <c r="A2160" s="29">
        <v>44013</v>
      </c>
      <c r="B2160" s="22" t="s">
        <v>109</v>
      </c>
      <c r="C2160" s="22" t="s">
        <v>57</v>
      </c>
      <c r="D2160" s="48" t="s">
        <v>5</v>
      </c>
      <c r="E2160" t="s">
        <v>159</v>
      </c>
      <c r="F2160">
        <v>2019</v>
      </c>
      <c r="G2160" t="s">
        <v>309</v>
      </c>
      <c r="H2160" s="42">
        <v>310</v>
      </c>
      <c r="J2160" t="s">
        <v>248</v>
      </c>
      <c r="L2160" s="34">
        <v>2</v>
      </c>
      <c r="M2160" s="38">
        <v>0.75</v>
      </c>
      <c r="N2160" s="38">
        <f t="shared" si="33"/>
        <v>1.5</v>
      </c>
    </row>
    <row r="2161" spans="1:14">
      <c r="A2161" s="29">
        <v>44018</v>
      </c>
      <c r="B2161" s="22" t="s">
        <v>81</v>
      </c>
      <c r="C2161" s="22" t="s">
        <v>57</v>
      </c>
      <c r="D2161" s="48" t="s">
        <v>5</v>
      </c>
      <c r="E2161" t="s">
        <v>159</v>
      </c>
      <c r="F2161">
        <v>2019</v>
      </c>
      <c r="G2161" t="s">
        <v>309</v>
      </c>
      <c r="H2161" s="42">
        <v>324</v>
      </c>
      <c r="J2161" t="s">
        <v>248</v>
      </c>
      <c r="L2161" s="34">
        <v>12</v>
      </c>
      <c r="M2161" s="38">
        <v>0.75</v>
      </c>
      <c r="N2161" s="38">
        <f t="shared" si="33"/>
        <v>9</v>
      </c>
    </row>
    <row r="2162" spans="1:14">
      <c r="A2162" s="29">
        <v>44018</v>
      </c>
      <c r="B2162" s="22" t="s">
        <v>19</v>
      </c>
      <c r="C2162" s="22" t="s">
        <v>47</v>
      </c>
      <c r="D2162" s="48" t="s">
        <v>5</v>
      </c>
      <c r="E2162" t="s">
        <v>161</v>
      </c>
      <c r="F2162">
        <v>2019</v>
      </c>
      <c r="G2162" t="s">
        <v>57</v>
      </c>
      <c r="H2162" s="42" t="s">
        <v>740</v>
      </c>
      <c r="J2162" t="s">
        <v>248</v>
      </c>
      <c r="L2162" s="34">
        <v>1</v>
      </c>
      <c r="M2162" s="38">
        <v>0.75</v>
      </c>
      <c r="N2162" s="38">
        <f t="shared" si="33"/>
        <v>0.75</v>
      </c>
    </row>
    <row r="2163" spans="1:14">
      <c r="A2163" s="29">
        <v>44018</v>
      </c>
      <c r="B2163" s="22" t="s">
        <v>3</v>
      </c>
      <c r="C2163" s="22" t="s">
        <v>57</v>
      </c>
      <c r="D2163" s="48" t="s">
        <v>5</v>
      </c>
      <c r="E2163" t="s">
        <v>158</v>
      </c>
      <c r="F2163">
        <v>2019</v>
      </c>
      <c r="G2163" t="s">
        <v>500</v>
      </c>
      <c r="H2163" s="42" t="s">
        <v>512</v>
      </c>
      <c r="J2163" t="s">
        <v>248</v>
      </c>
      <c r="L2163" s="34">
        <v>2</v>
      </c>
      <c r="M2163" s="38">
        <v>0.75</v>
      </c>
      <c r="N2163" s="38">
        <f t="shared" si="33"/>
        <v>1.5</v>
      </c>
    </row>
    <row r="2164" spans="1:14">
      <c r="A2164" s="29">
        <v>44018</v>
      </c>
      <c r="B2164" s="22" t="s">
        <v>3</v>
      </c>
      <c r="C2164" s="22" t="s">
        <v>57</v>
      </c>
      <c r="D2164" s="48" t="s">
        <v>8</v>
      </c>
      <c r="E2164" t="s">
        <v>183</v>
      </c>
      <c r="F2164">
        <v>2019</v>
      </c>
      <c r="G2164" t="s">
        <v>741</v>
      </c>
      <c r="H2164" s="42">
        <v>76</v>
      </c>
      <c r="J2164" t="s">
        <v>248</v>
      </c>
      <c r="L2164" s="34">
        <v>2</v>
      </c>
      <c r="M2164" s="38">
        <v>0.75</v>
      </c>
      <c r="N2164" s="38">
        <f t="shared" si="33"/>
        <v>1.5</v>
      </c>
    </row>
    <row r="2165" spans="1:14">
      <c r="A2165" s="29">
        <v>44053</v>
      </c>
      <c r="B2165" s="22" t="s">
        <v>63</v>
      </c>
      <c r="C2165" s="22" t="s">
        <v>57</v>
      </c>
      <c r="D2165" s="48" t="s">
        <v>5</v>
      </c>
      <c r="E2165" t="s">
        <v>159</v>
      </c>
      <c r="F2165">
        <v>2019</v>
      </c>
      <c r="G2165" t="s">
        <v>448</v>
      </c>
      <c r="H2165" s="42" t="s">
        <v>742</v>
      </c>
      <c r="J2165" t="s">
        <v>248</v>
      </c>
      <c r="L2165" s="34">
        <v>3</v>
      </c>
      <c r="M2165" s="38">
        <v>0.75</v>
      </c>
      <c r="N2165" s="38">
        <f t="shared" si="33"/>
        <v>2.25</v>
      </c>
    </row>
    <row r="2166" spans="1:14">
      <c r="A2166" s="29">
        <v>44123</v>
      </c>
      <c r="B2166" s="22" t="s">
        <v>63</v>
      </c>
      <c r="C2166" s="22" t="s">
        <v>57</v>
      </c>
      <c r="D2166" s="48" t="s">
        <v>5</v>
      </c>
      <c r="E2166" t="s">
        <v>157</v>
      </c>
      <c r="F2166">
        <v>2020</v>
      </c>
      <c r="G2166" t="s">
        <v>326</v>
      </c>
      <c r="H2166" s="42" t="s">
        <v>57</v>
      </c>
      <c r="J2166" t="s">
        <v>248</v>
      </c>
      <c r="L2166" s="34">
        <v>6</v>
      </c>
      <c r="M2166" s="38">
        <v>0.75</v>
      </c>
      <c r="N2166" s="38">
        <f t="shared" si="33"/>
        <v>4.5</v>
      </c>
    </row>
    <row r="2167" spans="1:14">
      <c r="A2167" s="29">
        <v>44123</v>
      </c>
      <c r="B2167" s="22" t="s">
        <v>63</v>
      </c>
      <c r="C2167" s="22" t="s">
        <v>57</v>
      </c>
      <c r="D2167" s="48" t="s">
        <v>5</v>
      </c>
      <c r="E2167" t="s">
        <v>157</v>
      </c>
      <c r="F2167">
        <v>2020</v>
      </c>
      <c r="G2167" t="s">
        <v>247</v>
      </c>
      <c r="H2167" s="42" t="s">
        <v>57</v>
      </c>
      <c r="J2167" t="s">
        <v>248</v>
      </c>
      <c r="L2167" s="34">
        <v>6</v>
      </c>
      <c r="M2167" s="38">
        <v>0.75</v>
      </c>
      <c r="N2167" s="38">
        <f t="shared" si="33"/>
        <v>4.5</v>
      </c>
    </row>
    <row r="2168" spans="1:14">
      <c r="A2168" s="29">
        <v>44123</v>
      </c>
      <c r="B2168" s="22" t="s">
        <v>63</v>
      </c>
      <c r="C2168" s="22" t="s">
        <v>57</v>
      </c>
      <c r="D2168" s="48" t="s">
        <v>5</v>
      </c>
      <c r="E2168" t="s">
        <v>255</v>
      </c>
      <c r="F2168">
        <v>2020</v>
      </c>
      <c r="G2168" t="s">
        <v>326</v>
      </c>
      <c r="H2168" s="42" t="s">
        <v>57</v>
      </c>
      <c r="J2168" t="s">
        <v>248</v>
      </c>
      <c r="L2168" s="34">
        <v>6</v>
      </c>
      <c r="M2168" s="38">
        <v>0.75</v>
      </c>
      <c r="N2168" s="38">
        <f t="shared" si="33"/>
        <v>4.5</v>
      </c>
    </row>
    <row r="2169" spans="1:14">
      <c r="A2169" s="29">
        <v>44123</v>
      </c>
      <c r="B2169" s="22" t="s">
        <v>63</v>
      </c>
      <c r="C2169" s="22" t="s">
        <v>57</v>
      </c>
      <c r="D2169" s="48" t="s">
        <v>5</v>
      </c>
      <c r="E2169" t="s">
        <v>255</v>
      </c>
      <c r="F2169">
        <v>2020</v>
      </c>
      <c r="G2169" t="s">
        <v>247</v>
      </c>
      <c r="H2169" s="42" t="s">
        <v>57</v>
      </c>
      <c r="J2169" t="s">
        <v>248</v>
      </c>
      <c r="L2169" s="34">
        <v>6</v>
      </c>
      <c r="M2169" s="38">
        <v>0.752</v>
      </c>
      <c r="N2169" s="38">
        <f t="shared" si="33"/>
        <v>4.5120000000000005</v>
      </c>
    </row>
    <row r="2170" spans="1:14">
      <c r="A2170" s="29">
        <v>44123</v>
      </c>
      <c r="B2170" s="22" t="s">
        <v>109</v>
      </c>
      <c r="C2170" s="22" t="s">
        <v>57</v>
      </c>
      <c r="D2170" s="48" t="s">
        <v>5</v>
      </c>
      <c r="E2170" t="s">
        <v>743</v>
      </c>
      <c r="F2170">
        <v>2020</v>
      </c>
      <c r="G2170" t="s">
        <v>57</v>
      </c>
      <c r="H2170" s="42" t="s">
        <v>744</v>
      </c>
      <c r="J2170" t="s">
        <v>248</v>
      </c>
      <c r="L2170" s="34">
        <v>3</v>
      </c>
      <c r="M2170" s="38">
        <v>0.75</v>
      </c>
      <c r="N2170" s="38">
        <f t="shared" si="33"/>
        <v>2.25</v>
      </c>
    </row>
    <row r="2171" spans="1:14">
      <c r="A2171" s="29">
        <v>44123</v>
      </c>
      <c r="B2171" s="22" t="s">
        <v>109</v>
      </c>
      <c r="C2171" s="22" t="s">
        <v>57</v>
      </c>
      <c r="D2171" s="48" t="s">
        <v>5</v>
      </c>
      <c r="E2171" t="s">
        <v>743</v>
      </c>
      <c r="F2171">
        <v>2020</v>
      </c>
      <c r="G2171" t="s">
        <v>57</v>
      </c>
      <c r="H2171" s="42" t="s">
        <v>745</v>
      </c>
      <c r="J2171" t="s">
        <v>248</v>
      </c>
      <c r="L2171" s="34">
        <v>3</v>
      </c>
      <c r="M2171" s="38">
        <v>0.75</v>
      </c>
      <c r="N2171" s="38">
        <f t="shared" si="33"/>
        <v>2.25</v>
      </c>
    </row>
    <row r="2172" spans="1:14">
      <c r="A2172" s="29">
        <v>44123</v>
      </c>
      <c r="B2172" s="22" t="s">
        <v>109</v>
      </c>
      <c r="C2172" s="22" t="s">
        <v>57</v>
      </c>
      <c r="D2172" s="48" t="s">
        <v>8</v>
      </c>
      <c r="E2172" t="s">
        <v>272</v>
      </c>
      <c r="F2172">
        <v>2020</v>
      </c>
      <c r="G2172" t="s">
        <v>57</v>
      </c>
      <c r="H2172" s="42" t="s">
        <v>746</v>
      </c>
      <c r="J2172" t="s">
        <v>248</v>
      </c>
      <c r="L2172" s="34">
        <v>2</v>
      </c>
      <c r="M2172" s="38">
        <v>0.75</v>
      </c>
      <c r="N2172" s="38">
        <f t="shared" si="33"/>
        <v>1.5</v>
      </c>
    </row>
    <row r="2173" spans="1:14">
      <c r="A2173" s="29">
        <v>44123</v>
      </c>
      <c r="B2173" s="22" t="s">
        <v>109</v>
      </c>
      <c r="C2173" s="22" t="s">
        <v>57</v>
      </c>
      <c r="D2173" s="48" t="s">
        <v>8</v>
      </c>
      <c r="E2173" t="s">
        <v>185</v>
      </c>
      <c r="F2173">
        <v>2020</v>
      </c>
      <c r="G2173" t="s">
        <v>57</v>
      </c>
      <c r="H2173" s="42" t="s">
        <v>747</v>
      </c>
      <c r="J2173" t="s">
        <v>248</v>
      </c>
      <c r="L2173" s="34">
        <v>2</v>
      </c>
      <c r="M2173" s="38">
        <v>0.75</v>
      </c>
      <c r="N2173" s="38">
        <f t="shared" si="33"/>
        <v>1.5</v>
      </c>
    </row>
    <row r="2174" spans="1:14">
      <c r="A2174" s="29">
        <v>44123</v>
      </c>
      <c r="B2174" s="22" t="s">
        <v>109</v>
      </c>
      <c r="C2174" s="22" t="s">
        <v>57</v>
      </c>
      <c r="D2174" s="48" t="s">
        <v>8</v>
      </c>
      <c r="E2174" t="s">
        <v>272</v>
      </c>
      <c r="F2174">
        <v>2020</v>
      </c>
      <c r="G2174" t="s">
        <v>57</v>
      </c>
      <c r="H2174" s="42" t="s">
        <v>748</v>
      </c>
      <c r="J2174" t="s">
        <v>248</v>
      </c>
      <c r="L2174" s="34">
        <v>6</v>
      </c>
      <c r="M2174" s="38">
        <v>0.75</v>
      </c>
      <c r="N2174" s="38">
        <f t="shared" si="33"/>
        <v>4.5</v>
      </c>
    </row>
    <row r="2175" spans="1:14">
      <c r="A2175" s="29">
        <v>44123</v>
      </c>
      <c r="B2175" s="22" t="s">
        <v>109</v>
      </c>
      <c r="C2175" s="22" t="s">
        <v>57</v>
      </c>
      <c r="D2175" s="48" t="s">
        <v>8</v>
      </c>
      <c r="E2175" t="s">
        <v>749</v>
      </c>
      <c r="F2175">
        <v>2020</v>
      </c>
      <c r="G2175" t="s">
        <v>57</v>
      </c>
      <c r="H2175" s="42" t="s">
        <v>750</v>
      </c>
      <c r="J2175" t="s">
        <v>248</v>
      </c>
      <c r="L2175" s="34">
        <v>2</v>
      </c>
      <c r="M2175" s="38">
        <v>0.75</v>
      </c>
      <c r="N2175" s="38">
        <f t="shared" si="33"/>
        <v>1.5</v>
      </c>
    </row>
    <row r="2176" spans="1:14">
      <c r="A2176" s="29">
        <v>44123</v>
      </c>
      <c r="B2176" s="22" t="s">
        <v>109</v>
      </c>
      <c r="C2176" s="22" t="s">
        <v>57</v>
      </c>
      <c r="D2176" s="48" t="s">
        <v>5</v>
      </c>
      <c r="E2176" t="s">
        <v>160</v>
      </c>
      <c r="F2176">
        <v>2020</v>
      </c>
      <c r="G2176" t="s">
        <v>57</v>
      </c>
      <c r="H2176" s="42" t="s">
        <v>751</v>
      </c>
      <c r="J2176" t="s">
        <v>248</v>
      </c>
      <c r="L2176" s="34">
        <v>2</v>
      </c>
      <c r="M2176" s="38">
        <v>0.75</v>
      </c>
      <c r="N2176" s="38">
        <f t="shared" si="33"/>
        <v>1.5</v>
      </c>
    </row>
    <row r="2177" spans="1:14">
      <c r="A2177" s="29">
        <v>44123</v>
      </c>
      <c r="B2177" s="22" t="s">
        <v>109</v>
      </c>
      <c r="C2177" s="22" t="s">
        <v>57</v>
      </c>
      <c r="D2177" s="48" t="s">
        <v>8</v>
      </c>
      <c r="E2177" t="s">
        <v>179</v>
      </c>
      <c r="F2177">
        <v>2020</v>
      </c>
      <c r="G2177" t="s">
        <v>57</v>
      </c>
      <c r="H2177" s="42" t="s">
        <v>752</v>
      </c>
      <c r="J2177" t="s">
        <v>248</v>
      </c>
      <c r="L2177" s="34">
        <v>6</v>
      </c>
      <c r="M2177" s="38">
        <v>0.75</v>
      </c>
      <c r="N2177" s="38">
        <f t="shared" si="33"/>
        <v>4.5</v>
      </c>
    </row>
    <row r="2178" spans="1:14">
      <c r="A2178" s="29">
        <v>44123</v>
      </c>
      <c r="B2178" s="22" t="s">
        <v>109</v>
      </c>
      <c r="C2178" s="22" t="s">
        <v>57</v>
      </c>
      <c r="D2178" s="48" t="s">
        <v>8</v>
      </c>
      <c r="E2178" t="s">
        <v>272</v>
      </c>
      <c r="F2178">
        <v>2020</v>
      </c>
      <c r="G2178" t="s">
        <v>57</v>
      </c>
      <c r="H2178" s="42" t="s">
        <v>753</v>
      </c>
      <c r="J2178" t="s">
        <v>248</v>
      </c>
      <c r="L2178" s="34">
        <v>4</v>
      </c>
      <c r="M2178" s="38">
        <v>0.75</v>
      </c>
      <c r="N2178" s="38">
        <f t="shared" si="33"/>
        <v>3</v>
      </c>
    </row>
    <row r="2179" spans="1:14">
      <c r="A2179" s="29">
        <v>44123</v>
      </c>
      <c r="B2179" s="22" t="s">
        <v>109</v>
      </c>
      <c r="C2179" s="22" t="s">
        <v>57</v>
      </c>
      <c r="D2179" s="48" t="s">
        <v>8</v>
      </c>
      <c r="E2179" t="s">
        <v>185</v>
      </c>
      <c r="F2179">
        <v>2020</v>
      </c>
      <c r="G2179" t="s">
        <v>57</v>
      </c>
      <c r="H2179" s="42" t="s">
        <v>754</v>
      </c>
      <c r="J2179" t="s">
        <v>248</v>
      </c>
      <c r="L2179" s="34">
        <v>2</v>
      </c>
      <c r="M2179" s="38">
        <v>0.75</v>
      </c>
      <c r="N2179" s="38">
        <f t="shared" ref="N2179:N2242" si="34">M2179*L2179</f>
        <v>1.5</v>
      </c>
    </row>
    <row r="2180" spans="1:14">
      <c r="A2180" s="29">
        <v>44123</v>
      </c>
      <c r="B2180" s="22" t="s">
        <v>109</v>
      </c>
      <c r="C2180" s="22" t="s">
        <v>57</v>
      </c>
      <c r="D2180" s="48" t="s">
        <v>8</v>
      </c>
      <c r="E2180" t="s">
        <v>755</v>
      </c>
      <c r="F2180">
        <v>2020</v>
      </c>
      <c r="G2180" t="s">
        <v>57</v>
      </c>
      <c r="H2180" s="42" t="s">
        <v>756</v>
      </c>
      <c r="J2180" t="s">
        <v>248</v>
      </c>
      <c r="L2180" s="34">
        <v>2</v>
      </c>
      <c r="M2180" s="38">
        <v>0.75</v>
      </c>
      <c r="N2180" s="38">
        <f t="shared" si="34"/>
        <v>1.5</v>
      </c>
    </row>
    <row r="2181" spans="1:14">
      <c r="A2181" s="29">
        <v>44123</v>
      </c>
      <c r="B2181" s="22" t="s">
        <v>70</v>
      </c>
      <c r="C2181" s="22" t="s">
        <v>41</v>
      </c>
      <c r="D2181" s="48" t="s">
        <v>5</v>
      </c>
      <c r="E2181" t="s">
        <v>255</v>
      </c>
      <c r="F2181">
        <v>2020</v>
      </c>
      <c r="G2181" t="s">
        <v>326</v>
      </c>
      <c r="H2181" s="42" t="s">
        <v>57</v>
      </c>
      <c r="J2181" t="s">
        <v>248</v>
      </c>
      <c r="L2181" s="34">
        <v>2</v>
      </c>
      <c r="M2181" s="38">
        <v>0.75</v>
      </c>
      <c r="N2181" s="38">
        <f t="shared" si="34"/>
        <v>1.5</v>
      </c>
    </row>
    <row r="2182" spans="1:14">
      <c r="A2182" s="29">
        <v>44123</v>
      </c>
      <c r="B2182" s="22" t="s">
        <v>70</v>
      </c>
      <c r="C2182" s="22" t="s">
        <v>41</v>
      </c>
      <c r="D2182" s="48" t="s">
        <v>5</v>
      </c>
      <c r="E2182" t="s">
        <v>255</v>
      </c>
      <c r="F2182">
        <v>2020</v>
      </c>
      <c r="G2182" t="s">
        <v>247</v>
      </c>
      <c r="H2182" s="42" t="s">
        <v>57</v>
      </c>
      <c r="J2182" t="s">
        <v>248</v>
      </c>
      <c r="L2182" s="34">
        <v>2</v>
      </c>
      <c r="M2182" s="38">
        <v>0.75</v>
      </c>
      <c r="N2182" s="38">
        <f t="shared" si="34"/>
        <v>1.5</v>
      </c>
    </row>
    <row r="2183" spans="1:14">
      <c r="A2183" s="29">
        <v>44123</v>
      </c>
      <c r="B2183" s="22" t="s">
        <v>48</v>
      </c>
      <c r="C2183" s="22" t="s">
        <v>57</v>
      </c>
      <c r="D2183" s="48" t="s">
        <v>5</v>
      </c>
      <c r="E2183" t="s">
        <v>262</v>
      </c>
      <c r="F2183">
        <v>2020</v>
      </c>
      <c r="G2183" t="s">
        <v>57</v>
      </c>
      <c r="H2183" s="42" t="s">
        <v>744</v>
      </c>
      <c r="J2183" t="s">
        <v>248</v>
      </c>
      <c r="L2183" s="34">
        <v>2</v>
      </c>
      <c r="M2183" s="38">
        <v>0.75</v>
      </c>
      <c r="N2183" s="38">
        <f t="shared" si="34"/>
        <v>1.5</v>
      </c>
    </row>
    <row r="2184" spans="1:14">
      <c r="A2184" s="29">
        <v>44124</v>
      </c>
      <c r="B2184" s="22" t="s">
        <v>12</v>
      </c>
      <c r="C2184" s="22" t="s">
        <v>249</v>
      </c>
      <c r="D2184" s="48" t="s">
        <v>5</v>
      </c>
      <c r="E2184" t="s">
        <v>255</v>
      </c>
      <c r="F2184">
        <v>2020</v>
      </c>
      <c r="G2184" t="s">
        <v>326</v>
      </c>
      <c r="H2184" s="42" t="s">
        <v>57</v>
      </c>
      <c r="J2184" t="s">
        <v>248</v>
      </c>
      <c r="L2184" s="34">
        <v>2</v>
      </c>
      <c r="M2184" s="38">
        <v>0.75</v>
      </c>
      <c r="N2184" s="38">
        <f t="shared" si="34"/>
        <v>1.5</v>
      </c>
    </row>
    <row r="2185" spans="1:14">
      <c r="A2185" s="29">
        <v>44124</v>
      </c>
      <c r="B2185" s="22" t="s">
        <v>12</v>
      </c>
      <c r="C2185" s="22" t="s">
        <v>249</v>
      </c>
      <c r="D2185" s="48" t="s">
        <v>5</v>
      </c>
      <c r="E2185" t="s">
        <v>255</v>
      </c>
      <c r="F2185">
        <v>2020</v>
      </c>
      <c r="G2185" t="s">
        <v>247</v>
      </c>
      <c r="H2185" s="42" t="s">
        <v>57</v>
      </c>
      <c r="J2185" t="s">
        <v>248</v>
      </c>
      <c r="L2185" s="34">
        <v>2</v>
      </c>
      <c r="M2185" s="38">
        <v>0.75</v>
      </c>
      <c r="N2185" s="38">
        <f t="shared" si="34"/>
        <v>1.5</v>
      </c>
    </row>
    <row r="2186" spans="1:14">
      <c r="A2186" s="29">
        <v>44124</v>
      </c>
      <c r="B2186" s="22" t="s">
        <v>12</v>
      </c>
      <c r="C2186" s="22" t="s">
        <v>249</v>
      </c>
      <c r="D2186" s="48" t="s">
        <v>5</v>
      </c>
      <c r="E2186" t="s">
        <v>157</v>
      </c>
      <c r="F2186">
        <v>2020</v>
      </c>
      <c r="G2186" t="s">
        <v>326</v>
      </c>
      <c r="H2186" s="42" t="s">
        <v>57</v>
      </c>
      <c r="J2186" t="s">
        <v>248</v>
      </c>
      <c r="L2186" s="34">
        <v>2</v>
      </c>
      <c r="M2186" s="38">
        <v>0.75</v>
      </c>
      <c r="N2186" s="38">
        <f t="shared" si="34"/>
        <v>1.5</v>
      </c>
    </row>
    <row r="2187" spans="1:14">
      <c r="A2187" s="29">
        <v>44124</v>
      </c>
      <c r="B2187" s="22" t="s">
        <v>12</v>
      </c>
      <c r="C2187" s="22" t="s">
        <v>249</v>
      </c>
      <c r="D2187" s="48" t="s">
        <v>5</v>
      </c>
      <c r="E2187" t="s">
        <v>157</v>
      </c>
      <c r="F2187">
        <v>2020</v>
      </c>
      <c r="G2187" t="s">
        <v>247</v>
      </c>
      <c r="H2187" s="42" t="s">
        <v>57</v>
      </c>
      <c r="J2187" t="s">
        <v>248</v>
      </c>
      <c r="L2187" s="34">
        <v>2</v>
      </c>
      <c r="M2187" s="38">
        <v>0.75</v>
      </c>
      <c r="N2187" s="38">
        <f t="shared" si="34"/>
        <v>1.5</v>
      </c>
    </row>
    <row r="2188" spans="1:14">
      <c r="A2188" s="29">
        <v>44124</v>
      </c>
      <c r="B2188" s="22" t="s">
        <v>57</v>
      </c>
      <c r="C2188" s="22" t="s">
        <v>24</v>
      </c>
      <c r="D2188" s="48" t="s">
        <v>5</v>
      </c>
      <c r="E2188" t="s">
        <v>158</v>
      </c>
      <c r="F2188">
        <v>2020</v>
      </c>
      <c r="G2188" t="s">
        <v>326</v>
      </c>
      <c r="H2188" s="42" t="s">
        <v>57</v>
      </c>
      <c r="J2188" t="s">
        <v>248</v>
      </c>
      <c r="L2188" s="34">
        <v>3</v>
      </c>
      <c r="M2188" s="38">
        <v>0.75</v>
      </c>
      <c r="N2188" s="38">
        <f t="shared" si="34"/>
        <v>2.25</v>
      </c>
    </row>
    <row r="2189" spans="1:14">
      <c r="A2189" s="29">
        <v>44124</v>
      </c>
      <c r="B2189" s="22" t="s">
        <v>57</v>
      </c>
      <c r="C2189" s="22" t="s">
        <v>24</v>
      </c>
      <c r="D2189" s="48" t="s">
        <v>5</v>
      </c>
      <c r="E2189" t="s">
        <v>158</v>
      </c>
      <c r="F2189">
        <v>2020</v>
      </c>
      <c r="G2189" t="s">
        <v>757</v>
      </c>
      <c r="H2189" s="42" t="s">
        <v>57</v>
      </c>
      <c r="J2189" t="s">
        <v>248</v>
      </c>
      <c r="L2189" s="34">
        <v>3</v>
      </c>
      <c r="M2189" s="38">
        <v>0.75</v>
      </c>
      <c r="N2189" s="38">
        <f t="shared" si="34"/>
        <v>2.25</v>
      </c>
    </row>
    <row r="2190" spans="1:14">
      <c r="A2190" s="29">
        <v>44124</v>
      </c>
      <c r="B2190" s="22" t="s">
        <v>57</v>
      </c>
      <c r="C2190" s="22" t="s">
        <v>24</v>
      </c>
      <c r="D2190" s="48" t="s">
        <v>5</v>
      </c>
      <c r="E2190" t="s">
        <v>158</v>
      </c>
      <c r="F2190">
        <v>2020</v>
      </c>
      <c r="G2190" t="s">
        <v>758</v>
      </c>
      <c r="H2190" s="42" t="s">
        <v>57</v>
      </c>
      <c r="J2190" t="s">
        <v>248</v>
      </c>
      <c r="L2190" s="34">
        <v>3</v>
      </c>
      <c r="M2190" s="38">
        <v>0.75</v>
      </c>
      <c r="N2190" s="38">
        <f t="shared" si="34"/>
        <v>2.25</v>
      </c>
    </row>
    <row r="2191" spans="1:14">
      <c r="A2191" s="29">
        <v>44124</v>
      </c>
      <c r="B2191" s="22" t="s">
        <v>60</v>
      </c>
      <c r="C2191" s="22" t="s">
        <v>53</v>
      </c>
      <c r="D2191" s="48" t="s">
        <v>5</v>
      </c>
      <c r="E2191" t="s">
        <v>158</v>
      </c>
      <c r="F2191">
        <v>2020</v>
      </c>
      <c r="G2191" t="s">
        <v>326</v>
      </c>
      <c r="H2191" s="42" t="s">
        <v>57</v>
      </c>
      <c r="J2191" t="s">
        <v>248</v>
      </c>
      <c r="L2191" s="34">
        <v>2</v>
      </c>
      <c r="M2191" s="38">
        <v>0.75</v>
      </c>
      <c r="N2191" s="38">
        <f t="shared" si="34"/>
        <v>1.5</v>
      </c>
    </row>
    <row r="2192" spans="1:14">
      <c r="A2192" s="29">
        <v>44124</v>
      </c>
      <c r="B2192" s="22" t="s">
        <v>60</v>
      </c>
      <c r="C2192" s="22" t="s">
        <v>53</v>
      </c>
      <c r="D2192" s="48" t="s">
        <v>5</v>
      </c>
      <c r="E2192" t="s">
        <v>158</v>
      </c>
      <c r="F2192">
        <v>2020</v>
      </c>
      <c r="G2192" t="s">
        <v>757</v>
      </c>
      <c r="H2192" s="42" t="s">
        <v>57</v>
      </c>
      <c r="J2192" t="s">
        <v>248</v>
      </c>
      <c r="L2192" s="34">
        <v>2</v>
      </c>
      <c r="M2192" s="38">
        <v>0.75</v>
      </c>
      <c r="N2192" s="38">
        <f t="shared" si="34"/>
        <v>1.5</v>
      </c>
    </row>
    <row r="2193" spans="1:14">
      <c r="A2193" s="29">
        <v>44124</v>
      </c>
      <c r="B2193" s="22" t="s">
        <v>60</v>
      </c>
      <c r="C2193" s="22" t="s">
        <v>53</v>
      </c>
      <c r="D2193" s="48" t="s">
        <v>5</v>
      </c>
      <c r="E2193" t="s">
        <v>158</v>
      </c>
      <c r="F2193">
        <v>2020</v>
      </c>
      <c r="G2193" t="s">
        <v>758</v>
      </c>
      <c r="H2193" s="42" t="s">
        <v>57</v>
      </c>
      <c r="J2193" t="s">
        <v>248</v>
      </c>
      <c r="L2193" s="34">
        <v>2</v>
      </c>
      <c r="M2193" s="38">
        <v>0.75</v>
      </c>
      <c r="N2193" s="38">
        <f t="shared" si="34"/>
        <v>1.5</v>
      </c>
    </row>
    <row r="2194" spans="1:14">
      <c r="A2194" s="29">
        <v>44124</v>
      </c>
      <c r="B2194" s="22" t="s">
        <v>60</v>
      </c>
      <c r="C2194" s="22" t="s">
        <v>53</v>
      </c>
      <c r="D2194" s="48" t="s">
        <v>8</v>
      </c>
      <c r="E2194" t="s">
        <v>179</v>
      </c>
      <c r="F2194">
        <v>2020</v>
      </c>
      <c r="G2194" t="s">
        <v>618</v>
      </c>
      <c r="H2194" s="42" t="s">
        <v>57</v>
      </c>
      <c r="J2194" t="s">
        <v>248</v>
      </c>
      <c r="L2194" s="34">
        <v>2</v>
      </c>
      <c r="M2194" s="38">
        <v>0.75</v>
      </c>
      <c r="N2194" s="38">
        <f t="shared" si="34"/>
        <v>1.5</v>
      </c>
    </row>
    <row r="2195" spans="1:14">
      <c r="A2195" s="29">
        <v>44125</v>
      </c>
      <c r="B2195" s="22" t="s">
        <v>63</v>
      </c>
      <c r="C2195" s="22" t="s">
        <v>57</v>
      </c>
      <c r="D2195" s="48" t="s">
        <v>5</v>
      </c>
      <c r="E2195" t="s">
        <v>157</v>
      </c>
      <c r="F2195">
        <v>2020</v>
      </c>
      <c r="G2195" t="s">
        <v>326</v>
      </c>
      <c r="H2195" s="42" t="s">
        <v>57</v>
      </c>
      <c r="J2195" t="s">
        <v>248</v>
      </c>
      <c r="L2195" s="34">
        <v>2</v>
      </c>
      <c r="M2195" s="38">
        <v>0.75</v>
      </c>
      <c r="N2195" s="38">
        <f t="shared" si="34"/>
        <v>1.5</v>
      </c>
    </row>
    <row r="2196" spans="1:14">
      <c r="A2196" s="29">
        <v>44125</v>
      </c>
      <c r="B2196" s="22" t="s">
        <v>63</v>
      </c>
      <c r="C2196" s="22" t="s">
        <v>57</v>
      </c>
      <c r="D2196" s="48" t="s">
        <v>5</v>
      </c>
      <c r="E2196" t="s">
        <v>157</v>
      </c>
      <c r="F2196">
        <v>2020</v>
      </c>
      <c r="G2196" t="s">
        <v>247</v>
      </c>
      <c r="H2196" s="42" t="s">
        <v>57</v>
      </c>
      <c r="J2196" t="s">
        <v>248</v>
      </c>
      <c r="L2196" s="34">
        <v>2</v>
      </c>
      <c r="M2196" s="38">
        <v>0.75</v>
      </c>
      <c r="N2196" s="38">
        <f t="shared" si="34"/>
        <v>1.5</v>
      </c>
    </row>
    <row r="2197" spans="1:14">
      <c r="A2197" s="29">
        <v>44125</v>
      </c>
      <c r="B2197" s="22" t="s">
        <v>63</v>
      </c>
      <c r="C2197" s="22" t="s">
        <v>57</v>
      </c>
      <c r="D2197" s="48" t="s">
        <v>5</v>
      </c>
      <c r="E2197" t="s">
        <v>255</v>
      </c>
      <c r="F2197">
        <v>2020</v>
      </c>
      <c r="G2197" t="s">
        <v>326</v>
      </c>
      <c r="H2197" s="42" t="s">
        <v>57</v>
      </c>
      <c r="J2197" t="s">
        <v>248</v>
      </c>
      <c r="L2197" s="34">
        <v>2</v>
      </c>
      <c r="M2197" s="38">
        <v>0.75</v>
      </c>
      <c r="N2197" s="38">
        <f t="shared" si="34"/>
        <v>1.5</v>
      </c>
    </row>
    <row r="2198" spans="1:14">
      <c r="A2198" s="29">
        <v>44125</v>
      </c>
      <c r="B2198" s="22" t="s">
        <v>63</v>
      </c>
      <c r="C2198" s="22" t="s">
        <v>57</v>
      </c>
      <c r="D2198" s="48" t="s">
        <v>5</v>
      </c>
      <c r="E2198" t="s">
        <v>255</v>
      </c>
      <c r="F2198">
        <v>2020</v>
      </c>
      <c r="G2198" t="s">
        <v>247</v>
      </c>
      <c r="H2198" s="42" t="s">
        <v>57</v>
      </c>
      <c r="J2198" t="s">
        <v>248</v>
      </c>
      <c r="L2198" s="34">
        <v>2</v>
      </c>
      <c r="M2198" s="38">
        <v>0.75</v>
      </c>
      <c r="N2198" s="38">
        <f t="shared" si="34"/>
        <v>1.5</v>
      </c>
    </row>
    <row r="2199" spans="1:14">
      <c r="A2199" s="29">
        <v>44130</v>
      </c>
      <c r="B2199" s="22" t="s">
        <v>63</v>
      </c>
      <c r="C2199" s="22" t="s">
        <v>57</v>
      </c>
      <c r="D2199" s="48" t="s">
        <v>5</v>
      </c>
      <c r="E2199" t="s">
        <v>157</v>
      </c>
      <c r="F2199">
        <v>2020</v>
      </c>
      <c r="G2199" t="s">
        <v>326</v>
      </c>
      <c r="H2199" s="42" t="s">
        <v>57</v>
      </c>
      <c r="J2199" t="s">
        <v>248</v>
      </c>
      <c r="L2199" s="34">
        <v>6</v>
      </c>
      <c r="M2199" s="38">
        <v>0.75</v>
      </c>
      <c r="N2199" s="38">
        <f t="shared" si="34"/>
        <v>4.5</v>
      </c>
    </row>
    <row r="2200" spans="1:14">
      <c r="A2200" s="29">
        <v>44130</v>
      </c>
      <c r="B2200" s="22" t="s">
        <v>63</v>
      </c>
      <c r="C2200" s="22" t="s">
        <v>57</v>
      </c>
      <c r="D2200" s="48" t="s">
        <v>5</v>
      </c>
      <c r="E2200" t="s">
        <v>157</v>
      </c>
      <c r="F2200">
        <v>2020</v>
      </c>
      <c r="G2200" t="s">
        <v>247</v>
      </c>
      <c r="H2200" s="42" t="s">
        <v>57</v>
      </c>
      <c r="J2200" t="s">
        <v>248</v>
      </c>
      <c r="L2200" s="34">
        <v>6</v>
      </c>
      <c r="M2200" s="38">
        <v>0.75</v>
      </c>
      <c r="N2200" s="38">
        <f t="shared" si="34"/>
        <v>4.5</v>
      </c>
    </row>
    <row r="2201" spans="1:14">
      <c r="A2201" s="29">
        <v>44130</v>
      </c>
      <c r="B2201" s="22" t="s">
        <v>63</v>
      </c>
      <c r="C2201" s="22" t="s">
        <v>57</v>
      </c>
      <c r="D2201" s="48" t="s">
        <v>5</v>
      </c>
      <c r="E2201" t="s">
        <v>159</v>
      </c>
      <c r="F2201">
        <v>2020</v>
      </c>
      <c r="G2201" t="s">
        <v>319</v>
      </c>
      <c r="H2201" s="42" t="s">
        <v>57</v>
      </c>
      <c r="J2201" t="s">
        <v>248</v>
      </c>
      <c r="L2201" s="34">
        <v>6</v>
      </c>
      <c r="M2201" s="38">
        <v>0.75</v>
      </c>
      <c r="N2201" s="38">
        <f t="shared" si="34"/>
        <v>4.5</v>
      </c>
    </row>
    <row r="2202" spans="1:14">
      <c r="A2202" s="29">
        <v>44130</v>
      </c>
      <c r="B2202" s="22" t="s">
        <v>63</v>
      </c>
      <c r="C2202" s="22" t="s">
        <v>57</v>
      </c>
      <c r="D2202" s="48" t="s">
        <v>5</v>
      </c>
      <c r="E2202" t="s">
        <v>159</v>
      </c>
      <c r="F2202">
        <v>2020</v>
      </c>
      <c r="G2202" t="s">
        <v>326</v>
      </c>
      <c r="H2202" s="42" t="s">
        <v>57</v>
      </c>
      <c r="J2202" t="s">
        <v>248</v>
      </c>
      <c r="L2202" s="34">
        <v>6</v>
      </c>
      <c r="M2202" s="38">
        <v>0.75</v>
      </c>
      <c r="N2202" s="38">
        <f t="shared" si="34"/>
        <v>4.5</v>
      </c>
    </row>
    <row r="2203" spans="1:14">
      <c r="A2203" s="29">
        <v>44130</v>
      </c>
      <c r="B2203" s="22" t="s">
        <v>63</v>
      </c>
      <c r="C2203" s="22" t="s">
        <v>57</v>
      </c>
      <c r="D2203" s="48" t="s">
        <v>5</v>
      </c>
      <c r="E2203" t="s">
        <v>159</v>
      </c>
      <c r="F2203">
        <v>2020</v>
      </c>
      <c r="G2203" t="s">
        <v>247</v>
      </c>
      <c r="H2203" s="42" t="s">
        <v>57</v>
      </c>
      <c r="J2203" t="s">
        <v>248</v>
      </c>
      <c r="L2203" s="34">
        <v>6</v>
      </c>
      <c r="M2203" s="38">
        <v>0.75</v>
      </c>
      <c r="N2203" s="38">
        <f t="shared" si="34"/>
        <v>4.5</v>
      </c>
    </row>
    <row r="2204" spans="1:14">
      <c r="A2204" s="29">
        <v>44130</v>
      </c>
      <c r="B2204" s="22" t="s">
        <v>63</v>
      </c>
      <c r="C2204" s="22" t="s">
        <v>57</v>
      </c>
      <c r="D2204" s="48" t="s">
        <v>5</v>
      </c>
      <c r="E2204" t="s">
        <v>158</v>
      </c>
      <c r="F2204">
        <v>2020</v>
      </c>
      <c r="G2204" t="s">
        <v>326</v>
      </c>
      <c r="H2204" s="42" t="s">
        <v>57</v>
      </c>
      <c r="J2204" t="s">
        <v>248</v>
      </c>
      <c r="L2204" s="34">
        <v>6</v>
      </c>
      <c r="M2204" s="38">
        <v>0.75</v>
      </c>
      <c r="N2204" s="38">
        <f t="shared" si="34"/>
        <v>4.5</v>
      </c>
    </row>
    <row r="2205" spans="1:14">
      <c r="A2205" s="29">
        <v>44130</v>
      </c>
      <c r="B2205" s="22" t="s">
        <v>63</v>
      </c>
      <c r="C2205" s="22" t="s">
        <v>57</v>
      </c>
      <c r="D2205" s="48" t="s">
        <v>5</v>
      </c>
      <c r="E2205" t="s">
        <v>158</v>
      </c>
      <c r="F2205">
        <v>2020</v>
      </c>
      <c r="G2205" t="s">
        <v>247</v>
      </c>
      <c r="H2205" s="42" t="s">
        <v>57</v>
      </c>
      <c r="J2205" t="s">
        <v>248</v>
      </c>
      <c r="L2205" s="34">
        <v>6</v>
      </c>
      <c r="M2205" s="38">
        <v>0.75</v>
      </c>
      <c r="N2205" s="38">
        <f t="shared" si="34"/>
        <v>4.5</v>
      </c>
    </row>
    <row r="2206" spans="1:14">
      <c r="A2206" s="29">
        <v>44130</v>
      </c>
      <c r="B2206" s="22" t="s">
        <v>647</v>
      </c>
      <c r="C2206" s="22" t="s">
        <v>57</v>
      </c>
      <c r="D2206" s="48" t="s">
        <v>5</v>
      </c>
      <c r="E2206" t="s">
        <v>159</v>
      </c>
      <c r="F2206">
        <v>2020</v>
      </c>
      <c r="G2206" t="s">
        <v>326</v>
      </c>
      <c r="H2206" s="42" t="s">
        <v>57</v>
      </c>
      <c r="J2206" t="s">
        <v>248</v>
      </c>
      <c r="L2206" s="34">
        <v>2</v>
      </c>
      <c r="M2206" s="38">
        <v>0.75</v>
      </c>
      <c r="N2206" s="38">
        <f t="shared" si="34"/>
        <v>1.5</v>
      </c>
    </row>
    <row r="2207" spans="1:14">
      <c r="A2207" s="29">
        <v>44130</v>
      </c>
      <c r="B2207" s="22" t="s">
        <v>647</v>
      </c>
      <c r="C2207" s="22" t="s">
        <v>57</v>
      </c>
      <c r="D2207" s="48" t="s">
        <v>5</v>
      </c>
      <c r="E2207" t="s">
        <v>159</v>
      </c>
      <c r="F2207">
        <v>2020</v>
      </c>
      <c r="G2207" t="s">
        <v>247</v>
      </c>
      <c r="H2207" s="42" t="s">
        <v>57</v>
      </c>
      <c r="J2207" t="s">
        <v>248</v>
      </c>
      <c r="L2207" s="34">
        <v>2</v>
      </c>
      <c r="M2207" s="38">
        <v>0.75</v>
      </c>
      <c r="N2207" s="38">
        <f t="shared" si="34"/>
        <v>1.5</v>
      </c>
    </row>
    <row r="2208" spans="1:14">
      <c r="A2208" s="29">
        <v>44130</v>
      </c>
      <c r="B2208" s="22" t="s">
        <v>647</v>
      </c>
      <c r="C2208" s="22" t="s">
        <v>57</v>
      </c>
      <c r="D2208" s="48" t="s">
        <v>5</v>
      </c>
      <c r="E2208" t="s">
        <v>157</v>
      </c>
      <c r="F2208">
        <v>2020</v>
      </c>
      <c r="G2208" t="s">
        <v>326</v>
      </c>
      <c r="H2208" s="42" t="s">
        <v>57</v>
      </c>
      <c r="J2208" t="s">
        <v>248</v>
      </c>
      <c r="L2208" s="34">
        <v>2</v>
      </c>
      <c r="M2208" s="38">
        <v>0.75</v>
      </c>
      <c r="N2208" s="38">
        <f t="shared" si="34"/>
        <v>1.5</v>
      </c>
    </row>
    <row r="2209" spans="1:14">
      <c r="A2209" s="29">
        <v>44130</v>
      </c>
      <c r="B2209" s="22" t="s">
        <v>647</v>
      </c>
      <c r="C2209" s="22" t="s">
        <v>57</v>
      </c>
      <c r="D2209" s="48" t="s">
        <v>5</v>
      </c>
      <c r="E2209" t="s">
        <v>157</v>
      </c>
      <c r="F2209">
        <v>2020</v>
      </c>
      <c r="G2209" t="s">
        <v>247</v>
      </c>
      <c r="H2209" s="42" t="s">
        <v>57</v>
      </c>
      <c r="J2209" t="s">
        <v>248</v>
      </c>
      <c r="L2209" s="34">
        <v>2</v>
      </c>
      <c r="M2209" s="38">
        <v>0.75</v>
      </c>
      <c r="N2209" s="38">
        <f t="shared" si="34"/>
        <v>1.5</v>
      </c>
    </row>
    <row r="2210" spans="1:14">
      <c r="A2210" s="29">
        <v>44130</v>
      </c>
      <c r="B2210" s="22" t="s">
        <v>57</v>
      </c>
      <c r="C2210" s="22" t="s">
        <v>45</v>
      </c>
      <c r="D2210" s="48" t="s">
        <v>5</v>
      </c>
      <c r="E2210" t="s">
        <v>159</v>
      </c>
      <c r="F2210">
        <v>2020</v>
      </c>
      <c r="G2210" t="s">
        <v>326</v>
      </c>
      <c r="H2210" s="42" t="s">
        <v>57</v>
      </c>
      <c r="J2210" t="s">
        <v>248</v>
      </c>
      <c r="L2210" s="34">
        <v>3</v>
      </c>
      <c r="M2210" s="38">
        <v>0.75</v>
      </c>
      <c r="N2210" s="38">
        <f t="shared" si="34"/>
        <v>2.25</v>
      </c>
    </row>
    <row r="2211" spans="1:14">
      <c r="A2211" s="29">
        <v>44130</v>
      </c>
      <c r="B2211" s="22" t="s">
        <v>57</v>
      </c>
      <c r="C2211" s="22" t="s">
        <v>45</v>
      </c>
      <c r="D2211" s="48" t="s">
        <v>5</v>
      </c>
      <c r="E2211" t="s">
        <v>159</v>
      </c>
      <c r="F2211">
        <v>2020</v>
      </c>
      <c r="G2211" t="s">
        <v>247</v>
      </c>
      <c r="H2211" s="42" t="s">
        <v>57</v>
      </c>
      <c r="J2211" t="s">
        <v>248</v>
      </c>
      <c r="L2211" s="34">
        <v>3</v>
      </c>
      <c r="M2211" s="38">
        <v>0.75</v>
      </c>
      <c r="N2211" s="38">
        <f t="shared" si="34"/>
        <v>2.25</v>
      </c>
    </row>
    <row r="2212" spans="1:14">
      <c r="A2212" s="29">
        <v>44130</v>
      </c>
      <c r="B2212" s="22" t="s">
        <v>57</v>
      </c>
      <c r="C2212" s="22" t="s">
        <v>45</v>
      </c>
      <c r="D2212" s="48" t="s">
        <v>5</v>
      </c>
      <c r="E2212" t="s">
        <v>157</v>
      </c>
      <c r="F2212">
        <v>2020</v>
      </c>
      <c r="G2212" t="s">
        <v>326</v>
      </c>
      <c r="H2212" s="42" t="s">
        <v>57</v>
      </c>
      <c r="J2212" t="s">
        <v>248</v>
      </c>
      <c r="L2212" s="34">
        <v>3</v>
      </c>
      <c r="M2212" s="38">
        <v>0.75</v>
      </c>
      <c r="N2212" s="38">
        <f t="shared" si="34"/>
        <v>2.25</v>
      </c>
    </row>
    <row r="2213" spans="1:14">
      <c r="A2213" s="29">
        <v>44130</v>
      </c>
      <c r="B2213" s="22" t="s">
        <v>57</v>
      </c>
      <c r="C2213" s="22" t="s">
        <v>45</v>
      </c>
      <c r="D2213" s="48" t="s">
        <v>5</v>
      </c>
      <c r="E2213" t="s">
        <v>157</v>
      </c>
      <c r="F2213">
        <v>2020</v>
      </c>
      <c r="G2213" t="s">
        <v>247</v>
      </c>
      <c r="H2213" s="42" t="s">
        <v>57</v>
      </c>
      <c r="J2213" t="s">
        <v>248</v>
      </c>
      <c r="L2213" s="34">
        <v>3</v>
      </c>
      <c r="M2213" s="38">
        <v>0.75</v>
      </c>
      <c r="N2213" s="38">
        <f t="shared" si="34"/>
        <v>2.25</v>
      </c>
    </row>
    <row r="2214" spans="1:14">
      <c r="A2214" s="29">
        <v>44131</v>
      </c>
      <c r="B2214" s="22" t="s">
        <v>81</v>
      </c>
      <c r="C2214" s="22" t="s">
        <v>57</v>
      </c>
      <c r="D2214" s="48" t="s">
        <v>5</v>
      </c>
      <c r="E2214" t="s">
        <v>159</v>
      </c>
      <c r="F2214">
        <v>2020</v>
      </c>
      <c r="G2214" t="s">
        <v>247</v>
      </c>
      <c r="H2214" s="42" t="s">
        <v>57</v>
      </c>
      <c r="J2214" t="s">
        <v>248</v>
      </c>
      <c r="L2214" s="34">
        <v>3</v>
      </c>
      <c r="M2214" s="38">
        <v>10</v>
      </c>
      <c r="N2214" s="38">
        <f t="shared" si="34"/>
        <v>30</v>
      </c>
    </row>
    <row r="2215" spans="1:14">
      <c r="A2215" s="29">
        <v>44131</v>
      </c>
      <c r="B2215" s="22" t="s">
        <v>81</v>
      </c>
      <c r="C2215" s="22" t="s">
        <v>57</v>
      </c>
      <c r="D2215" s="48" t="s">
        <v>5</v>
      </c>
      <c r="E2215" t="s">
        <v>157</v>
      </c>
      <c r="F2215">
        <v>2020</v>
      </c>
      <c r="G2215" t="s">
        <v>326</v>
      </c>
      <c r="H2215" s="42" t="s">
        <v>57</v>
      </c>
      <c r="J2215" t="s">
        <v>248</v>
      </c>
      <c r="L2215" s="34">
        <v>2</v>
      </c>
      <c r="M2215" s="38">
        <v>0.75</v>
      </c>
      <c r="N2215" s="38">
        <f t="shared" si="34"/>
        <v>1.5</v>
      </c>
    </row>
    <row r="2216" spans="1:14">
      <c r="A2216" s="29">
        <v>44131</v>
      </c>
      <c r="B2216" s="22" t="s">
        <v>81</v>
      </c>
      <c r="C2216" s="22" t="s">
        <v>57</v>
      </c>
      <c r="D2216" s="48" t="s">
        <v>5</v>
      </c>
      <c r="E2216" t="s">
        <v>157</v>
      </c>
      <c r="F2216">
        <v>2020</v>
      </c>
      <c r="G2216" t="s">
        <v>247</v>
      </c>
      <c r="H2216" s="42" t="s">
        <v>57</v>
      </c>
      <c r="J2216" t="s">
        <v>248</v>
      </c>
      <c r="L2216" s="34">
        <v>2</v>
      </c>
      <c r="M2216" s="38">
        <v>0.75</v>
      </c>
      <c r="N2216" s="38">
        <f t="shared" si="34"/>
        <v>1.5</v>
      </c>
    </row>
    <row r="2217" spans="1:14">
      <c r="A2217" s="29">
        <v>44131</v>
      </c>
      <c r="B2217" s="22" t="s">
        <v>19</v>
      </c>
      <c r="C2217" s="22" t="s">
        <v>47</v>
      </c>
      <c r="D2217" s="48" t="s">
        <v>5</v>
      </c>
      <c r="E2217" t="s">
        <v>161</v>
      </c>
      <c r="F2217">
        <v>2019</v>
      </c>
      <c r="G2217" t="s">
        <v>57</v>
      </c>
      <c r="H2217" s="42" t="s">
        <v>759</v>
      </c>
      <c r="J2217" t="s">
        <v>248</v>
      </c>
      <c r="L2217" s="34">
        <v>2</v>
      </c>
      <c r="M2217" s="38">
        <v>0.75</v>
      </c>
      <c r="N2217" s="38">
        <f t="shared" si="34"/>
        <v>1.5</v>
      </c>
    </row>
    <row r="2218" spans="1:14">
      <c r="A2218" s="29">
        <v>44131</v>
      </c>
      <c r="B2218" s="22" t="s">
        <v>57</v>
      </c>
      <c r="C2218" s="22" t="s">
        <v>47</v>
      </c>
      <c r="D2218" s="48" t="s">
        <v>5</v>
      </c>
      <c r="E2218" t="s">
        <v>159</v>
      </c>
      <c r="F2218">
        <v>2020</v>
      </c>
      <c r="G2218" t="s">
        <v>319</v>
      </c>
      <c r="H2218" s="42" t="s">
        <v>57</v>
      </c>
      <c r="J2218" t="s">
        <v>248</v>
      </c>
      <c r="L2218" s="34">
        <v>3</v>
      </c>
      <c r="M2218" s="38">
        <v>0.75</v>
      </c>
      <c r="N2218" s="38">
        <f t="shared" si="34"/>
        <v>2.25</v>
      </c>
    </row>
    <row r="2219" spans="1:14">
      <c r="A2219" s="29">
        <v>44131</v>
      </c>
      <c r="B2219" s="22" t="s">
        <v>57</v>
      </c>
      <c r="C2219" s="22" t="s">
        <v>47</v>
      </c>
      <c r="D2219" s="48" t="s">
        <v>5</v>
      </c>
      <c r="E2219" t="s">
        <v>159</v>
      </c>
      <c r="F2219">
        <v>2020</v>
      </c>
      <c r="G2219" t="s">
        <v>326</v>
      </c>
      <c r="H2219" s="42" t="s">
        <v>57</v>
      </c>
      <c r="J2219" t="s">
        <v>248</v>
      </c>
      <c r="L2219" s="34">
        <v>3</v>
      </c>
      <c r="M2219" s="38">
        <v>0.75</v>
      </c>
      <c r="N2219" s="38">
        <f t="shared" si="34"/>
        <v>2.25</v>
      </c>
    </row>
    <row r="2220" spans="1:14">
      <c r="A2220" s="29">
        <v>44131</v>
      </c>
      <c r="B2220" s="22" t="s">
        <v>57</v>
      </c>
      <c r="C2220" s="22" t="s">
        <v>47</v>
      </c>
      <c r="D2220" s="48" t="s">
        <v>5</v>
      </c>
      <c r="E2220" t="s">
        <v>159</v>
      </c>
      <c r="F2220">
        <v>2020</v>
      </c>
      <c r="G2220" t="s">
        <v>247</v>
      </c>
      <c r="H2220" s="42" t="s">
        <v>57</v>
      </c>
      <c r="J2220" t="s">
        <v>248</v>
      </c>
      <c r="L2220" s="34">
        <v>3</v>
      </c>
      <c r="M2220" s="38">
        <v>0.75</v>
      </c>
      <c r="N2220" s="38">
        <f t="shared" si="34"/>
        <v>2.25</v>
      </c>
    </row>
    <row r="2221" spans="1:14">
      <c r="A2221" s="29">
        <v>44131</v>
      </c>
      <c r="B2221" s="22" t="s">
        <v>57</v>
      </c>
      <c r="C2221" s="22" t="s">
        <v>47</v>
      </c>
      <c r="D2221" s="48" t="s">
        <v>5</v>
      </c>
      <c r="E2221" t="s">
        <v>157</v>
      </c>
      <c r="F2221">
        <v>2020</v>
      </c>
      <c r="G2221" t="s">
        <v>326</v>
      </c>
      <c r="H2221" s="42" t="s">
        <v>57</v>
      </c>
      <c r="J2221" t="s">
        <v>248</v>
      </c>
      <c r="L2221" s="34">
        <v>3</v>
      </c>
      <c r="M2221" s="38">
        <v>0.75</v>
      </c>
      <c r="N2221" s="38">
        <f t="shared" si="34"/>
        <v>2.25</v>
      </c>
    </row>
    <row r="2222" spans="1:14">
      <c r="A2222" s="29">
        <v>44131</v>
      </c>
      <c r="B2222" s="22" t="s">
        <v>57</v>
      </c>
      <c r="C2222" s="22" t="s">
        <v>47</v>
      </c>
      <c r="D2222" s="48" t="s">
        <v>5</v>
      </c>
      <c r="E2222" t="s">
        <v>157</v>
      </c>
      <c r="F2222">
        <v>2020</v>
      </c>
      <c r="G2222" t="s">
        <v>247</v>
      </c>
      <c r="H2222" s="42" t="s">
        <v>57</v>
      </c>
      <c r="J2222" t="s">
        <v>248</v>
      </c>
      <c r="L2222" s="34">
        <v>3</v>
      </c>
      <c r="M2222" s="38">
        <v>0.75</v>
      </c>
      <c r="N2222" s="38">
        <f t="shared" si="34"/>
        <v>2.25</v>
      </c>
    </row>
    <row r="2223" spans="1:14">
      <c r="A2223" s="29">
        <v>44131</v>
      </c>
      <c r="B2223" s="22" t="s">
        <v>57</v>
      </c>
      <c r="C2223" s="22" t="s">
        <v>47</v>
      </c>
      <c r="D2223" s="48" t="s">
        <v>5</v>
      </c>
      <c r="E2223" t="s">
        <v>161</v>
      </c>
      <c r="F2223">
        <v>2020</v>
      </c>
      <c r="G2223" t="s">
        <v>57</v>
      </c>
      <c r="H2223" s="42" t="s">
        <v>760</v>
      </c>
      <c r="J2223" t="s">
        <v>248</v>
      </c>
      <c r="L2223" s="34">
        <v>2</v>
      </c>
      <c r="M2223" s="38">
        <v>0.75</v>
      </c>
      <c r="N2223" s="38">
        <f t="shared" si="34"/>
        <v>1.5</v>
      </c>
    </row>
    <row r="2224" spans="1:14">
      <c r="A2224" s="29">
        <v>44131</v>
      </c>
      <c r="B2224" s="22" t="s">
        <v>57</v>
      </c>
      <c r="C2224" s="22" t="s">
        <v>47</v>
      </c>
      <c r="D2224" s="48" t="s">
        <v>5</v>
      </c>
      <c r="E2224" t="s">
        <v>267</v>
      </c>
      <c r="F2224">
        <v>2020</v>
      </c>
      <c r="G2224" t="s">
        <v>57</v>
      </c>
      <c r="H2224" s="42" t="s">
        <v>761</v>
      </c>
      <c r="J2224" t="s">
        <v>248</v>
      </c>
      <c r="L2224" s="34">
        <v>2</v>
      </c>
      <c r="M2224" s="38">
        <v>0.75</v>
      </c>
      <c r="N2224" s="38">
        <f t="shared" si="34"/>
        <v>1.5</v>
      </c>
    </row>
    <row r="2225" spans="1:14">
      <c r="A2225" s="29">
        <v>44131</v>
      </c>
      <c r="B2225" s="22" t="s">
        <v>57</v>
      </c>
      <c r="C2225" s="22" t="s">
        <v>47</v>
      </c>
      <c r="D2225" s="48" t="s">
        <v>5</v>
      </c>
      <c r="E2225" t="s">
        <v>182</v>
      </c>
      <c r="F2225">
        <v>2020</v>
      </c>
      <c r="G2225" t="s">
        <v>57</v>
      </c>
      <c r="H2225" s="42" t="s">
        <v>762</v>
      </c>
      <c r="J2225" t="s">
        <v>248</v>
      </c>
      <c r="L2225" s="34">
        <v>2</v>
      </c>
      <c r="M2225" s="38">
        <v>0.75</v>
      </c>
      <c r="N2225" s="38">
        <f t="shared" si="34"/>
        <v>1.5</v>
      </c>
    </row>
    <row r="2226" spans="1:14">
      <c r="A2226" s="29">
        <v>44131</v>
      </c>
      <c r="B2226" s="22" t="s">
        <v>57</v>
      </c>
      <c r="C2226" s="22" t="s">
        <v>47</v>
      </c>
      <c r="D2226" s="48" t="s">
        <v>5</v>
      </c>
      <c r="E2226" t="s">
        <v>255</v>
      </c>
      <c r="F2226">
        <v>2020</v>
      </c>
      <c r="G2226" t="s">
        <v>326</v>
      </c>
      <c r="H2226" s="42" t="s">
        <v>57</v>
      </c>
      <c r="J2226" t="s">
        <v>248</v>
      </c>
      <c r="L2226" s="34">
        <v>3</v>
      </c>
      <c r="M2226" s="38">
        <v>0.75</v>
      </c>
      <c r="N2226" s="38">
        <f t="shared" si="34"/>
        <v>2.25</v>
      </c>
    </row>
    <row r="2227" spans="1:14">
      <c r="A2227" s="29">
        <v>44131</v>
      </c>
      <c r="B2227" s="22" t="s">
        <v>57</v>
      </c>
      <c r="C2227" s="22" t="s">
        <v>47</v>
      </c>
      <c r="D2227" s="48" t="s">
        <v>5</v>
      </c>
      <c r="E2227" t="s">
        <v>255</v>
      </c>
      <c r="F2227">
        <v>2020</v>
      </c>
      <c r="G2227" t="s">
        <v>247</v>
      </c>
      <c r="H2227" s="42" t="s">
        <v>57</v>
      </c>
      <c r="J2227" t="s">
        <v>248</v>
      </c>
      <c r="L2227" s="34">
        <v>3</v>
      </c>
      <c r="M2227" s="38">
        <v>0.75</v>
      </c>
      <c r="N2227" s="38">
        <f t="shared" si="34"/>
        <v>2.25</v>
      </c>
    </row>
    <row r="2228" spans="1:14">
      <c r="A2228" s="29">
        <v>44132</v>
      </c>
      <c r="B2228" s="22" t="s">
        <v>57</v>
      </c>
      <c r="C2228" s="22" t="s">
        <v>30</v>
      </c>
      <c r="D2228" s="48" t="s">
        <v>5</v>
      </c>
      <c r="E2228" t="s">
        <v>157</v>
      </c>
      <c r="F2228">
        <v>2020</v>
      </c>
      <c r="G2228" t="s">
        <v>247</v>
      </c>
      <c r="H2228" s="42" t="s">
        <v>57</v>
      </c>
      <c r="J2228" t="s">
        <v>248</v>
      </c>
      <c r="L2228" s="34">
        <v>2</v>
      </c>
      <c r="M2228" s="38">
        <v>0.75</v>
      </c>
      <c r="N2228" s="38">
        <f t="shared" si="34"/>
        <v>1.5</v>
      </c>
    </row>
    <row r="2229" spans="1:14">
      <c r="A2229" s="29">
        <v>44137</v>
      </c>
      <c r="B2229" s="22" t="s">
        <v>63</v>
      </c>
      <c r="C2229" s="22" t="s">
        <v>57</v>
      </c>
      <c r="D2229" s="48" t="s">
        <v>5</v>
      </c>
      <c r="E2229" t="s">
        <v>159</v>
      </c>
      <c r="F2229">
        <v>2020</v>
      </c>
      <c r="G2229" t="s">
        <v>319</v>
      </c>
      <c r="H2229" s="42" t="s">
        <v>763</v>
      </c>
      <c r="J2229" t="s">
        <v>248</v>
      </c>
      <c r="L2229" s="34">
        <v>6</v>
      </c>
      <c r="M2229" s="38">
        <v>0.75</v>
      </c>
      <c r="N2229" s="38">
        <f t="shared" si="34"/>
        <v>4.5</v>
      </c>
    </row>
    <row r="2230" spans="1:14">
      <c r="A2230" s="29">
        <v>44137</v>
      </c>
      <c r="B2230" s="22" t="s">
        <v>63</v>
      </c>
      <c r="C2230" s="22" t="s">
        <v>57</v>
      </c>
      <c r="D2230" s="48" t="s">
        <v>5</v>
      </c>
      <c r="E2230" t="s">
        <v>159</v>
      </c>
      <c r="F2230">
        <v>2020</v>
      </c>
      <c r="G2230" t="s">
        <v>326</v>
      </c>
      <c r="H2230" s="42" t="s">
        <v>764</v>
      </c>
      <c r="J2230" t="s">
        <v>248</v>
      </c>
      <c r="L2230" s="34">
        <v>6</v>
      </c>
      <c r="M2230" s="38">
        <v>0.75</v>
      </c>
      <c r="N2230" s="38">
        <f t="shared" si="34"/>
        <v>4.5</v>
      </c>
    </row>
    <row r="2231" spans="1:14">
      <c r="A2231" s="29">
        <v>44137</v>
      </c>
      <c r="B2231" s="22" t="s">
        <v>63</v>
      </c>
      <c r="C2231" s="22" t="s">
        <v>57</v>
      </c>
      <c r="D2231" s="48" t="s">
        <v>5</v>
      </c>
      <c r="E2231" t="s">
        <v>159</v>
      </c>
      <c r="F2231">
        <v>2020</v>
      </c>
      <c r="G2231" t="s">
        <v>247</v>
      </c>
      <c r="H2231" s="42" t="s">
        <v>57</v>
      </c>
      <c r="J2231" t="s">
        <v>248</v>
      </c>
      <c r="L2231" s="34">
        <v>6</v>
      </c>
      <c r="M2231" s="38">
        <v>0.75</v>
      </c>
      <c r="N2231" s="38">
        <f t="shared" si="34"/>
        <v>4.5</v>
      </c>
    </row>
    <row r="2232" spans="1:14">
      <c r="A2232" s="29">
        <v>44137</v>
      </c>
      <c r="B2232" s="22" t="s">
        <v>63</v>
      </c>
      <c r="C2232" s="22" t="s">
        <v>57</v>
      </c>
      <c r="D2232" s="48" t="s">
        <v>5</v>
      </c>
      <c r="E2232" t="s">
        <v>157</v>
      </c>
      <c r="F2232">
        <v>2020</v>
      </c>
      <c r="G2232" t="s">
        <v>326</v>
      </c>
      <c r="H2232" s="42" t="s">
        <v>57</v>
      </c>
      <c r="J2232" t="s">
        <v>248</v>
      </c>
      <c r="L2232" s="34">
        <v>6</v>
      </c>
      <c r="M2232" s="38">
        <v>0.75</v>
      </c>
      <c r="N2232" s="38">
        <f t="shared" si="34"/>
        <v>4.5</v>
      </c>
    </row>
    <row r="2233" spans="1:14">
      <c r="A2233" s="29">
        <v>44137</v>
      </c>
      <c r="B2233" s="22" t="s">
        <v>63</v>
      </c>
      <c r="C2233" s="22" t="s">
        <v>57</v>
      </c>
      <c r="D2233" s="48" t="s">
        <v>5</v>
      </c>
      <c r="E2233" t="s">
        <v>157</v>
      </c>
      <c r="F2233">
        <v>2020</v>
      </c>
      <c r="G2233" t="s">
        <v>247</v>
      </c>
      <c r="H2233" s="42" t="s">
        <v>57</v>
      </c>
      <c r="J2233" t="s">
        <v>248</v>
      </c>
      <c r="L2233" s="34">
        <v>6</v>
      </c>
      <c r="M2233" s="38">
        <v>0.75</v>
      </c>
      <c r="N2233" s="38">
        <f t="shared" si="34"/>
        <v>4.5</v>
      </c>
    </row>
    <row r="2234" spans="1:14">
      <c r="A2234" s="29">
        <v>44137</v>
      </c>
      <c r="B2234" s="22" t="s">
        <v>63</v>
      </c>
      <c r="C2234" s="22" t="s">
        <v>57</v>
      </c>
      <c r="D2234" s="48" t="s">
        <v>5</v>
      </c>
      <c r="E2234" t="s">
        <v>255</v>
      </c>
      <c r="F2234">
        <v>2020</v>
      </c>
      <c r="G2234" t="s">
        <v>326</v>
      </c>
      <c r="H2234" s="42" t="s">
        <v>765</v>
      </c>
      <c r="J2234" t="s">
        <v>248</v>
      </c>
      <c r="L2234" s="34">
        <v>6</v>
      </c>
      <c r="M2234" s="38">
        <v>0.75</v>
      </c>
      <c r="N2234" s="38">
        <f t="shared" si="34"/>
        <v>4.5</v>
      </c>
    </row>
    <row r="2235" spans="1:14">
      <c r="A2235" s="29">
        <v>44137</v>
      </c>
      <c r="B2235" s="22" t="s">
        <v>63</v>
      </c>
      <c r="C2235" s="22" t="s">
        <v>57</v>
      </c>
      <c r="D2235" s="48" t="s">
        <v>5</v>
      </c>
      <c r="E2235" t="s">
        <v>255</v>
      </c>
      <c r="F2235">
        <v>2020</v>
      </c>
      <c r="G2235" t="s">
        <v>247</v>
      </c>
      <c r="H2235" s="42" t="s">
        <v>57</v>
      </c>
      <c r="J2235" t="s">
        <v>248</v>
      </c>
      <c r="L2235" s="34">
        <v>6</v>
      </c>
      <c r="M2235" s="38">
        <v>0.75</v>
      </c>
      <c r="N2235" s="38">
        <f t="shared" si="34"/>
        <v>4.5</v>
      </c>
    </row>
    <row r="2236" spans="1:14">
      <c r="A2236" s="29">
        <v>44137</v>
      </c>
      <c r="B2236" s="22" t="s">
        <v>63</v>
      </c>
      <c r="C2236" s="22" t="s">
        <v>57</v>
      </c>
      <c r="D2236" s="48" t="s">
        <v>5</v>
      </c>
      <c r="E2236" t="s">
        <v>158</v>
      </c>
      <c r="F2236">
        <v>2020</v>
      </c>
      <c r="G2236" t="s">
        <v>326</v>
      </c>
      <c r="H2236" s="42" t="s">
        <v>57</v>
      </c>
      <c r="J2236" t="s">
        <v>248</v>
      </c>
      <c r="L2236" s="34">
        <v>2</v>
      </c>
      <c r="M2236" s="38">
        <v>0.75</v>
      </c>
      <c r="N2236" s="38">
        <f t="shared" si="34"/>
        <v>1.5</v>
      </c>
    </row>
    <row r="2237" spans="1:14">
      <c r="A2237" s="29">
        <v>44137</v>
      </c>
      <c r="B2237" s="22" t="s">
        <v>63</v>
      </c>
      <c r="C2237" s="22" t="s">
        <v>57</v>
      </c>
      <c r="D2237" s="48" t="s">
        <v>5</v>
      </c>
      <c r="E2237" t="s">
        <v>158</v>
      </c>
      <c r="F2237">
        <v>2020</v>
      </c>
      <c r="G2237" t="s">
        <v>757</v>
      </c>
      <c r="H2237" s="42" t="s">
        <v>57</v>
      </c>
      <c r="J2237" t="s">
        <v>248</v>
      </c>
      <c r="L2237" s="34">
        <v>2</v>
      </c>
      <c r="M2237" s="38">
        <v>0.75</v>
      </c>
      <c r="N2237" s="38">
        <f t="shared" si="34"/>
        <v>1.5</v>
      </c>
    </row>
    <row r="2238" spans="1:14">
      <c r="A2238" s="29">
        <v>44137</v>
      </c>
      <c r="B2238" s="22" t="s">
        <v>63</v>
      </c>
      <c r="C2238" s="22" t="s">
        <v>57</v>
      </c>
      <c r="D2238" s="48" t="s">
        <v>5</v>
      </c>
      <c r="E2238" t="s">
        <v>158</v>
      </c>
      <c r="F2238">
        <v>2020</v>
      </c>
      <c r="G2238" t="s">
        <v>758</v>
      </c>
      <c r="H2238" s="42" t="s">
        <v>57</v>
      </c>
      <c r="J2238" t="s">
        <v>248</v>
      </c>
      <c r="L2238" s="34">
        <v>2</v>
      </c>
      <c r="M2238" s="38">
        <v>0.75</v>
      </c>
      <c r="N2238" s="38">
        <f t="shared" si="34"/>
        <v>1.5</v>
      </c>
    </row>
    <row r="2239" spans="1:14">
      <c r="A2239" s="29">
        <v>44137</v>
      </c>
      <c r="B2239" s="22" t="s">
        <v>50</v>
      </c>
      <c r="C2239" s="22" t="s">
        <v>57</v>
      </c>
      <c r="D2239" s="48" t="s">
        <v>5</v>
      </c>
      <c r="E2239" t="s">
        <v>159</v>
      </c>
      <c r="F2239">
        <v>2020</v>
      </c>
      <c r="G2239" t="s">
        <v>319</v>
      </c>
      <c r="H2239" s="42" t="s">
        <v>763</v>
      </c>
      <c r="J2239" t="s">
        <v>248</v>
      </c>
      <c r="L2239" s="34">
        <v>2</v>
      </c>
      <c r="M2239" s="38">
        <v>0.75</v>
      </c>
      <c r="N2239" s="38">
        <f t="shared" si="34"/>
        <v>1.5</v>
      </c>
    </row>
    <row r="2240" spans="1:14">
      <c r="A2240" s="29">
        <v>44137</v>
      </c>
      <c r="B2240" s="22" t="s">
        <v>50</v>
      </c>
      <c r="C2240" s="22" t="s">
        <v>57</v>
      </c>
      <c r="D2240" s="48" t="s">
        <v>5</v>
      </c>
      <c r="E2240" t="s">
        <v>159</v>
      </c>
      <c r="F2240">
        <v>2020</v>
      </c>
      <c r="G2240" t="s">
        <v>326</v>
      </c>
      <c r="H2240" s="42" t="s">
        <v>764</v>
      </c>
      <c r="J2240" t="s">
        <v>248</v>
      </c>
      <c r="L2240" s="34">
        <v>2</v>
      </c>
      <c r="M2240" s="38">
        <v>0.75</v>
      </c>
      <c r="N2240" s="38">
        <f t="shared" si="34"/>
        <v>1.5</v>
      </c>
    </row>
    <row r="2241" spans="1:14">
      <c r="A2241" s="29">
        <v>44137</v>
      </c>
      <c r="B2241" s="22" t="s">
        <v>50</v>
      </c>
      <c r="C2241" s="22" t="s">
        <v>57</v>
      </c>
      <c r="D2241" s="48" t="s">
        <v>5</v>
      </c>
      <c r="E2241" t="s">
        <v>159</v>
      </c>
      <c r="F2241">
        <v>2020</v>
      </c>
      <c r="G2241" t="s">
        <v>247</v>
      </c>
      <c r="H2241" s="42" t="s">
        <v>57</v>
      </c>
      <c r="J2241" t="s">
        <v>248</v>
      </c>
      <c r="L2241" s="34">
        <v>2</v>
      </c>
      <c r="M2241" s="38">
        <v>0.75</v>
      </c>
      <c r="N2241" s="38">
        <f t="shared" si="34"/>
        <v>1.5</v>
      </c>
    </row>
    <row r="2242" spans="1:14">
      <c r="A2242" s="29">
        <v>44137</v>
      </c>
      <c r="B2242" s="22" t="s">
        <v>50</v>
      </c>
      <c r="C2242" s="22" t="s">
        <v>57</v>
      </c>
      <c r="D2242" s="48" t="s">
        <v>5</v>
      </c>
      <c r="E2242" t="s">
        <v>262</v>
      </c>
      <c r="F2242">
        <v>2020</v>
      </c>
      <c r="G2242" t="s">
        <v>57</v>
      </c>
      <c r="H2242" s="42" t="s">
        <v>766</v>
      </c>
      <c r="J2242" t="s">
        <v>248</v>
      </c>
      <c r="L2242" s="34">
        <v>2</v>
      </c>
      <c r="M2242" s="38">
        <v>0.75</v>
      </c>
      <c r="N2242" s="38">
        <f t="shared" si="34"/>
        <v>1.5</v>
      </c>
    </row>
    <row r="2243" spans="1:14">
      <c r="A2243" s="29">
        <v>44137</v>
      </c>
      <c r="B2243" s="22" t="s">
        <v>50</v>
      </c>
      <c r="C2243" s="22" t="s">
        <v>57</v>
      </c>
      <c r="D2243" s="48" t="s">
        <v>5</v>
      </c>
      <c r="E2243" t="s">
        <v>262</v>
      </c>
      <c r="F2243">
        <v>2020</v>
      </c>
      <c r="G2243" t="s">
        <v>57</v>
      </c>
      <c r="H2243" s="42" t="s">
        <v>767</v>
      </c>
      <c r="J2243" t="s">
        <v>248</v>
      </c>
      <c r="L2243" s="34">
        <v>2</v>
      </c>
      <c r="M2243" s="38">
        <v>0.75</v>
      </c>
      <c r="N2243" s="38">
        <f t="shared" ref="N2243:N2306" si="35">M2243*L2243</f>
        <v>1.5</v>
      </c>
    </row>
    <row r="2244" spans="1:14">
      <c r="A2244" s="29">
        <v>44137</v>
      </c>
      <c r="B2244" s="22" t="s">
        <v>70</v>
      </c>
      <c r="C2244" s="22" t="s">
        <v>41</v>
      </c>
      <c r="D2244" s="48" t="s">
        <v>5</v>
      </c>
      <c r="E2244" t="s">
        <v>255</v>
      </c>
      <c r="F2244">
        <v>2020</v>
      </c>
      <c r="G2244" t="s">
        <v>247</v>
      </c>
      <c r="H2244" s="42" t="s">
        <v>57</v>
      </c>
      <c r="J2244" t="s">
        <v>248</v>
      </c>
      <c r="L2244" s="34">
        <v>2</v>
      </c>
      <c r="M2244" s="38">
        <v>0.75</v>
      </c>
      <c r="N2244" s="38">
        <f t="shared" si="35"/>
        <v>1.5</v>
      </c>
    </row>
    <row r="2245" spans="1:14">
      <c r="A2245" s="29">
        <v>44144</v>
      </c>
      <c r="B2245" s="22" t="s">
        <v>57</v>
      </c>
      <c r="C2245" s="22" t="s">
        <v>24</v>
      </c>
      <c r="D2245" s="48" t="s">
        <v>5</v>
      </c>
      <c r="E2245" t="s">
        <v>158</v>
      </c>
      <c r="F2245">
        <v>2020</v>
      </c>
      <c r="G2245" t="s">
        <v>326</v>
      </c>
      <c r="H2245" s="42" t="s">
        <v>57</v>
      </c>
      <c r="J2245" t="s">
        <v>248</v>
      </c>
      <c r="L2245" s="34">
        <v>2</v>
      </c>
      <c r="M2245" s="38">
        <v>0.75</v>
      </c>
      <c r="N2245" s="38">
        <f t="shared" si="35"/>
        <v>1.5</v>
      </c>
    </row>
    <row r="2246" spans="1:14">
      <c r="A2246" s="29">
        <v>44144</v>
      </c>
      <c r="B2246" s="22" t="s">
        <v>57</v>
      </c>
      <c r="C2246" s="22" t="s">
        <v>24</v>
      </c>
      <c r="D2246" s="48" t="s">
        <v>5</v>
      </c>
      <c r="E2246" t="s">
        <v>158</v>
      </c>
      <c r="F2246">
        <v>2020</v>
      </c>
      <c r="G2246" t="s">
        <v>757</v>
      </c>
      <c r="H2246" s="42" t="s">
        <v>57</v>
      </c>
      <c r="J2246" t="s">
        <v>248</v>
      </c>
      <c r="L2246" s="34">
        <v>2</v>
      </c>
      <c r="M2246" s="38">
        <v>0.75</v>
      </c>
      <c r="N2246" s="38">
        <f t="shared" si="35"/>
        <v>1.5</v>
      </c>
    </row>
    <row r="2247" spans="1:14">
      <c r="A2247" s="29">
        <v>44144</v>
      </c>
      <c r="B2247" s="22" t="s">
        <v>57</v>
      </c>
      <c r="C2247" s="22" t="s">
        <v>24</v>
      </c>
      <c r="D2247" s="48" t="s">
        <v>5</v>
      </c>
      <c r="E2247" t="s">
        <v>158</v>
      </c>
      <c r="F2247">
        <v>2020</v>
      </c>
      <c r="G2247" t="s">
        <v>758</v>
      </c>
      <c r="H2247" s="42" t="s">
        <v>57</v>
      </c>
      <c r="J2247" t="s">
        <v>248</v>
      </c>
      <c r="L2247" s="34">
        <v>2</v>
      </c>
      <c r="M2247" s="38">
        <v>0.75</v>
      </c>
      <c r="N2247" s="38">
        <f t="shared" si="35"/>
        <v>1.5</v>
      </c>
    </row>
    <row r="2248" spans="1:14">
      <c r="A2248" s="29">
        <v>44144</v>
      </c>
      <c r="B2248" s="22" t="s">
        <v>57</v>
      </c>
      <c r="C2248" s="22" t="s">
        <v>24</v>
      </c>
      <c r="D2248" s="48" t="s">
        <v>5</v>
      </c>
      <c r="E2248" t="s">
        <v>768</v>
      </c>
      <c r="F2248">
        <v>2020</v>
      </c>
      <c r="G2248" t="s">
        <v>57</v>
      </c>
      <c r="H2248" s="42" t="s">
        <v>766</v>
      </c>
      <c r="J2248" t="s">
        <v>248</v>
      </c>
      <c r="L2248" s="34">
        <v>2</v>
      </c>
      <c r="M2248" s="38">
        <v>0.75</v>
      </c>
      <c r="N2248" s="38">
        <f t="shared" si="35"/>
        <v>1.5</v>
      </c>
    </row>
    <row r="2249" spans="1:14">
      <c r="A2249" s="29">
        <v>44144</v>
      </c>
      <c r="B2249" s="22" t="s">
        <v>57</v>
      </c>
      <c r="C2249" s="22" t="s">
        <v>24</v>
      </c>
      <c r="D2249" s="48" t="s">
        <v>5</v>
      </c>
      <c r="E2249" t="s">
        <v>768</v>
      </c>
      <c r="F2249">
        <v>2020</v>
      </c>
      <c r="G2249" t="s">
        <v>57</v>
      </c>
      <c r="H2249" s="42" t="s">
        <v>767</v>
      </c>
      <c r="J2249" t="s">
        <v>248</v>
      </c>
      <c r="L2249" s="34">
        <v>2</v>
      </c>
      <c r="M2249" s="38">
        <v>0.75</v>
      </c>
      <c r="N2249" s="38">
        <f t="shared" si="35"/>
        <v>1.5</v>
      </c>
    </row>
    <row r="2250" spans="1:14">
      <c r="A2250" s="29">
        <v>44144</v>
      </c>
      <c r="B2250" s="22" t="s">
        <v>57</v>
      </c>
      <c r="C2250" s="22" t="s">
        <v>47</v>
      </c>
      <c r="D2250" s="48" t="s">
        <v>5</v>
      </c>
      <c r="E2250" t="s">
        <v>255</v>
      </c>
      <c r="F2250">
        <v>2020</v>
      </c>
      <c r="G2250" t="s">
        <v>247</v>
      </c>
      <c r="H2250" s="42" t="s">
        <v>57</v>
      </c>
      <c r="J2250" t="s">
        <v>248</v>
      </c>
      <c r="L2250" s="34">
        <v>2</v>
      </c>
      <c r="M2250" s="38">
        <v>0.75</v>
      </c>
      <c r="N2250" s="38">
        <f t="shared" si="35"/>
        <v>1.5</v>
      </c>
    </row>
    <row r="2251" spans="1:14">
      <c r="A2251" s="29">
        <v>44144</v>
      </c>
      <c r="B2251" s="22" t="s">
        <v>57</v>
      </c>
      <c r="C2251" s="22" t="s">
        <v>47</v>
      </c>
      <c r="D2251" s="48" t="s">
        <v>5</v>
      </c>
      <c r="E2251" t="s">
        <v>255</v>
      </c>
      <c r="F2251">
        <v>2020</v>
      </c>
      <c r="G2251" t="s">
        <v>769</v>
      </c>
      <c r="H2251" s="42" t="s">
        <v>57</v>
      </c>
      <c r="J2251" t="s">
        <v>248</v>
      </c>
      <c r="K2251" t="s">
        <v>770</v>
      </c>
      <c r="L2251" s="34">
        <v>2</v>
      </c>
      <c r="M2251" s="38">
        <v>0.75</v>
      </c>
      <c r="N2251" s="38">
        <f t="shared" si="35"/>
        <v>1.5</v>
      </c>
    </row>
    <row r="2252" spans="1:14">
      <c r="A2252" s="29">
        <v>44144</v>
      </c>
      <c r="B2252" s="22" t="s">
        <v>40</v>
      </c>
      <c r="C2252" s="22" t="s">
        <v>57</v>
      </c>
      <c r="D2252" s="48" t="s">
        <v>5</v>
      </c>
      <c r="E2252" t="s">
        <v>157</v>
      </c>
      <c r="F2252">
        <v>2020</v>
      </c>
      <c r="G2252" t="s">
        <v>326</v>
      </c>
      <c r="H2252" s="42" t="s">
        <v>57</v>
      </c>
      <c r="J2252" t="s">
        <v>248</v>
      </c>
      <c r="L2252" s="34">
        <v>2</v>
      </c>
      <c r="M2252" s="38">
        <v>0.75</v>
      </c>
      <c r="N2252" s="38">
        <f t="shared" si="35"/>
        <v>1.5</v>
      </c>
    </row>
    <row r="2253" spans="1:14">
      <c r="A2253" s="29">
        <v>44144</v>
      </c>
      <c r="B2253" s="22" t="s">
        <v>40</v>
      </c>
      <c r="C2253" s="22" t="s">
        <v>57</v>
      </c>
      <c r="D2253" s="48" t="s">
        <v>5</v>
      </c>
      <c r="E2253" t="s">
        <v>157</v>
      </c>
      <c r="F2253">
        <v>2020</v>
      </c>
      <c r="G2253" t="s">
        <v>247</v>
      </c>
      <c r="H2253" s="42" t="s">
        <v>57</v>
      </c>
      <c r="J2253" t="s">
        <v>248</v>
      </c>
      <c r="L2253" s="34">
        <v>2</v>
      </c>
      <c r="M2253" s="38">
        <v>0.75</v>
      </c>
      <c r="N2253" s="38">
        <f t="shared" si="35"/>
        <v>1.5</v>
      </c>
    </row>
    <row r="2254" spans="1:14">
      <c r="A2254" s="29">
        <v>44144</v>
      </c>
      <c r="B2254" s="22" t="s">
        <v>40</v>
      </c>
      <c r="C2254" s="22" t="s">
        <v>57</v>
      </c>
      <c r="D2254" s="48" t="s">
        <v>5</v>
      </c>
      <c r="E2254" t="s">
        <v>157</v>
      </c>
      <c r="F2254">
        <v>2020</v>
      </c>
      <c r="G2254" t="s">
        <v>507</v>
      </c>
      <c r="H2254" s="42" t="s">
        <v>771</v>
      </c>
      <c r="J2254" t="s">
        <v>248</v>
      </c>
      <c r="L2254" s="34">
        <v>2</v>
      </c>
      <c r="M2254" s="38">
        <v>0.75</v>
      </c>
      <c r="N2254" s="38">
        <f t="shared" si="35"/>
        <v>1.5</v>
      </c>
    </row>
    <row r="2255" spans="1:14">
      <c r="A2255" s="29">
        <v>44144</v>
      </c>
      <c r="B2255" s="22" t="s">
        <v>40</v>
      </c>
      <c r="C2255" s="22" t="s">
        <v>57</v>
      </c>
      <c r="D2255" s="48" t="s">
        <v>5</v>
      </c>
      <c r="E2255" t="s">
        <v>307</v>
      </c>
      <c r="F2255">
        <v>2020</v>
      </c>
      <c r="G2255" t="s">
        <v>307</v>
      </c>
      <c r="H2255" s="42" t="s">
        <v>57</v>
      </c>
      <c r="J2255" t="s">
        <v>248</v>
      </c>
      <c r="L2255" s="34">
        <v>2</v>
      </c>
      <c r="M2255" s="38">
        <v>0.75</v>
      </c>
      <c r="N2255" s="38">
        <f t="shared" si="35"/>
        <v>1.5</v>
      </c>
    </row>
    <row r="2256" spans="1:14">
      <c r="A2256" s="29">
        <v>44144</v>
      </c>
      <c r="B2256" s="22" t="s">
        <v>40</v>
      </c>
      <c r="C2256" s="22" t="s">
        <v>57</v>
      </c>
      <c r="D2256" s="48" t="s">
        <v>5</v>
      </c>
      <c r="E2256" t="s">
        <v>307</v>
      </c>
      <c r="F2256">
        <v>2020</v>
      </c>
      <c r="G2256" t="s">
        <v>57</v>
      </c>
      <c r="H2256" s="42" t="s">
        <v>766</v>
      </c>
      <c r="J2256" t="s">
        <v>248</v>
      </c>
      <c r="L2256" s="34">
        <v>2</v>
      </c>
      <c r="M2256" s="38">
        <v>0.75</v>
      </c>
      <c r="N2256" s="38">
        <f t="shared" si="35"/>
        <v>1.5</v>
      </c>
    </row>
    <row r="2257" spans="1:14">
      <c r="A2257" s="29">
        <v>44144</v>
      </c>
      <c r="B2257" s="22" t="s">
        <v>40</v>
      </c>
      <c r="C2257" s="22" t="s">
        <v>57</v>
      </c>
      <c r="D2257" s="48" t="s">
        <v>8</v>
      </c>
      <c r="E2257" t="s">
        <v>273</v>
      </c>
      <c r="F2257">
        <v>2020</v>
      </c>
      <c r="G2257" t="s">
        <v>273</v>
      </c>
      <c r="H2257" s="42" t="s">
        <v>57</v>
      </c>
      <c r="J2257" t="s">
        <v>248</v>
      </c>
      <c r="L2257" s="34">
        <v>2</v>
      </c>
      <c r="M2257" s="38">
        <v>0.75</v>
      </c>
      <c r="N2257" s="38">
        <f t="shared" si="35"/>
        <v>1.5</v>
      </c>
    </row>
    <row r="2258" spans="1:14">
      <c r="A2258" s="29">
        <v>44144</v>
      </c>
      <c r="B2258" s="22" t="s">
        <v>772</v>
      </c>
      <c r="C2258" s="22" t="s">
        <v>695</v>
      </c>
      <c r="D2258" s="48" t="s">
        <v>11</v>
      </c>
      <c r="E2258" t="s">
        <v>773</v>
      </c>
      <c r="F2258">
        <v>2019</v>
      </c>
      <c r="G2258" t="s">
        <v>57</v>
      </c>
      <c r="H2258" s="42" t="s">
        <v>57</v>
      </c>
      <c r="J2258" t="s">
        <v>248</v>
      </c>
      <c r="K2258" t="s">
        <v>774</v>
      </c>
      <c r="L2258" s="34">
        <v>2</v>
      </c>
      <c r="M2258" s="38">
        <v>0.75</v>
      </c>
      <c r="N2258" s="38">
        <f t="shared" si="35"/>
        <v>1.5</v>
      </c>
    </row>
    <row r="2259" spans="1:14">
      <c r="A2259" s="29">
        <v>44144</v>
      </c>
      <c r="B2259" s="22" t="s">
        <v>772</v>
      </c>
      <c r="C2259" s="22" t="s">
        <v>695</v>
      </c>
      <c r="D2259" s="48" t="s">
        <v>8</v>
      </c>
      <c r="E2259" t="s">
        <v>482</v>
      </c>
      <c r="F2259">
        <v>2020</v>
      </c>
      <c r="G2259" t="s">
        <v>775</v>
      </c>
      <c r="H2259" s="42" t="s">
        <v>57</v>
      </c>
      <c r="J2259" t="s">
        <v>248</v>
      </c>
      <c r="L2259" s="34">
        <v>2</v>
      </c>
      <c r="M2259" s="38">
        <v>0.75</v>
      </c>
      <c r="N2259" s="38">
        <f t="shared" si="35"/>
        <v>1.5</v>
      </c>
    </row>
    <row r="2260" spans="1:14">
      <c r="A2260" s="29">
        <v>44144</v>
      </c>
      <c r="B2260" s="22" t="s">
        <v>63</v>
      </c>
      <c r="C2260" s="22" t="s">
        <v>57</v>
      </c>
      <c r="D2260" s="48" t="s">
        <v>5</v>
      </c>
      <c r="E2260" t="s">
        <v>159</v>
      </c>
      <c r="F2260">
        <v>2020</v>
      </c>
      <c r="G2260" t="s">
        <v>319</v>
      </c>
      <c r="H2260" s="42" t="s">
        <v>763</v>
      </c>
      <c r="J2260" t="s">
        <v>248</v>
      </c>
      <c r="L2260" s="34">
        <v>3</v>
      </c>
      <c r="M2260" s="38">
        <v>0.75</v>
      </c>
      <c r="N2260" s="38">
        <f t="shared" si="35"/>
        <v>2.25</v>
      </c>
    </row>
    <row r="2261" spans="1:14">
      <c r="A2261" s="29">
        <v>44144</v>
      </c>
      <c r="B2261" s="22" t="s">
        <v>63</v>
      </c>
      <c r="C2261" s="22" t="s">
        <v>57</v>
      </c>
      <c r="D2261" s="48" t="s">
        <v>5</v>
      </c>
      <c r="E2261" t="s">
        <v>159</v>
      </c>
      <c r="F2261">
        <v>2020</v>
      </c>
      <c r="G2261" t="s">
        <v>326</v>
      </c>
      <c r="H2261" s="42" t="s">
        <v>764</v>
      </c>
      <c r="J2261" t="s">
        <v>248</v>
      </c>
      <c r="L2261" s="34">
        <v>3</v>
      </c>
      <c r="M2261" s="38">
        <v>0.75</v>
      </c>
      <c r="N2261" s="38">
        <f t="shared" si="35"/>
        <v>2.25</v>
      </c>
    </row>
    <row r="2262" spans="1:14">
      <c r="A2262" s="29">
        <v>44144</v>
      </c>
      <c r="B2262" s="22" t="s">
        <v>63</v>
      </c>
      <c r="C2262" s="22" t="s">
        <v>57</v>
      </c>
      <c r="D2262" s="48" t="s">
        <v>5</v>
      </c>
      <c r="E2262" t="s">
        <v>159</v>
      </c>
      <c r="F2262">
        <v>2020</v>
      </c>
      <c r="G2262" t="s">
        <v>247</v>
      </c>
      <c r="H2262" s="42" t="s">
        <v>776</v>
      </c>
      <c r="J2262" t="s">
        <v>248</v>
      </c>
      <c r="L2262" s="34">
        <v>3</v>
      </c>
      <c r="M2262" s="38">
        <v>0.75</v>
      </c>
      <c r="N2262" s="38">
        <f t="shared" si="35"/>
        <v>2.25</v>
      </c>
    </row>
    <row r="2263" spans="1:14">
      <c r="A2263" s="29">
        <v>44144</v>
      </c>
      <c r="B2263" s="22" t="s">
        <v>63</v>
      </c>
      <c r="C2263" s="22" t="s">
        <v>57</v>
      </c>
      <c r="D2263" s="48" t="s">
        <v>5</v>
      </c>
      <c r="E2263" t="s">
        <v>157</v>
      </c>
      <c r="F2263">
        <v>2020</v>
      </c>
      <c r="G2263" t="s">
        <v>326</v>
      </c>
      <c r="H2263" s="42" t="s">
        <v>57</v>
      </c>
      <c r="J2263" t="s">
        <v>248</v>
      </c>
      <c r="L2263" s="34">
        <v>6</v>
      </c>
      <c r="M2263" s="38">
        <v>0.75</v>
      </c>
      <c r="N2263" s="38">
        <f t="shared" si="35"/>
        <v>4.5</v>
      </c>
    </row>
    <row r="2264" spans="1:14">
      <c r="A2264" s="29">
        <v>44144</v>
      </c>
      <c r="B2264" s="22" t="s">
        <v>63</v>
      </c>
      <c r="C2264" s="22" t="s">
        <v>57</v>
      </c>
      <c r="D2264" s="48" t="s">
        <v>5</v>
      </c>
      <c r="E2264" t="s">
        <v>157</v>
      </c>
      <c r="F2264">
        <v>2020</v>
      </c>
      <c r="G2264" t="s">
        <v>247</v>
      </c>
      <c r="H2264" s="42" t="s">
        <v>57</v>
      </c>
      <c r="J2264" t="s">
        <v>248</v>
      </c>
      <c r="L2264" s="34">
        <v>6</v>
      </c>
      <c r="M2264" s="38">
        <v>0.75</v>
      </c>
      <c r="N2264" s="38">
        <f t="shared" si="35"/>
        <v>4.5</v>
      </c>
    </row>
    <row r="2265" spans="1:14">
      <c r="A2265" s="29">
        <v>44144</v>
      </c>
      <c r="B2265" s="22" t="s">
        <v>63</v>
      </c>
      <c r="C2265" s="22" t="s">
        <v>57</v>
      </c>
      <c r="D2265" s="48" t="s">
        <v>5</v>
      </c>
      <c r="E2265" t="s">
        <v>255</v>
      </c>
      <c r="F2265">
        <v>2020</v>
      </c>
      <c r="G2265" t="s">
        <v>326</v>
      </c>
      <c r="H2265" s="42" t="s">
        <v>765</v>
      </c>
      <c r="J2265" t="s">
        <v>248</v>
      </c>
      <c r="L2265" s="34">
        <v>6</v>
      </c>
      <c r="M2265" s="38">
        <v>0.75</v>
      </c>
      <c r="N2265" s="38">
        <f t="shared" si="35"/>
        <v>4.5</v>
      </c>
    </row>
    <row r="2266" spans="1:14">
      <c r="A2266" s="29">
        <v>44144</v>
      </c>
      <c r="B2266" s="22" t="s">
        <v>63</v>
      </c>
      <c r="C2266" s="22" t="s">
        <v>57</v>
      </c>
      <c r="D2266" s="48" t="s">
        <v>5</v>
      </c>
      <c r="E2266" t="s">
        <v>255</v>
      </c>
      <c r="F2266">
        <v>2020</v>
      </c>
      <c r="G2266" t="s">
        <v>247</v>
      </c>
      <c r="H2266" s="42" t="s">
        <v>57</v>
      </c>
      <c r="J2266" t="s">
        <v>248</v>
      </c>
      <c r="L2266" s="34">
        <v>6</v>
      </c>
      <c r="M2266" s="38">
        <v>0.75</v>
      </c>
      <c r="N2266" s="38">
        <f t="shared" si="35"/>
        <v>4.5</v>
      </c>
    </row>
    <row r="2267" spans="1:14">
      <c r="A2267" s="29">
        <v>44144</v>
      </c>
      <c r="B2267" s="22" t="s">
        <v>63</v>
      </c>
      <c r="C2267" s="22" t="s">
        <v>57</v>
      </c>
      <c r="D2267" s="48" t="s">
        <v>5</v>
      </c>
      <c r="E2267" t="s">
        <v>158</v>
      </c>
      <c r="F2267">
        <v>2020</v>
      </c>
      <c r="G2267" t="s">
        <v>326</v>
      </c>
      <c r="H2267" s="42" t="s">
        <v>57</v>
      </c>
      <c r="J2267" t="s">
        <v>248</v>
      </c>
      <c r="L2267" s="34">
        <v>1</v>
      </c>
      <c r="M2267" s="38">
        <v>0.75</v>
      </c>
      <c r="N2267" s="38">
        <f t="shared" si="35"/>
        <v>0.75</v>
      </c>
    </row>
    <row r="2268" spans="1:14">
      <c r="A2268" s="29">
        <v>44144</v>
      </c>
      <c r="B2268" s="22" t="s">
        <v>63</v>
      </c>
      <c r="C2268" s="22" t="s">
        <v>57</v>
      </c>
      <c r="D2268" s="48" t="s">
        <v>5</v>
      </c>
      <c r="E2268" t="s">
        <v>158</v>
      </c>
      <c r="F2268">
        <v>2020</v>
      </c>
      <c r="G2268" t="s">
        <v>757</v>
      </c>
      <c r="H2268" s="42" t="s">
        <v>57</v>
      </c>
      <c r="J2268" t="s">
        <v>248</v>
      </c>
      <c r="L2268" s="34">
        <v>1</v>
      </c>
      <c r="M2268" s="38">
        <v>0.75</v>
      </c>
      <c r="N2268" s="38">
        <f t="shared" si="35"/>
        <v>0.75</v>
      </c>
    </row>
    <row r="2269" spans="1:14">
      <c r="A2269" s="29">
        <v>44144</v>
      </c>
      <c r="B2269" s="22" t="s">
        <v>63</v>
      </c>
      <c r="C2269" s="22" t="s">
        <v>57</v>
      </c>
      <c r="D2269" s="48" t="s">
        <v>5</v>
      </c>
      <c r="E2269" t="s">
        <v>158</v>
      </c>
      <c r="F2269">
        <v>2020</v>
      </c>
      <c r="G2269" t="s">
        <v>758</v>
      </c>
      <c r="H2269" s="42" t="s">
        <v>57</v>
      </c>
      <c r="J2269" t="s">
        <v>248</v>
      </c>
      <c r="L2269" s="34">
        <v>1</v>
      </c>
      <c r="M2269" s="38">
        <v>0.75</v>
      </c>
      <c r="N2269" s="38">
        <f t="shared" si="35"/>
        <v>0.75</v>
      </c>
    </row>
    <row r="2270" spans="1:14">
      <c r="A2270" s="29">
        <v>44145</v>
      </c>
      <c r="B2270" s="22" t="s">
        <v>647</v>
      </c>
      <c r="C2270" s="22" t="s">
        <v>57</v>
      </c>
      <c r="D2270" s="48" t="s">
        <v>5</v>
      </c>
      <c r="E2270" t="s">
        <v>255</v>
      </c>
      <c r="F2270">
        <v>2020</v>
      </c>
      <c r="G2270" t="s">
        <v>247</v>
      </c>
      <c r="H2270" s="42" t="s">
        <v>57</v>
      </c>
      <c r="J2270" t="s">
        <v>248</v>
      </c>
      <c r="L2270" s="34">
        <v>3</v>
      </c>
      <c r="M2270" s="38">
        <v>0.75</v>
      </c>
      <c r="N2270" s="38">
        <f t="shared" si="35"/>
        <v>2.25</v>
      </c>
    </row>
    <row r="2271" spans="1:14">
      <c r="A2271" s="29">
        <v>44145</v>
      </c>
      <c r="B2271" s="22" t="s">
        <v>69</v>
      </c>
      <c r="C2271" s="22" t="s">
        <v>695</v>
      </c>
      <c r="D2271" s="48" t="s">
        <v>5</v>
      </c>
      <c r="E2271" t="s">
        <v>777</v>
      </c>
      <c r="F2271">
        <v>2020</v>
      </c>
      <c r="G2271" t="s">
        <v>57</v>
      </c>
      <c r="H2271" s="42" t="s">
        <v>57</v>
      </c>
      <c r="J2271" t="s">
        <v>248</v>
      </c>
      <c r="K2271" t="s">
        <v>778</v>
      </c>
      <c r="L2271" s="34">
        <v>1</v>
      </c>
      <c r="M2271" s="38">
        <v>0.75</v>
      </c>
      <c r="N2271" s="38">
        <f t="shared" si="35"/>
        <v>0.75</v>
      </c>
    </row>
    <row r="2272" spans="1:14">
      <c r="A2272" s="29">
        <v>44145</v>
      </c>
      <c r="B2272" s="22" t="s">
        <v>69</v>
      </c>
      <c r="C2272" s="22" t="s">
        <v>695</v>
      </c>
      <c r="D2272" s="48" t="s">
        <v>8</v>
      </c>
      <c r="E2272" t="s">
        <v>777</v>
      </c>
      <c r="F2272">
        <v>2020</v>
      </c>
      <c r="G2272" t="s">
        <v>775</v>
      </c>
      <c r="H2272" s="42" t="s">
        <v>779</v>
      </c>
      <c r="J2272" t="s">
        <v>248</v>
      </c>
      <c r="L2272" s="34">
        <v>1</v>
      </c>
      <c r="M2272" s="38">
        <v>0.75</v>
      </c>
      <c r="N2272" s="38">
        <f t="shared" si="35"/>
        <v>0.75</v>
      </c>
    </row>
    <row r="2273" spans="1:14">
      <c r="A2273" s="29">
        <v>44145</v>
      </c>
      <c r="B2273" s="22" t="s">
        <v>69</v>
      </c>
      <c r="C2273" s="22" t="s">
        <v>695</v>
      </c>
      <c r="D2273" s="48" t="s">
        <v>5</v>
      </c>
      <c r="E2273" t="s">
        <v>780</v>
      </c>
      <c r="F2273">
        <v>2020</v>
      </c>
      <c r="G2273" t="s">
        <v>703</v>
      </c>
      <c r="H2273" s="42" t="s">
        <v>57</v>
      </c>
      <c r="J2273" t="s">
        <v>248</v>
      </c>
      <c r="K2273" t="s">
        <v>781</v>
      </c>
      <c r="L2273" s="34">
        <v>2</v>
      </c>
      <c r="M2273" s="38">
        <v>0.75</v>
      </c>
      <c r="N2273" s="38">
        <f t="shared" si="35"/>
        <v>1.5</v>
      </c>
    </row>
    <row r="2274" spans="1:14">
      <c r="A2274" s="29">
        <v>44145</v>
      </c>
      <c r="B2274" s="22" t="s">
        <v>69</v>
      </c>
      <c r="C2274" s="22" t="s">
        <v>695</v>
      </c>
      <c r="D2274" s="48" t="s">
        <v>5</v>
      </c>
      <c r="E2274" t="s">
        <v>780</v>
      </c>
      <c r="F2274">
        <v>2020</v>
      </c>
      <c r="G2274" t="s">
        <v>705</v>
      </c>
      <c r="H2274" s="42" t="s">
        <v>57</v>
      </c>
      <c r="J2274" t="s">
        <v>248</v>
      </c>
      <c r="K2274" t="s">
        <v>782</v>
      </c>
      <c r="L2274" s="34">
        <v>2</v>
      </c>
      <c r="M2274" s="38">
        <v>0.75</v>
      </c>
      <c r="N2274" s="38">
        <f t="shared" si="35"/>
        <v>1.5</v>
      </c>
    </row>
    <row r="2275" spans="1:14">
      <c r="A2275" s="29">
        <v>44145</v>
      </c>
      <c r="B2275" s="22" t="s">
        <v>783</v>
      </c>
      <c r="C2275" s="22" t="s">
        <v>695</v>
      </c>
      <c r="D2275" s="48" t="s">
        <v>8</v>
      </c>
      <c r="E2275" t="s">
        <v>513</v>
      </c>
      <c r="F2275">
        <v>2020</v>
      </c>
      <c r="G2275" t="s">
        <v>500</v>
      </c>
      <c r="H2275" s="42" t="s">
        <v>746</v>
      </c>
      <c r="J2275" t="s">
        <v>248</v>
      </c>
      <c r="L2275" s="34">
        <v>6</v>
      </c>
      <c r="M2275" s="38">
        <v>0.75</v>
      </c>
      <c r="N2275" s="38">
        <f t="shared" si="35"/>
        <v>4.5</v>
      </c>
    </row>
    <row r="2276" spans="1:14">
      <c r="A2276" s="29">
        <v>44145</v>
      </c>
      <c r="B2276" s="22" t="s">
        <v>69</v>
      </c>
      <c r="C2276" s="22" t="s">
        <v>695</v>
      </c>
      <c r="D2276" s="48" t="s">
        <v>8</v>
      </c>
      <c r="E2276" t="s">
        <v>513</v>
      </c>
      <c r="F2276">
        <v>2020</v>
      </c>
      <c r="G2276" t="s">
        <v>500</v>
      </c>
      <c r="H2276" s="42" t="s">
        <v>746</v>
      </c>
      <c r="J2276" t="s">
        <v>248</v>
      </c>
      <c r="L2276" s="34">
        <v>6</v>
      </c>
      <c r="M2276" s="38">
        <v>0.75</v>
      </c>
      <c r="N2276" s="38">
        <f t="shared" si="35"/>
        <v>4.5</v>
      </c>
    </row>
    <row r="2277" spans="1:14">
      <c r="A2277" s="29">
        <v>44145</v>
      </c>
      <c r="B2277" s="22" t="s">
        <v>113</v>
      </c>
      <c r="C2277" s="22" t="s">
        <v>271</v>
      </c>
      <c r="D2277" s="48" t="s">
        <v>5</v>
      </c>
      <c r="E2277" t="s">
        <v>307</v>
      </c>
      <c r="F2277">
        <v>2020</v>
      </c>
      <c r="G2277" t="s">
        <v>307</v>
      </c>
      <c r="H2277" s="42" t="s">
        <v>57</v>
      </c>
      <c r="J2277" t="s">
        <v>248</v>
      </c>
      <c r="L2277" s="34">
        <v>3</v>
      </c>
      <c r="M2277" s="38">
        <v>0.75</v>
      </c>
      <c r="N2277" s="38">
        <f t="shared" si="35"/>
        <v>2.25</v>
      </c>
    </row>
    <row r="2278" spans="1:14">
      <c r="A2278" s="29">
        <v>44145</v>
      </c>
      <c r="B2278" s="22" t="s">
        <v>113</v>
      </c>
      <c r="C2278" s="22" t="s">
        <v>271</v>
      </c>
      <c r="D2278" s="48" t="s">
        <v>5</v>
      </c>
      <c r="E2278" t="s">
        <v>157</v>
      </c>
      <c r="F2278">
        <v>2020</v>
      </c>
      <c r="G2278" t="s">
        <v>257</v>
      </c>
      <c r="H2278" s="42" t="s">
        <v>57</v>
      </c>
      <c r="J2278" t="s">
        <v>248</v>
      </c>
      <c r="L2278" s="34">
        <v>3</v>
      </c>
      <c r="M2278" s="38">
        <v>0.75</v>
      </c>
      <c r="N2278" s="38">
        <f t="shared" si="35"/>
        <v>2.25</v>
      </c>
    </row>
    <row r="2279" spans="1:14">
      <c r="A2279" s="29">
        <v>44145</v>
      </c>
      <c r="B2279" s="22" t="s">
        <v>113</v>
      </c>
      <c r="C2279" s="22" t="s">
        <v>271</v>
      </c>
      <c r="D2279" s="48" t="s">
        <v>5</v>
      </c>
      <c r="E2279" t="s">
        <v>157</v>
      </c>
      <c r="F2279">
        <v>2020</v>
      </c>
      <c r="G2279" t="s">
        <v>326</v>
      </c>
      <c r="H2279" s="42" t="s">
        <v>752</v>
      </c>
      <c r="J2279" t="s">
        <v>248</v>
      </c>
      <c r="L2279" s="34">
        <v>3</v>
      </c>
      <c r="M2279" s="38">
        <v>0.75</v>
      </c>
      <c r="N2279" s="38">
        <f t="shared" si="35"/>
        <v>2.25</v>
      </c>
    </row>
    <row r="2280" spans="1:14">
      <c r="A2280" s="29">
        <v>44145</v>
      </c>
      <c r="B2280" s="22" t="s">
        <v>113</v>
      </c>
      <c r="C2280" s="22" t="s">
        <v>271</v>
      </c>
      <c r="D2280" s="48" t="s">
        <v>5</v>
      </c>
      <c r="E2280" t="s">
        <v>157</v>
      </c>
      <c r="F2280">
        <v>2020</v>
      </c>
      <c r="G2280" t="s">
        <v>247</v>
      </c>
      <c r="H2280" s="42" t="s">
        <v>57</v>
      </c>
      <c r="J2280" t="s">
        <v>248</v>
      </c>
      <c r="L2280" s="34">
        <v>3</v>
      </c>
      <c r="M2280" s="38">
        <v>0.75</v>
      </c>
      <c r="N2280" s="38">
        <f t="shared" si="35"/>
        <v>2.25</v>
      </c>
    </row>
    <row r="2281" spans="1:14">
      <c r="A2281" s="29">
        <v>44147</v>
      </c>
      <c r="B2281" s="22" t="s">
        <v>293</v>
      </c>
      <c r="C2281" s="22" t="s">
        <v>41</v>
      </c>
      <c r="D2281" s="48" t="s">
        <v>5</v>
      </c>
      <c r="E2281" t="s">
        <v>157</v>
      </c>
      <c r="F2281">
        <v>2020</v>
      </c>
      <c r="G2281" t="s">
        <v>326</v>
      </c>
      <c r="H2281" s="42" t="s">
        <v>752</v>
      </c>
      <c r="J2281" t="s">
        <v>248</v>
      </c>
      <c r="L2281" s="34">
        <v>6</v>
      </c>
      <c r="M2281" s="38">
        <v>0.75</v>
      </c>
      <c r="N2281" s="38">
        <f t="shared" si="35"/>
        <v>4.5</v>
      </c>
    </row>
    <row r="2282" spans="1:14">
      <c r="A2282" s="29">
        <v>44147</v>
      </c>
      <c r="B2282" s="22" t="s">
        <v>293</v>
      </c>
      <c r="C2282" s="22" t="s">
        <v>41</v>
      </c>
      <c r="D2282" s="48" t="s">
        <v>5</v>
      </c>
      <c r="E2282" t="s">
        <v>157</v>
      </c>
      <c r="F2282">
        <v>2020</v>
      </c>
      <c r="G2282" t="s">
        <v>247</v>
      </c>
      <c r="H2282" s="42" t="s">
        <v>57</v>
      </c>
      <c r="J2282" t="s">
        <v>248</v>
      </c>
      <c r="L2282" s="34">
        <v>6</v>
      </c>
      <c r="M2282" s="38">
        <v>0.75</v>
      </c>
      <c r="N2282" s="38">
        <f t="shared" si="35"/>
        <v>4.5</v>
      </c>
    </row>
    <row r="2283" spans="1:14">
      <c r="A2283" s="29">
        <v>44147</v>
      </c>
      <c r="B2283" s="22" t="s">
        <v>293</v>
      </c>
      <c r="C2283" s="22" t="s">
        <v>41</v>
      </c>
      <c r="D2283" s="48" t="s">
        <v>5</v>
      </c>
      <c r="E2283" t="s">
        <v>159</v>
      </c>
      <c r="F2283">
        <v>2020</v>
      </c>
      <c r="G2283" t="s">
        <v>326</v>
      </c>
      <c r="H2283" s="42" t="s">
        <v>764</v>
      </c>
      <c r="J2283" t="s">
        <v>248</v>
      </c>
      <c r="L2283" s="34">
        <v>6</v>
      </c>
      <c r="M2283" s="38">
        <v>0.75</v>
      </c>
      <c r="N2283" s="38">
        <f t="shared" si="35"/>
        <v>4.5</v>
      </c>
    </row>
    <row r="2284" spans="1:14">
      <c r="A2284" s="29">
        <v>44147</v>
      </c>
      <c r="B2284" s="22" t="s">
        <v>293</v>
      </c>
      <c r="C2284" s="22" t="s">
        <v>41</v>
      </c>
      <c r="D2284" s="48" t="s">
        <v>5</v>
      </c>
      <c r="E2284" t="s">
        <v>159</v>
      </c>
      <c r="F2284">
        <v>2020</v>
      </c>
      <c r="G2284" t="s">
        <v>247</v>
      </c>
      <c r="H2284" s="42" t="s">
        <v>784</v>
      </c>
      <c r="J2284" t="s">
        <v>248</v>
      </c>
      <c r="L2284" s="34">
        <v>6</v>
      </c>
      <c r="M2284" s="38">
        <v>0.75</v>
      </c>
      <c r="N2284" s="38">
        <f t="shared" si="35"/>
        <v>4.5</v>
      </c>
    </row>
    <row r="2285" spans="1:14">
      <c r="A2285" s="29">
        <v>44147</v>
      </c>
      <c r="B2285" s="22" t="s">
        <v>293</v>
      </c>
      <c r="C2285" s="22" t="s">
        <v>41</v>
      </c>
      <c r="D2285" s="48" t="s">
        <v>5</v>
      </c>
      <c r="E2285" t="s">
        <v>255</v>
      </c>
      <c r="F2285">
        <v>2020</v>
      </c>
      <c r="G2285" t="s">
        <v>326</v>
      </c>
      <c r="H2285" s="42" t="s">
        <v>765</v>
      </c>
      <c r="J2285" t="s">
        <v>248</v>
      </c>
      <c r="L2285" s="34">
        <v>3</v>
      </c>
      <c r="M2285" s="38">
        <v>0.75</v>
      </c>
      <c r="N2285" s="38">
        <f t="shared" si="35"/>
        <v>2.25</v>
      </c>
    </row>
    <row r="2286" spans="1:14">
      <c r="A2286" s="29">
        <v>44147</v>
      </c>
      <c r="B2286" s="22" t="s">
        <v>293</v>
      </c>
      <c r="C2286" s="22" t="s">
        <v>41</v>
      </c>
      <c r="D2286" s="48" t="s">
        <v>5</v>
      </c>
      <c r="E2286" t="s">
        <v>255</v>
      </c>
      <c r="F2286">
        <v>2020</v>
      </c>
      <c r="G2286" t="s">
        <v>247</v>
      </c>
      <c r="H2286" s="42" t="s">
        <v>57</v>
      </c>
      <c r="J2286" t="s">
        <v>248</v>
      </c>
      <c r="L2286" s="34">
        <v>3</v>
      </c>
      <c r="M2286" s="38">
        <v>0.75</v>
      </c>
      <c r="N2286" s="38">
        <f t="shared" si="35"/>
        <v>2.25</v>
      </c>
    </row>
    <row r="2287" spans="1:14">
      <c r="A2287" s="29">
        <v>44147</v>
      </c>
      <c r="B2287" s="22" t="s">
        <v>293</v>
      </c>
      <c r="C2287" s="22" t="s">
        <v>41</v>
      </c>
      <c r="D2287" s="48" t="s">
        <v>5</v>
      </c>
      <c r="E2287" t="s">
        <v>158</v>
      </c>
      <c r="F2287">
        <v>2020</v>
      </c>
      <c r="G2287" t="s">
        <v>326</v>
      </c>
      <c r="H2287" s="42" t="s">
        <v>57</v>
      </c>
      <c r="J2287" t="s">
        <v>248</v>
      </c>
      <c r="L2287" s="34">
        <v>3</v>
      </c>
      <c r="M2287" s="38">
        <v>0.75</v>
      </c>
      <c r="N2287" s="38">
        <f t="shared" si="35"/>
        <v>2.25</v>
      </c>
    </row>
    <row r="2288" spans="1:14">
      <c r="A2288" s="29">
        <v>44147</v>
      </c>
      <c r="B2288" s="22" t="s">
        <v>293</v>
      </c>
      <c r="C2288" s="22" t="s">
        <v>41</v>
      </c>
      <c r="D2288" s="48" t="s">
        <v>5</v>
      </c>
      <c r="E2288" t="s">
        <v>158</v>
      </c>
      <c r="F2288">
        <v>2020</v>
      </c>
      <c r="G2288" t="s">
        <v>758</v>
      </c>
      <c r="H2288" s="42" t="s">
        <v>57</v>
      </c>
      <c r="J2288" t="s">
        <v>248</v>
      </c>
      <c r="L2288" s="34">
        <v>3</v>
      </c>
      <c r="M2288" s="38">
        <v>0.75</v>
      </c>
      <c r="N2288" s="38">
        <f t="shared" si="35"/>
        <v>2.25</v>
      </c>
    </row>
    <row r="2289" spans="1:14">
      <c r="A2289" s="29">
        <v>44148</v>
      </c>
      <c r="B2289" s="22" t="s">
        <v>57</v>
      </c>
      <c r="C2289" s="22" t="s">
        <v>55</v>
      </c>
      <c r="D2289" s="48" t="s">
        <v>5</v>
      </c>
      <c r="E2289" t="s">
        <v>255</v>
      </c>
      <c r="F2289">
        <v>2020</v>
      </c>
      <c r="G2289" t="s">
        <v>326</v>
      </c>
      <c r="H2289" s="42" t="s">
        <v>765</v>
      </c>
      <c r="J2289" t="s">
        <v>248</v>
      </c>
      <c r="L2289" s="34">
        <v>4</v>
      </c>
      <c r="M2289" s="38">
        <v>0.75</v>
      </c>
      <c r="N2289" s="38">
        <f t="shared" si="35"/>
        <v>3</v>
      </c>
    </row>
    <row r="2290" spans="1:14">
      <c r="A2290" s="29">
        <v>44148</v>
      </c>
      <c r="B2290" s="22" t="s">
        <v>57</v>
      </c>
      <c r="C2290" s="22" t="s">
        <v>55</v>
      </c>
      <c r="D2290" s="48" t="s">
        <v>5</v>
      </c>
      <c r="E2290" t="s">
        <v>255</v>
      </c>
      <c r="F2290">
        <v>2020</v>
      </c>
      <c r="G2290" t="s">
        <v>247</v>
      </c>
      <c r="H2290" s="42" t="s">
        <v>57</v>
      </c>
      <c r="J2290" t="s">
        <v>248</v>
      </c>
      <c r="L2290" s="34">
        <v>4</v>
      </c>
      <c r="M2290" s="38">
        <v>0.75</v>
      </c>
      <c r="N2290" s="38">
        <f t="shared" si="35"/>
        <v>3</v>
      </c>
    </row>
    <row r="2291" spans="1:14">
      <c r="A2291" s="29">
        <v>44148</v>
      </c>
      <c r="B2291" s="22" t="s">
        <v>57</v>
      </c>
      <c r="C2291" s="22" t="s">
        <v>55</v>
      </c>
      <c r="D2291" s="48" t="s">
        <v>5</v>
      </c>
      <c r="E2291" t="s">
        <v>157</v>
      </c>
      <c r="F2291">
        <v>2020</v>
      </c>
      <c r="G2291" t="s">
        <v>326</v>
      </c>
      <c r="H2291" s="42" t="s">
        <v>752</v>
      </c>
      <c r="J2291" t="s">
        <v>248</v>
      </c>
      <c r="L2291" s="34">
        <v>4</v>
      </c>
      <c r="M2291" s="38">
        <v>0.75</v>
      </c>
      <c r="N2291" s="38">
        <f t="shared" si="35"/>
        <v>3</v>
      </c>
    </row>
    <row r="2292" spans="1:14">
      <c r="A2292" s="29">
        <v>44148</v>
      </c>
      <c r="B2292" s="22" t="s">
        <v>57</v>
      </c>
      <c r="C2292" s="22" t="s">
        <v>55</v>
      </c>
      <c r="D2292" s="48" t="s">
        <v>5</v>
      </c>
      <c r="E2292" t="s">
        <v>157</v>
      </c>
      <c r="F2292">
        <v>2020</v>
      </c>
      <c r="G2292" t="s">
        <v>247</v>
      </c>
      <c r="H2292" s="42" t="s">
        <v>57</v>
      </c>
      <c r="J2292" t="s">
        <v>248</v>
      </c>
      <c r="L2292" s="34">
        <v>4</v>
      </c>
      <c r="M2292" s="38">
        <v>0.75</v>
      </c>
      <c r="N2292" s="38">
        <f t="shared" si="35"/>
        <v>3</v>
      </c>
    </row>
    <row r="2293" spans="1:14">
      <c r="A2293" s="29">
        <v>44155</v>
      </c>
      <c r="B2293" s="22" t="s">
        <v>57</v>
      </c>
      <c r="C2293" s="22" t="s">
        <v>55</v>
      </c>
      <c r="D2293" s="48" t="s">
        <v>5</v>
      </c>
      <c r="E2293" t="s">
        <v>157</v>
      </c>
      <c r="F2293">
        <v>2020</v>
      </c>
      <c r="G2293" t="s">
        <v>326</v>
      </c>
      <c r="H2293" s="42" t="s">
        <v>785</v>
      </c>
      <c r="J2293" t="s">
        <v>248</v>
      </c>
      <c r="L2293" s="34">
        <v>4</v>
      </c>
      <c r="M2293" s="38">
        <v>0.75</v>
      </c>
      <c r="N2293" s="38">
        <f t="shared" si="35"/>
        <v>3</v>
      </c>
    </row>
    <row r="2294" spans="1:14">
      <c r="A2294" s="29">
        <v>44155</v>
      </c>
      <c r="B2294" s="22" t="s">
        <v>57</v>
      </c>
      <c r="C2294" s="22" t="s">
        <v>55</v>
      </c>
      <c r="D2294" s="48" t="s">
        <v>5</v>
      </c>
      <c r="E2294" t="s">
        <v>157</v>
      </c>
      <c r="F2294">
        <v>2020</v>
      </c>
      <c r="G2294" t="s">
        <v>247</v>
      </c>
      <c r="H2294" s="42" t="s">
        <v>786</v>
      </c>
      <c r="J2294" t="s">
        <v>248</v>
      </c>
      <c r="L2294" s="34">
        <v>4</v>
      </c>
      <c r="M2294" s="38">
        <v>0.75</v>
      </c>
      <c r="N2294" s="38">
        <f t="shared" si="35"/>
        <v>3</v>
      </c>
    </row>
    <row r="2295" spans="1:14">
      <c r="A2295" s="29">
        <v>44158</v>
      </c>
      <c r="B2295" s="22" t="s">
        <v>79</v>
      </c>
      <c r="C2295" s="22" t="s">
        <v>57</v>
      </c>
      <c r="D2295" s="48" t="s">
        <v>5</v>
      </c>
      <c r="E2295" t="s">
        <v>157</v>
      </c>
      <c r="F2295">
        <v>2020</v>
      </c>
      <c r="G2295" t="s">
        <v>247</v>
      </c>
      <c r="H2295" s="42" t="s">
        <v>786</v>
      </c>
      <c r="J2295" t="s">
        <v>248</v>
      </c>
      <c r="L2295" s="34">
        <v>1</v>
      </c>
      <c r="M2295" s="38">
        <v>0.75</v>
      </c>
      <c r="N2295" s="38">
        <f t="shared" si="35"/>
        <v>0.75</v>
      </c>
    </row>
    <row r="2296" spans="1:14">
      <c r="A2296" s="29">
        <v>44158</v>
      </c>
      <c r="B2296" s="22" t="s">
        <v>79</v>
      </c>
      <c r="C2296" s="22" t="s">
        <v>57</v>
      </c>
      <c r="D2296" s="48" t="s">
        <v>5</v>
      </c>
      <c r="E2296" t="s">
        <v>157</v>
      </c>
      <c r="F2296">
        <v>2020</v>
      </c>
      <c r="G2296" t="s">
        <v>326</v>
      </c>
      <c r="H2296" s="42" t="s">
        <v>756</v>
      </c>
      <c r="J2296" t="s">
        <v>248</v>
      </c>
      <c r="L2296" s="34">
        <v>1</v>
      </c>
      <c r="M2296" s="38">
        <v>0.75</v>
      </c>
      <c r="N2296" s="38">
        <f t="shared" si="35"/>
        <v>0.75</v>
      </c>
    </row>
    <row r="2297" spans="1:14">
      <c r="A2297" s="29">
        <v>44158</v>
      </c>
      <c r="B2297" s="22" t="s">
        <v>79</v>
      </c>
      <c r="C2297" s="22" t="s">
        <v>57</v>
      </c>
      <c r="D2297" s="48" t="s">
        <v>5</v>
      </c>
      <c r="E2297" t="s">
        <v>159</v>
      </c>
      <c r="F2297">
        <v>2020</v>
      </c>
      <c r="G2297" t="s">
        <v>326</v>
      </c>
      <c r="H2297" s="42" t="s">
        <v>787</v>
      </c>
      <c r="J2297" t="s">
        <v>248</v>
      </c>
      <c r="L2297" s="34">
        <v>1</v>
      </c>
      <c r="M2297" s="38">
        <v>0.75</v>
      </c>
      <c r="N2297" s="38">
        <f t="shared" si="35"/>
        <v>0.75</v>
      </c>
    </row>
    <row r="2298" spans="1:14">
      <c r="A2298" s="29">
        <v>44158</v>
      </c>
      <c r="B2298" s="22" t="s">
        <v>79</v>
      </c>
      <c r="C2298" s="22" t="s">
        <v>57</v>
      </c>
      <c r="D2298" s="48" t="s">
        <v>5</v>
      </c>
      <c r="E2298" t="s">
        <v>159</v>
      </c>
      <c r="F2298">
        <v>2020</v>
      </c>
      <c r="G2298" t="s">
        <v>247</v>
      </c>
      <c r="H2298" s="42" t="s">
        <v>788</v>
      </c>
      <c r="J2298" t="s">
        <v>248</v>
      </c>
      <c r="L2298" s="34">
        <v>1</v>
      </c>
      <c r="M2298" s="38">
        <v>0.75</v>
      </c>
      <c r="N2298" s="38">
        <f t="shared" si="35"/>
        <v>0.75</v>
      </c>
    </row>
    <row r="2299" spans="1:14">
      <c r="A2299" s="29">
        <v>44158</v>
      </c>
      <c r="B2299" s="22" t="s">
        <v>79</v>
      </c>
      <c r="C2299" s="25" t="s">
        <v>57</v>
      </c>
      <c r="D2299" s="48" t="s">
        <v>8</v>
      </c>
      <c r="E2299" t="s">
        <v>185</v>
      </c>
      <c r="F2299">
        <v>2020</v>
      </c>
      <c r="G2299" t="s">
        <v>273</v>
      </c>
      <c r="H2299" s="42" t="s">
        <v>57</v>
      </c>
      <c r="J2299" t="s">
        <v>248</v>
      </c>
      <c r="L2299" s="34">
        <v>1</v>
      </c>
      <c r="M2299" s="38">
        <v>0.75</v>
      </c>
      <c r="N2299" s="38">
        <f t="shared" si="35"/>
        <v>0.75</v>
      </c>
    </row>
    <row r="2300" spans="1:14">
      <c r="A2300" s="29">
        <v>44158</v>
      </c>
      <c r="B2300" s="22" t="s">
        <v>79</v>
      </c>
      <c r="C2300" s="22" t="s">
        <v>57</v>
      </c>
      <c r="D2300" s="48" t="s">
        <v>5</v>
      </c>
      <c r="E2300" t="s">
        <v>262</v>
      </c>
      <c r="F2300">
        <v>2020</v>
      </c>
      <c r="G2300" t="s">
        <v>307</v>
      </c>
      <c r="H2300" s="42" t="s">
        <v>57</v>
      </c>
      <c r="J2300" t="s">
        <v>248</v>
      </c>
      <c r="L2300" s="34">
        <v>1</v>
      </c>
      <c r="M2300" s="38">
        <v>0.75</v>
      </c>
      <c r="N2300" s="38">
        <f t="shared" si="35"/>
        <v>0.75</v>
      </c>
    </row>
    <row r="2301" spans="1:14">
      <c r="A2301" s="29">
        <v>44158</v>
      </c>
      <c r="B2301" s="22" t="s">
        <v>79</v>
      </c>
      <c r="C2301" s="22" t="s">
        <v>57</v>
      </c>
      <c r="D2301" s="48" t="s">
        <v>11</v>
      </c>
      <c r="E2301" t="s">
        <v>259</v>
      </c>
      <c r="F2301">
        <v>2020</v>
      </c>
      <c r="G2301" t="s">
        <v>57</v>
      </c>
      <c r="H2301" s="42" t="s">
        <v>789</v>
      </c>
      <c r="J2301" t="s">
        <v>248</v>
      </c>
      <c r="L2301" s="34">
        <v>1</v>
      </c>
      <c r="M2301" s="38">
        <v>0.75</v>
      </c>
      <c r="N2301" s="38">
        <f t="shared" si="35"/>
        <v>0.75</v>
      </c>
    </row>
    <row r="2302" spans="1:14">
      <c r="A2302" s="29">
        <v>44158</v>
      </c>
      <c r="B2302" s="22" t="s">
        <v>63</v>
      </c>
      <c r="C2302" s="22" t="s">
        <v>57</v>
      </c>
      <c r="D2302" s="48" t="s">
        <v>5</v>
      </c>
      <c r="E2302" t="s">
        <v>159</v>
      </c>
      <c r="F2302">
        <v>2020</v>
      </c>
      <c r="G2302" t="s">
        <v>319</v>
      </c>
      <c r="H2302" s="42" t="s">
        <v>790</v>
      </c>
      <c r="J2302" t="s">
        <v>248</v>
      </c>
      <c r="L2302" s="34">
        <v>6</v>
      </c>
      <c r="M2302" s="38">
        <v>0.75</v>
      </c>
      <c r="N2302" s="38">
        <f t="shared" si="35"/>
        <v>4.5</v>
      </c>
    </row>
    <row r="2303" spans="1:14">
      <c r="A2303" s="29">
        <v>44158</v>
      </c>
      <c r="B2303" s="22" t="s">
        <v>63</v>
      </c>
      <c r="C2303" s="22" t="s">
        <v>57</v>
      </c>
      <c r="D2303" s="48" t="s">
        <v>5</v>
      </c>
      <c r="E2303" t="s">
        <v>159</v>
      </c>
      <c r="F2303">
        <v>2020</v>
      </c>
      <c r="G2303" t="s">
        <v>326</v>
      </c>
      <c r="H2303" s="42" t="s">
        <v>787</v>
      </c>
      <c r="J2303" t="s">
        <v>248</v>
      </c>
      <c r="L2303" s="34">
        <v>6</v>
      </c>
      <c r="M2303" s="38">
        <v>0.75</v>
      </c>
      <c r="N2303" s="38">
        <f t="shared" si="35"/>
        <v>4.5</v>
      </c>
    </row>
    <row r="2304" spans="1:14">
      <c r="A2304" s="29">
        <v>44158</v>
      </c>
      <c r="B2304" s="22" t="s">
        <v>63</v>
      </c>
      <c r="C2304" s="22" t="s">
        <v>57</v>
      </c>
      <c r="D2304" s="48" t="s">
        <v>5</v>
      </c>
      <c r="E2304" t="s">
        <v>159</v>
      </c>
      <c r="F2304">
        <v>2020</v>
      </c>
      <c r="G2304" t="s">
        <v>247</v>
      </c>
      <c r="H2304" s="42" t="s">
        <v>788</v>
      </c>
      <c r="J2304" t="s">
        <v>248</v>
      </c>
      <c r="L2304" s="34">
        <v>6</v>
      </c>
      <c r="M2304" s="38">
        <v>0.75</v>
      </c>
      <c r="N2304" s="38">
        <f t="shared" si="35"/>
        <v>4.5</v>
      </c>
    </row>
    <row r="2305" spans="1:14">
      <c r="A2305" s="29">
        <v>44158</v>
      </c>
      <c r="B2305" s="22" t="s">
        <v>63</v>
      </c>
      <c r="C2305" s="22" t="s">
        <v>57</v>
      </c>
      <c r="D2305" s="48" t="s">
        <v>5</v>
      </c>
      <c r="E2305" t="s">
        <v>157</v>
      </c>
      <c r="F2305">
        <v>2020</v>
      </c>
      <c r="G2305" t="s">
        <v>326</v>
      </c>
      <c r="H2305" s="42" t="s">
        <v>756</v>
      </c>
      <c r="J2305" t="s">
        <v>248</v>
      </c>
      <c r="L2305" s="34">
        <v>6</v>
      </c>
      <c r="M2305" s="38">
        <v>0.75</v>
      </c>
      <c r="N2305" s="38">
        <f t="shared" si="35"/>
        <v>4.5</v>
      </c>
    </row>
    <row r="2306" spans="1:14">
      <c r="A2306" s="29">
        <v>44158</v>
      </c>
      <c r="B2306" s="22" t="s">
        <v>63</v>
      </c>
      <c r="C2306" s="22" t="s">
        <v>57</v>
      </c>
      <c r="D2306" s="48" t="s">
        <v>5</v>
      </c>
      <c r="E2306" t="s">
        <v>157</v>
      </c>
      <c r="F2306">
        <v>2020</v>
      </c>
      <c r="G2306" t="s">
        <v>247</v>
      </c>
      <c r="H2306" s="42" t="s">
        <v>786</v>
      </c>
      <c r="J2306" t="s">
        <v>248</v>
      </c>
      <c r="L2306" s="34">
        <v>6</v>
      </c>
      <c r="M2306" s="38">
        <v>0.75</v>
      </c>
      <c r="N2306" s="38">
        <f t="shared" si="35"/>
        <v>4.5</v>
      </c>
    </row>
    <row r="2307" spans="1:14">
      <c r="A2307" s="29">
        <v>44158</v>
      </c>
      <c r="B2307" s="22" t="s">
        <v>63</v>
      </c>
      <c r="C2307" s="22" t="s">
        <v>57</v>
      </c>
      <c r="D2307" s="48" t="s">
        <v>5</v>
      </c>
      <c r="E2307" t="s">
        <v>255</v>
      </c>
      <c r="F2307">
        <v>2020</v>
      </c>
      <c r="G2307" t="s">
        <v>326</v>
      </c>
      <c r="H2307" s="42" t="s">
        <v>765</v>
      </c>
      <c r="J2307" t="s">
        <v>248</v>
      </c>
      <c r="L2307" s="34">
        <v>6</v>
      </c>
      <c r="M2307" s="38">
        <v>0.75</v>
      </c>
      <c r="N2307" s="38">
        <f t="shared" ref="N2307:N2370" si="36">M2307*L2307</f>
        <v>4.5</v>
      </c>
    </row>
    <row r="2308" spans="1:14">
      <c r="A2308" s="29">
        <v>44158</v>
      </c>
      <c r="B2308" s="22" t="s">
        <v>63</v>
      </c>
      <c r="C2308" s="22" t="s">
        <v>57</v>
      </c>
      <c r="D2308" s="48" t="s">
        <v>5</v>
      </c>
      <c r="E2308" t="s">
        <v>255</v>
      </c>
      <c r="F2308">
        <v>2020</v>
      </c>
      <c r="G2308" t="s">
        <v>247</v>
      </c>
      <c r="H2308" s="42" t="s">
        <v>57</v>
      </c>
      <c r="J2308" t="s">
        <v>248</v>
      </c>
      <c r="L2308" s="34">
        <v>6</v>
      </c>
      <c r="M2308" s="38">
        <v>0.75</v>
      </c>
      <c r="N2308" s="38">
        <f t="shared" si="36"/>
        <v>4.5</v>
      </c>
    </row>
    <row r="2309" spans="1:14">
      <c r="A2309" s="29">
        <v>44158</v>
      </c>
      <c r="B2309" s="22" t="s">
        <v>63</v>
      </c>
      <c r="C2309" s="22" t="s">
        <v>57</v>
      </c>
      <c r="D2309" s="48" t="s">
        <v>5</v>
      </c>
      <c r="E2309" t="s">
        <v>158</v>
      </c>
      <c r="F2309">
        <v>2020</v>
      </c>
      <c r="G2309" t="s">
        <v>326</v>
      </c>
      <c r="H2309" s="42" t="s">
        <v>57</v>
      </c>
      <c r="J2309" t="s">
        <v>248</v>
      </c>
      <c r="L2309" s="34">
        <v>3</v>
      </c>
      <c r="M2309" s="38">
        <v>0.75</v>
      </c>
      <c r="N2309" s="38">
        <f t="shared" si="36"/>
        <v>2.25</v>
      </c>
    </row>
    <row r="2310" spans="1:14">
      <c r="A2310" s="29">
        <v>44158</v>
      </c>
      <c r="B2310" s="22" t="s">
        <v>63</v>
      </c>
      <c r="C2310" s="22" t="s">
        <v>57</v>
      </c>
      <c r="D2310" s="48" t="s">
        <v>5</v>
      </c>
      <c r="E2310" t="s">
        <v>158</v>
      </c>
      <c r="F2310">
        <v>2020</v>
      </c>
      <c r="G2310" t="s">
        <v>757</v>
      </c>
      <c r="H2310" s="42" t="s">
        <v>57</v>
      </c>
      <c r="J2310" t="s">
        <v>248</v>
      </c>
      <c r="L2310" s="34">
        <v>3</v>
      </c>
      <c r="M2310" s="38">
        <v>0.75</v>
      </c>
      <c r="N2310" s="38">
        <f t="shared" si="36"/>
        <v>2.25</v>
      </c>
    </row>
    <row r="2311" spans="1:14">
      <c r="A2311" s="29">
        <v>44158</v>
      </c>
      <c r="B2311" s="22" t="s">
        <v>63</v>
      </c>
      <c r="C2311" s="22" t="s">
        <v>57</v>
      </c>
      <c r="D2311" s="48" t="s">
        <v>5</v>
      </c>
      <c r="E2311" t="s">
        <v>158</v>
      </c>
      <c r="F2311">
        <v>2020</v>
      </c>
      <c r="G2311" t="s">
        <v>758</v>
      </c>
      <c r="H2311" s="42" t="s">
        <v>57</v>
      </c>
      <c r="J2311" t="s">
        <v>248</v>
      </c>
      <c r="L2311" s="34">
        <v>3</v>
      </c>
      <c r="M2311" s="38">
        <v>0.75</v>
      </c>
      <c r="N2311" s="38">
        <f t="shared" si="36"/>
        <v>2.25</v>
      </c>
    </row>
    <row r="2312" spans="1:14">
      <c r="A2312" s="29">
        <v>44159</v>
      </c>
      <c r="B2312" s="22" t="s">
        <v>17</v>
      </c>
      <c r="C2312" s="22" t="s">
        <v>57</v>
      </c>
      <c r="D2312" s="48" t="s">
        <v>8</v>
      </c>
      <c r="E2312" t="s">
        <v>272</v>
      </c>
      <c r="F2312">
        <v>2020</v>
      </c>
      <c r="G2312" t="s">
        <v>273</v>
      </c>
      <c r="H2312" s="42" t="s">
        <v>57</v>
      </c>
      <c r="J2312" t="s">
        <v>248</v>
      </c>
      <c r="L2312" s="34">
        <v>4</v>
      </c>
      <c r="M2312" s="38">
        <v>0.75</v>
      </c>
      <c r="N2312" s="38">
        <f t="shared" si="36"/>
        <v>3</v>
      </c>
    </row>
    <row r="2313" spans="1:14">
      <c r="A2313" s="29">
        <v>44159</v>
      </c>
      <c r="B2313" s="22" t="s">
        <v>647</v>
      </c>
      <c r="C2313" s="22" t="s">
        <v>57</v>
      </c>
      <c r="D2313" s="48" t="s">
        <v>5</v>
      </c>
      <c r="E2313" t="s">
        <v>159</v>
      </c>
      <c r="F2313">
        <v>2020</v>
      </c>
      <c r="G2313" t="s">
        <v>247</v>
      </c>
      <c r="H2313" s="42" t="s">
        <v>788</v>
      </c>
      <c r="J2313" t="s">
        <v>248</v>
      </c>
      <c r="L2313" s="34">
        <v>2</v>
      </c>
      <c r="M2313" s="38">
        <v>0.75</v>
      </c>
      <c r="N2313" s="38">
        <f t="shared" si="36"/>
        <v>1.5</v>
      </c>
    </row>
    <row r="2314" spans="1:14">
      <c r="A2314" s="29">
        <v>44159</v>
      </c>
      <c r="B2314" s="22" t="s">
        <v>647</v>
      </c>
      <c r="C2314" s="22" t="s">
        <v>57</v>
      </c>
      <c r="D2314" s="48" t="s">
        <v>5</v>
      </c>
      <c r="E2314" t="s">
        <v>159</v>
      </c>
      <c r="F2314">
        <v>2020</v>
      </c>
      <c r="G2314" t="s">
        <v>326</v>
      </c>
      <c r="H2314" s="42" t="s">
        <v>787</v>
      </c>
      <c r="J2314" t="s">
        <v>248</v>
      </c>
      <c r="L2314" s="34">
        <v>2</v>
      </c>
      <c r="M2314" s="38">
        <v>0.75</v>
      </c>
      <c r="N2314" s="38">
        <f t="shared" si="36"/>
        <v>1.5</v>
      </c>
    </row>
    <row r="2315" spans="1:14">
      <c r="A2315" s="29">
        <v>44159</v>
      </c>
      <c r="B2315" s="22" t="s">
        <v>647</v>
      </c>
      <c r="C2315" s="22" t="s">
        <v>57</v>
      </c>
      <c r="D2315" s="48" t="s">
        <v>5</v>
      </c>
      <c r="E2315" t="s">
        <v>255</v>
      </c>
      <c r="F2315">
        <v>2020</v>
      </c>
      <c r="G2315" t="s">
        <v>326</v>
      </c>
      <c r="H2315" s="42" t="s">
        <v>765</v>
      </c>
      <c r="J2315" t="s">
        <v>248</v>
      </c>
      <c r="L2315" s="34">
        <v>2</v>
      </c>
      <c r="M2315" s="38">
        <v>0.75</v>
      </c>
      <c r="N2315" s="38">
        <f t="shared" si="36"/>
        <v>1.5</v>
      </c>
    </row>
    <row r="2316" spans="1:14">
      <c r="A2316" s="29">
        <v>44159</v>
      </c>
      <c r="B2316" s="22" t="s">
        <v>647</v>
      </c>
      <c r="C2316" s="22" t="s">
        <v>57</v>
      </c>
      <c r="D2316" s="48" t="s">
        <v>5</v>
      </c>
      <c r="E2316" t="s">
        <v>255</v>
      </c>
      <c r="F2316">
        <v>2020</v>
      </c>
      <c r="G2316" t="s">
        <v>247</v>
      </c>
      <c r="H2316" s="42" t="s">
        <v>791</v>
      </c>
      <c r="J2316" t="s">
        <v>248</v>
      </c>
      <c r="L2316" s="34">
        <v>2</v>
      </c>
      <c r="M2316" s="38">
        <v>0.75</v>
      </c>
      <c r="N2316" s="38">
        <f t="shared" si="36"/>
        <v>1.5</v>
      </c>
    </row>
    <row r="2317" spans="1:14">
      <c r="A2317" s="29">
        <v>44159</v>
      </c>
      <c r="B2317" s="22" t="s">
        <v>647</v>
      </c>
      <c r="C2317" s="22" t="s">
        <v>57</v>
      </c>
      <c r="D2317" s="48" t="s">
        <v>8</v>
      </c>
      <c r="E2317" t="s">
        <v>272</v>
      </c>
      <c r="F2317">
        <v>2020</v>
      </c>
      <c r="G2317" t="s">
        <v>273</v>
      </c>
      <c r="H2317" s="42" t="s">
        <v>57</v>
      </c>
      <c r="J2317" t="s">
        <v>248</v>
      </c>
      <c r="L2317" s="34">
        <v>2</v>
      </c>
      <c r="M2317" s="38">
        <v>0.75</v>
      </c>
      <c r="N2317" s="38">
        <f t="shared" si="36"/>
        <v>1.5</v>
      </c>
    </row>
    <row r="2318" spans="1:14">
      <c r="A2318" s="29">
        <v>44160</v>
      </c>
      <c r="B2318" s="22" t="s">
        <v>63</v>
      </c>
      <c r="C2318" s="22" t="s">
        <v>57</v>
      </c>
      <c r="D2318" s="48" t="s">
        <v>11</v>
      </c>
      <c r="E2318" t="s">
        <v>259</v>
      </c>
      <c r="F2318">
        <v>2020</v>
      </c>
      <c r="G2318" t="s">
        <v>792</v>
      </c>
      <c r="H2318" s="42" t="s">
        <v>57</v>
      </c>
      <c r="J2318" t="s">
        <v>248</v>
      </c>
      <c r="K2318" t="s">
        <v>793</v>
      </c>
      <c r="L2318" s="34">
        <v>2</v>
      </c>
      <c r="M2318" s="38">
        <v>0.75</v>
      </c>
      <c r="N2318" s="38">
        <f t="shared" si="36"/>
        <v>1.5</v>
      </c>
    </row>
    <row r="2319" spans="1:14">
      <c r="A2319" s="29">
        <v>44160</v>
      </c>
      <c r="B2319" s="22" t="s">
        <v>63</v>
      </c>
      <c r="C2319" s="22" t="s">
        <v>57</v>
      </c>
      <c r="D2319" s="48" t="s">
        <v>11</v>
      </c>
      <c r="E2319" t="s">
        <v>259</v>
      </c>
      <c r="F2319">
        <v>2020</v>
      </c>
      <c r="G2319" t="s">
        <v>794</v>
      </c>
      <c r="H2319" s="42" t="s">
        <v>57</v>
      </c>
      <c r="J2319" t="s">
        <v>248</v>
      </c>
      <c r="K2319" t="s">
        <v>795</v>
      </c>
      <c r="L2319" s="34">
        <v>2</v>
      </c>
      <c r="M2319" s="38">
        <v>0.75</v>
      </c>
      <c r="N2319" s="38">
        <f t="shared" si="36"/>
        <v>1.5</v>
      </c>
    </row>
    <row r="2320" spans="1:14">
      <c r="A2320" s="29">
        <v>44160</v>
      </c>
      <c r="B2320" s="22" t="s">
        <v>63</v>
      </c>
      <c r="C2320" s="22" t="s">
        <v>57</v>
      </c>
      <c r="D2320" s="48" t="s">
        <v>5</v>
      </c>
      <c r="E2320" t="s">
        <v>307</v>
      </c>
      <c r="F2320">
        <v>2020</v>
      </c>
      <c r="G2320" t="s">
        <v>307</v>
      </c>
      <c r="H2320" s="42" t="s">
        <v>57</v>
      </c>
      <c r="J2320" t="s">
        <v>248</v>
      </c>
      <c r="L2320" s="34">
        <v>3</v>
      </c>
      <c r="M2320" s="38">
        <v>0.75</v>
      </c>
      <c r="N2320" s="38">
        <f t="shared" si="36"/>
        <v>2.25</v>
      </c>
    </row>
    <row r="2321" spans="1:14">
      <c r="A2321" s="29">
        <v>44162</v>
      </c>
      <c r="B2321" s="22" t="s">
        <v>293</v>
      </c>
      <c r="C2321" s="22" t="s">
        <v>41</v>
      </c>
      <c r="D2321" s="48" t="s">
        <v>5</v>
      </c>
      <c r="E2321" t="s">
        <v>159</v>
      </c>
      <c r="F2321">
        <v>2020</v>
      </c>
      <c r="G2321" t="s">
        <v>326</v>
      </c>
      <c r="H2321" s="42" t="s">
        <v>787</v>
      </c>
      <c r="J2321" t="s">
        <v>248</v>
      </c>
      <c r="L2321" s="34">
        <v>2</v>
      </c>
      <c r="M2321" s="38">
        <v>0.75</v>
      </c>
      <c r="N2321" s="38">
        <f t="shared" si="36"/>
        <v>1.5</v>
      </c>
    </row>
    <row r="2322" spans="1:14">
      <c r="A2322" s="29">
        <v>44162</v>
      </c>
      <c r="B2322" s="22" t="s">
        <v>293</v>
      </c>
      <c r="C2322" s="22" t="s">
        <v>41</v>
      </c>
      <c r="D2322" s="48" t="s">
        <v>5</v>
      </c>
      <c r="E2322" t="s">
        <v>159</v>
      </c>
      <c r="F2322">
        <v>2020</v>
      </c>
      <c r="G2322" t="s">
        <v>247</v>
      </c>
      <c r="H2322" s="42" t="s">
        <v>788</v>
      </c>
      <c r="J2322" t="s">
        <v>248</v>
      </c>
      <c r="L2322" s="34">
        <v>2</v>
      </c>
      <c r="M2322" s="38">
        <v>0.75</v>
      </c>
      <c r="N2322" s="38">
        <f t="shared" si="36"/>
        <v>1.5</v>
      </c>
    </row>
    <row r="2323" spans="1:14">
      <c r="A2323" s="29">
        <v>44162</v>
      </c>
      <c r="B2323" s="22" t="s">
        <v>293</v>
      </c>
      <c r="C2323" s="22" t="s">
        <v>41</v>
      </c>
      <c r="D2323" s="48" t="s">
        <v>5</v>
      </c>
      <c r="E2323" t="s">
        <v>157</v>
      </c>
      <c r="F2323">
        <v>2020</v>
      </c>
      <c r="G2323" t="s">
        <v>247</v>
      </c>
      <c r="H2323" s="42" t="s">
        <v>786</v>
      </c>
      <c r="J2323" t="s">
        <v>248</v>
      </c>
      <c r="L2323" s="34">
        <v>2</v>
      </c>
      <c r="M2323" s="38">
        <v>0.75</v>
      </c>
      <c r="N2323" s="38">
        <f t="shared" si="36"/>
        <v>1.5</v>
      </c>
    </row>
    <row r="2324" spans="1:14">
      <c r="A2324" s="29">
        <v>44162</v>
      </c>
      <c r="B2324" s="22" t="s">
        <v>293</v>
      </c>
      <c r="C2324" s="22" t="s">
        <v>41</v>
      </c>
      <c r="D2324" s="48" t="s">
        <v>5</v>
      </c>
      <c r="E2324" t="s">
        <v>157</v>
      </c>
      <c r="F2324">
        <v>2020</v>
      </c>
      <c r="G2324" t="s">
        <v>326</v>
      </c>
      <c r="H2324" s="42" t="s">
        <v>785</v>
      </c>
      <c r="J2324" t="s">
        <v>248</v>
      </c>
      <c r="L2324" s="34">
        <v>2</v>
      </c>
      <c r="M2324" s="38">
        <v>0.75</v>
      </c>
      <c r="N2324" s="38">
        <f t="shared" si="36"/>
        <v>1.5</v>
      </c>
    </row>
    <row r="2325" spans="1:14">
      <c r="A2325" s="29">
        <v>44162</v>
      </c>
      <c r="B2325" s="22" t="s">
        <v>293</v>
      </c>
      <c r="C2325" s="22" t="s">
        <v>41</v>
      </c>
      <c r="D2325" s="48" t="s">
        <v>5</v>
      </c>
      <c r="E2325" t="s">
        <v>255</v>
      </c>
      <c r="F2325">
        <v>2020</v>
      </c>
      <c r="G2325" t="s">
        <v>326</v>
      </c>
      <c r="H2325" s="42" t="s">
        <v>765</v>
      </c>
      <c r="J2325" t="s">
        <v>248</v>
      </c>
      <c r="L2325" s="34">
        <v>2</v>
      </c>
      <c r="M2325" s="38">
        <v>0.75</v>
      </c>
      <c r="N2325" s="38">
        <f t="shared" si="36"/>
        <v>1.5</v>
      </c>
    </row>
    <row r="2326" spans="1:14">
      <c r="A2326" s="29">
        <v>44162</v>
      </c>
      <c r="B2326" s="22" t="s">
        <v>293</v>
      </c>
      <c r="C2326" s="22" t="s">
        <v>41</v>
      </c>
      <c r="D2326" s="48" t="s">
        <v>5</v>
      </c>
      <c r="E2326" t="s">
        <v>255</v>
      </c>
      <c r="F2326">
        <v>2020</v>
      </c>
      <c r="G2326" t="s">
        <v>247</v>
      </c>
      <c r="H2326" s="42" t="s">
        <v>791</v>
      </c>
      <c r="J2326" t="s">
        <v>248</v>
      </c>
      <c r="L2326" s="34">
        <v>2</v>
      </c>
      <c r="M2326" s="38">
        <v>0.75</v>
      </c>
      <c r="N2326" s="38">
        <f t="shared" si="36"/>
        <v>1.5</v>
      </c>
    </row>
    <row r="2327" spans="1:14">
      <c r="A2327" s="29">
        <v>44162</v>
      </c>
      <c r="B2327" s="22" t="s">
        <v>293</v>
      </c>
      <c r="C2327" s="22" t="s">
        <v>41</v>
      </c>
      <c r="D2327" s="48" t="s">
        <v>5</v>
      </c>
      <c r="E2327" t="s">
        <v>158</v>
      </c>
      <c r="F2327">
        <v>2020</v>
      </c>
      <c r="G2327" t="s">
        <v>326</v>
      </c>
      <c r="H2327" s="42" t="s">
        <v>57</v>
      </c>
      <c r="J2327" t="s">
        <v>248</v>
      </c>
      <c r="L2327" s="34">
        <v>2</v>
      </c>
      <c r="M2327" s="38">
        <v>0.75</v>
      </c>
      <c r="N2327" s="38">
        <f t="shared" si="36"/>
        <v>1.5</v>
      </c>
    </row>
    <row r="2328" spans="1:14">
      <c r="A2328" s="29">
        <v>44162</v>
      </c>
      <c r="B2328" s="22" t="s">
        <v>293</v>
      </c>
      <c r="C2328" s="22" t="s">
        <v>41</v>
      </c>
      <c r="D2328" s="48" t="s">
        <v>5</v>
      </c>
      <c r="E2328" t="s">
        <v>158</v>
      </c>
      <c r="F2328">
        <v>2020</v>
      </c>
      <c r="G2328" t="s">
        <v>757</v>
      </c>
      <c r="H2328" s="42" t="s">
        <v>57</v>
      </c>
      <c r="J2328" t="s">
        <v>248</v>
      </c>
      <c r="L2328" s="34">
        <v>2</v>
      </c>
      <c r="M2328" s="38">
        <v>0.75</v>
      </c>
      <c r="N2328" s="38">
        <f t="shared" si="36"/>
        <v>1.5</v>
      </c>
    </row>
    <row r="2329" spans="1:14">
      <c r="A2329" s="29">
        <v>44162</v>
      </c>
      <c r="B2329" s="22" t="s">
        <v>293</v>
      </c>
      <c r="C2329" s="22" t="s">
        <v>41</v>
      </c>
      <c r="D2329" s="48" t="s">
        <v>5</v>
      </c>
      <c r="E2329" t="s">
        <v>158</v>
      </c>
      <c r="F2329">
        <v>2020</v>
      </c>
      <c r="G2329" t="s">
        <v>758</v>
      </c>
      <c r="H2329" s="42" t="s">
        <v>57</v>
      </c>
      <c r="J2329" t="s">
        <v>248</v>
      </c>
      <c r="L2329" s="34">
        <v>2</v>
      </c>
      <c r="M2329" s="38">
        <v>0.75</v>
      </c>
      <c r="N2329" s="38">
        <f t="shared" si="36"/>
        <v>1.5</v>
      </c>
    </row>
    <row r="2330" spans="1:14">
      <c r="A2330" s="29">
        <v>44167</v>
      </c>
      <c r="B2330" s="22" t="s">
        <v>70</v>
      </c>
      <c r="C2330" s="22" t="s">
        <v>41</v>
      </c>
      <c r="D2330" s="48" t="s">
        <v>5</v>
      </c>
      <c r="E2330" t="s">
        <v>255</v>
      </c>
      <c r="F2330">
        <v>2020</v>
      </c>
      <c r="G2330" t="s">
        <v>247</v>
      </c>
      <c r="H2330" s="42" t="s">
        <v>791</v>
      </c>
      <c r="J2330" t="s">
        <v>248</v>
      </c>
      <c r="L2330" s="34">
        <v>1</v>
      </c>
      <c r="M2330" s="38">
        <v>0.75</v>
      </c>
      <c r="N2330" s="38">
        <f t="shared" si="36"/>
        <v>0.75</v>
      </c>
    </row>
    <row r="2331" spans="1:14">
      <c r="A2331" s="29">
        <v>44167</v>
      </c>
      <c r="B2331" s="22" t="s">
        <v>9</v>
      </c>
      <c r="C2331" s="22" t="s">
        <v>41</v>
      </c>
      <c r="D2331" s="48" t="s">
        <v>5</v>
      </c>
      <c r="E2331" t="s">
        <v>158</v>
      </c>
      <c r="F2331">
        <v>2020</v>
      </c>
      <c r="G2331" t="s">
        <v>757</v>
      </c>
      <c r="H2331" s="42" t="s">
        <v>57</v>
      </c>
      <c r="J2331" t="s">
        <v>248</v>
      </c>
      <c r="L2331" s="34">
        <v>2</v>
      </c>
      <c r="M2331" s="38">
        <v>0.75</v>
      </c>
      <c r="N2331" s="38">
        <f t="shared" si="36"/>
        <v>1.5</v>
      </c>
    </row>
    <row r="2332" spans="1:14">
      <c r="A2332" s="29">
        <v>44167</v>
      </c>
      <c r="B2332" s="22" t="s">
        <v>9</v>
      </c>
      <c r="C2332" s="22" t="s">
        <v>41</v>
      </c>
      <c r="D2332" s="48" t="s">
        <v>5</v>
      </c>
      <c r="E2332" t="s">
        <v>158</v>
      </c>
      <c r="F2332">
        <v>2020</v>
      </c>
      <c r="G2332" t="s">
        <v>758</v>
      </c>
      <c r="H2332" s="42" t="s">
        <v>57</v>
      </c>
      <c r="J2332" t="s">
        <v>248</v>
      </c>
      <c r="L2332" s="34">
        <v>2</v>
      </c>
      <c r="M2332" s="38">
        <v>0.75</v>
      </c>
      <c r="N2332" s="38">
        <f t="shared" si="36"/>
        <v>1.5</v>
      </c>
    </row>
    <row r="2333" spans="1:14">
      <c r="A2333" s="29">
        <v>44168</v>
      </c>
      <c r="B2333" s="22" t="s">
        <v>63</v>
      </c>
      <c r="C2333" s="22" t="s">
        <v>57</v>
      </c>
      <c r="D2333" s="48" t="s">
        <v>5</v>
      </c>
      <c r="E2333" t="s">
        <v>255</v>
      </c>
      <c r="F2333">
        <v>2020</v>
      </c>
      <c r="G2333" t="s">
        <v>326</v>
      </c>
      <c r="H2333" s="42" t="s">
        <v>765</v>
      </c>
      <c r="J2333" t="s">
        <v>248</v>
      </c>
      <c r="L2333" s="34">
        <v>2</v>
      </c>
      <c r="M2333" s="38">
        <v>0.75</v>
      </c>
      <c r="N2333" s="38">
        <f t="shared" si="36"/>
        <v>1.5</v>
      </c>
    </row>
    <row r="2334" spans="1:14">
      <c r="A2334" s="29">
        <v>44168</v>
      </c>
      <c r="B2334" s="22" t="s">
        <v>63</v>
      </c>
      <c r="C2334" s="22" t="s">
        <v>57</v>
      </c>
      <c r="D2334" s="48" t="s">
        <v>5</v>
      </c>
      <c r="E2334" t="s">
        <v>255</v>
      </c>
      <c r="F2334">
        <v>2020</v>
      </c>
      <c r="G2334" t="s">
        <v>247</v>
      </c>
      <c r="H2334" s="42" t="s">
        <v>791</v>
      </c>
      <c r="J2334" t="s">
        <v>248</v>
      </c>
      <c r="L2334" s="34">
        <v>2</v>
      </c>
      <c r="M2334" s="38">
        <v>0.75</v>
      </c>
      <c r="N2334" s="38">
        <f t="shared" si="36"/>
        <v>1.5</v>
      </c>
    </row>
    <row r="2335" spans="1:14">
      <c r="A2335" s="29">
        <v>44168</v>
      </c>
      <c r="B2335" s="22" t="s">
        <v>109</v>
      </c>
      <c r="C2335" s="22" t="s">
        <v>57</v>
      </c>
      <c r="D2335" s="48" t="s">
        <v>8</v>
      </c>
      <c r="E2335" t="s">
        <v>179</v>
      </c>
      <c r="F2335">
        <v>2020</v>
      </c>
      <c r="G2335" t="s">
        <v>57</v>
      </c>
      <c r="H2335" s="42" t="s">
        <v>796</v>
      </c>
      <c r="J2335" t="s">
        <v>248</v>
      </c>
      <c r="K2335" t="s">
        <v>797</v>
      </c>
      <c r="L2335" s="34">
        <v>6</v>
      </c>
      <c r="M2335" s="38">
        <v>0.75</v>
      </c>
      <c r="N2335" s="38">
        <f t="shared" si="36"/>
        <v>4.5</v>
      </c>
    </row>
    <row r="2336" spans="1:14">
      <c r="A2336" s="29">
        <v>44168</v>
      </c>
      <c r="B2336" s="22" t="s">
        <v>113</v>
      </c>
      <c r="C2336" s="22" t="s">
        <v>271</v>
      </c>
      <c r="D2336" s="48" t="s">
        <v>5</v>
      </c>
      <c r="E2336" t="s">
        <v>157</v>
      </c>
      <c r="F2336">
        <v>2020</v>
      </c>
      <c r="G2336" t="s">
        <v>247</v>
      </c>
      <c r="H2336" s="42" t="s">
        <v>785</v>
      </c>
      <c r="J2336" t="s">
        <v>248</v>
      </c>
      <c r="L2336" s="34">
        <v>2</v>
      </c>
      <c r="M2336" s="38">
        <v>0.75</v>
      </c>
      <c r="N2336" s="38">
        <f t="shared" si="36"/>
        <v>1.5</v>
      </c>
    </row>
    <row r="2337" spans="1:14">
      <c r="A2337" s="29">
        <v>44168</v>
      </c>
      <c r="B2337" s="22" t="s">
        <v>113</v>
      </c>
      <c r="C2337" s="22" t="s">
        <v>271</v>
      </c>
      <c r="D2337" s="48" t="s">
        <v>5</v>
      </c>
      <c r="E2337" t="s">
        <v>157</v>
      </c>
      <c r="F2337">
        <v>2020</v>
      </c>
      <c r="G2337" t="s">
        <v>257</v>
      </c>
      <c r="H2337" s="42" t="s">
        <v>798</v>
      </c>
      <c r="J2337" t="s">
        <v>248</v>
      </c>
      <c r="K2337" t="s">
        <v>799</v>
      </c>
      <c r="L2337" s="34">
        <v>2</v>
      </c>
      <c r="M2337" s="38">
        <v>0.75</v>
      </c>
      <c r="N2337" s="38">
        <f t="shared" si="36"/>
        <v>1.5</v>
      </c>
    </row>
    <row r="2338" spans="1:14">
      <c r="A2338" s="29">
        <v>44168</v>
      </c>
      <c r="B2338" s="22" t="s">
        <v>113</v>
      </c>
      <c r="C2338" s="22" t="s">
        <v>271</v>
      </c>
      <c r="D2338" s="48" t="s">
        <v>5</v>
      </c>
      <c r="E2338" t="s">
        <v>157</v>
      </c>
      <c r="F2338">
        <v>2020</v>
      </c>
      <c r="G2338" t="s">
        <v>57</v>
      </c>
      <c r="H2338" s="42" t="s">
        <v>57</v>
      </c>
      <c r="J2338" t="s">
        <v>248</v>
      </c>
      <c r="K2338" t="s">
        <v>800</v>
      </c>
      <c r="L2338" s="34">
        <v>2</v>
      </c>
      <c r="M2338" s="38">
        <v>0.75</v>
      </c>
      <c r="N2338" s="38">
        <f t="shared" si="36"/>
        <v>1.5</v>
      </c>
    </row>
    <row r="2339" spans="1:14">
      <c r="A2339" s="29">
        <v>44168</v>
      </c>
      <c r="B2339" s="22" t="s">
        <v>113</v>
      </c>
      <c r="C2339" s="22" t="s">
        <v>271</v>
      </c>
      <c r="D2339" s="48" t="s">
        <v>5</v>
      </c>
      <c r="E2339" t="s">
        <v>157</v>
      </c>
      <c r="F2339">
        <v>2020</v>
      </c>
      <c r="G2339" t="s">
        <v>57</v>
      </c>
      <c r="H2339" s="42" t="s">
        <v>57</v>
      </c>
      <c r="J2339" t="s">
        <v>248</v>
      </c>
      <c r="K2339" t="s">
        <v>801</v>
      </c>
      <c r="L2339" s="34">
        <v>2</v>
      </c>
      <c r="M2339" s="38">
        <v>0.75</v>
      </c>
      <c r="N2339" s="38">
        <f t="shared" si="36"/>
        <v>1.5</v>
      </c>
    </row>
    <row r="2340" spans="1:14">
      <c r="A2340" s="29">
        <v>44168</v>
      </c>
      <c r="B2340" s="22" t="s">
        <v>113</v>
      </c>
      <c r="C2340" s="22" t="s">
        <v>271</v>
      </c>
      <c r="D2340" s="48" t="s">
        <v>5</v>
      </c>
      <c r="E2340" t="s">
        <v>262</v>
      </c>
      <c r="F2340">
        <v>2020</v>
      </c>
      <c r="G2340" t="s">
        <v>307</v>
      </c>
      <c r="H2340" s="42" t="s">
        <v>57</v>
      </c>
      <c r="J2340" t="s">
        <v>248</v>
      </c>
      <c r="L2340" s="34">
        <v>2</v>
      </c>
      <c r="M2340" s="38">
        <v>0.75</v>
      </c>
      <c r="N2340" s="38">
        <f t="shared" si="36"/>
        <v>1.5</v>
      </c>
    </row>
    <row r="2341" spans="1:14">
      <c r="A2341" s="29">
        <v>44168</v>
      </c>
      <c r="B2341" s="22" t="s">
        <v>113</v>
      </c>
      <c r="C2341" s="22" t="s">
        <v>271</v>
      </c>
      <c r="D2341" s="48" t="s">
        <v>8</v>
      </c>
      <c r="E2341" t="s">
        <v>178</v>
      </c>
      <c r="F2341">
        <v>2020</v>
      </c>
      <c r="G2341" t="s">
        <v>273</v>
      </c>
      <c r="H2341" s="42" t="s">
        <v>57</v>
      </c>
      <c r="J2341" t="s">
        <v>248</v>
      </c>
      <c r="L2341" s="34">
        <v>2</v>
      </c>
      <c r="M2341" s="38">
        <v>0.75</v>
      </c>
      <c r="N2341" s="38">
        <f t="shared" si="36"/>
        <v>1.5</v>
      </c>
    </row>
    <row r="2342" spans="1:14">
      <c r="A2342" s="29">
        <v>44169</v>
      </c>
      <c r="B2342" s="22" t="s">
        <v>16</v>
      </c>
      <c r="C2342" s="22" t="s">
        <v>45</v>
      </c>
      <c r="D2342" s="48" t="s">
        <v>5</v>
      </c>
      <c r="E2342" t="s">
        <v>157</v>
      </c>
      <c r="F2342">
        <v>2019</v>
      </c>
      <c r="G2342" t="s">
        <v>57</v>
      </c>
      <c r="H2342" s="42" t="s">
        <v>786</v>
      </c>
      <c r="J2342" t="s">
        <v>248</v>
      </c>
      <c r="L2342" s="34">
        <v>2</v>
      </c>
      <c r="M2342" s="38">
        <v>0.75</v>
      </c>
      <c r="N2342" s="38">
        <f t="shared" si="36"/>
        <v>1.5</v>
      </c>
    </row>
    <row r="2343" spans="1:14">
      <c r="A2343" s="29">
        <v>44169</v>
      </c>
      <c r="B2343" s="22" t="s">
        <v>109</v>
      </c>
      <c r="C2343" s="22" t="s">
        <v>57</v>
      </c>
      <c r="D2343" s="48" t="s">
        <v>5</v>
      </c>
      <c r="E2343" t="s">
        <v>494</v>
      </c>
      <c r="F2343">
        <v>2020</v>
      </c>
      <c r="G2343" t="s">
        <v>494</v>
      </c>
      <c r="H2343" s="42" t="s">
        <v>57</v>
      </c>
      <c r="J2343" t="s">
        <v>248</v>
      </c>
      <c r="L2343" s="34">
        <v>6</v>
      </c>
      <c r="M2343" s="38">
        <v>0.75</v>
      </c>
      <c r="N2343" s="38">
        <f t="shared" si="36"/>
        <v>4.5</v>
      </c>
    </row>
    <row r="2344" spans="1:14">
      <c r="A2344" s="29">
        <v>44172</v>
      </c>
      <c r="B2344" s="22" t="s">
        <v>783</v>
      </c>
      <c r="C2344" s="22" t="s">
        <v>695</v>
      </c>
      <c r="D2344" s="48" t="s">
        <v>8</v>
      </c>
      <c r="E2344" t="s">
        <v>367</v>
      </c>
      <c r="F2344">
        <v>2020</v>
      </c>
      <c r="G2344" t="s">
        <v>500</v>
      </c>
      <c r="H2344" s="42" t="s">
        <v>802</v>
      </c>
      <c r="J2344" t="s">
        <v>248</v>
      </c>
      <c r="L2344" s="34">
        <v>2</v>
      </c>
      <c r="M2344" s="38">
        <v>0.75</v>
      </c>
      <c r="N2344" s="38">
        <f t="shared" si="36"/>
        <v>1.5</v>
      </c>
    </row>
    <row r="2345" spans="1:14">
      <c r="A2345" s="29">
        <v>44172</v>
      </c>
      <c r="B2345" s="22" t="s">
        <v>783</v>
      </c>
      <c r="C2345" s="22" t="s">
        <v>695</v>
      </c>
      <c r="D2345" s="48" t="s">
        <v>8</v>
      </c>
      <c r="E2345" t="s">
        <v>273</v>
      </c>
      <c r="F2345">
        <v>2020</v>
      </c>
      <c r="G2345" t="s">
        <v>273</v>
      </c>
      <c r="H2345" s="42" t="s">
        <v>57</v>
      </c>
      <c r="J2345" t="s">
        <v>248</v>
      </c>
      <c r="L2345" s="34">
        <v>2</v>
      </c>
      <c r="M2345" s="38">
        <v>0.75</v>
      </c>
      <c r="N2345" s="38">
        <f t="shared" si="36"/>
        <v>1.5</v>
      </c>
    </row>
    <row r="2346" spans="1:14">
      <c r="A2346" s="29">
        <v>44172</v>
      </c>
      <c r="B2346" s="22" t="s">
        <v>63</v>
      </c>
      <c r="C2346" s="22" t="s">
        <v>57</v>
      </c>
      <c r="D2346" s="48" t="s">
        <v>11</v>
      </c>
      <c r="E2346" t="s">
        <v>259</v>
      </c>
      <c r="F2346">
        <v>2020</v>
      </c>
      <c r="G2346" t="s">
        <v>703</v>
      </c>
      <c r="H2346" s="42" t="s">
        <v>57</v>
      </c>
      <c r="J2346" t="s">
        <v>248</v>
      </c>
      <c r="L2346" s="34">
        <v>2</v>
      </c>
      <c r="M2346" s="38">
        <v>0.75</v>
      </c>
      <c r="N2346" s="38">
        <f t="shared" si="36"/>
        <v>1.5</v>
      </c>
    </row>
    <row r="2347" spans="1:14">
      <c r="A2347" s="29">
        <v>44172</v>
      </c>
      <c r="B2347" s="22" t="s">
        <v>63</v>
      </c>
      <c r="C2347" s="22" t="s">
        <v>57</v>
      </c>
      <c r="D2347" s="48" t="s">
        <v>11</v>
      </c>
      <c r="E2347" t="s">
        <v>259</v>
      </c>
      <c r="F2347">
        <v>2020</v>
      </c>
      <c r="G2347" t="s">
        <v>705</v>
      </c>
      <c r="H2347" s="42" t="s">
        <v>57</v>
      </c>
      <c r="J2347" t="s">
        <v>248</v>
      </c>
      <c r="L2347" s="34">
        <v>2</v>
      </c>
      <c r="M2347" s="38">
        <v>0.75</v>
      </c>
      <c r="N2347" s="38">
        <f t="shared" si="36"/>
        <v>1.5</v>
      </c>
    </row>
    <row r="2348" spans="1:14">
      <c r="A2348" s="29">
        <v>44172</v>
      </c>
      <c r="B2348" s="22" t="s">
        <v>63</v>
      </c>
      <c r="C2348" s="22" t="s">
        <v>57</v>
      </c>
      <c r="D2348" s="48" t="s">
        <v>5</v>
      </c>
      <c r="E2348" t="s">
        <v>157</v>
      </c>
      <c r="F2348">
        <v>2020</v>
      </c>
      <c r="G2348" t="s">
        <v>326</v>
      </c>
      <c r="H2348" s="42" t="s">
        <v>803</v>
      </c>
      <c r="J2348" t="s">
        <v>248</v>
      </c>
      <c r="L2348" s="34">
        <v>2</v>
      </c>
      <c r="M2348" s="38">
        <v>0.75</v>
      </c>
      <c r="N2348" s="38">
        <f t="shared" si="36"/>
        <v>1.5</v>
      </c>
    </row>
    <row r="2349" spans="1:14">
      <c r="A2349" s="29">
        <v>44172</v>
      </c>
      <c r="B2349" s="22" t="s">
        <v>63</v>
      </c>
      <c r="C2349" s="22" t="s">
        <v>57</v>
      </c>
      <c r="D2349" s="48" t="s">
        <v>5</v>
      </c>
      <c r="E2349" t="s">
        <v>159</v>
      </c>
      <c r="F2349">
        <v>2020</v>
      </c>
      <c r="G2349" t="s">
        <v>319</v>
      </c>
      <c r="H2349" s="42" t="s">
        <v>763</v>
      </c>
      <c r="J2349" t="s">
        <v>248</v>
      </c>
      <c r="L2349" s="34">
        <v>2</v>
      </c>
      <c r="M2349" s="38">
        <v>0.75</v>
      </c>
      <c r="N2349" s="38">
        <f t="shared" si="36"/>
        <v>1.5</v>
      </c>
    </row>
    <row r="2350" spans="1:14">
      <c r="A2350" s="29">
        <v>44172</v>
      </c>
      <c r="B2350" s="22" t="s">
        <v>63</v>
      </c>
      <c r="C2350" s="22" t="s">
        <v>57</v>
      </c>
      <c r="D2350" s="48" t="s">
        <v>5</v>
      </c>
      <c r="E2350" t="s">
        <v>159</v>
      </c>
      <c r="F2350">
        <v>2020</v>
      </c>
      <c r="G2350" t="s">
        <v>326</v>
      </c>
      <c r="H2350" s="42" t="s">
        <v>787</v>
      </c>
      <c r="J2350" t="s">
        <v>248</v>
      </c>
      <c r="L2350" s="34">
        <v>2</v>
      </c>
      <c r="M2350" s="38">
        <v>0.75</v>
      </c>
      <c r="N2350" s="38">
        <f t="shared" si="36"/>
        <v>1.5</v>
      </c>
    </row>
    <row r="2351" spans="1:14">
      <c r="A2351" s="29">
        <v>44172</v>
      </c>
      <c r="B2351" s="22" t="s">
        <v>63</v>
      </c>
      <c r="C2351" s="22" t="s">
        <v>57</v>
      </c>
      <c r="D2351" s="48" t="s">
        <v>5</v>
      </c>
      <c r="E2351" t="s">
        <v>255</v>
      </c>
      <c r="F2351">
        <v>2020</v>
      </c>
      <c r="G2351" t="s">
        <v>247</v>
      </c>
      <c r="H2351" s="42" t="s">
        <v>804</v>
      </c>
      <c r="J2351" t="s">
        <v>248</v>
      </c>
      <c r="L2351" s="34">
        <v>2</v>
      </c>
      <c r="M2351" s="38">
        <v>0.75</v>
      </c>
      <c r="N2351" s="38">
        <f t="shared" si="36"/>
        <v>1.5</v>
      </c>
    </row>
    <row r="2352" spans="1:14">
      <c r="A2352" s="29">
        <v>44175</v>
      </c>
      <c r="B2352" s="22" t="s">
        <v>63</v>
      </c>
      <c r="C2352" s="22" t="s">
        <v>57</v>
      </c>
      <c r="D2352" s="48" t="s">
        <v>11</v>
      </c>
      <c r="E2352" t="s">
        <v>805</v>
      </c>
      <c r="F2352">
        <v>2020</v>
      </c>
      <c r="G2352" t="s">
        <v>57</v>
      </c>
      <c r="H2352" s="42" t="s">
        <v>57</v>
      </c>
      <c r="J2352" t="s">
        <v>248</v>
      </c>
      <c r="K2352" t="s">
        <v>806</v>
      </c>
      <c r="L2352" s="34">
        <v>2</v>
      </c>
      <c r="M2352" s="38">
        <v>0.75</v>
      </c>
      <c r="N2352" s="38">
        <f t="shared" si="36"/>
        <v>1.5</v>
      </c>
    </row>
    <row r="2353" spans="1:14">
      <c r="A2353" s="29">
        <v>44175</v>
      </c>
      <c r="B2353" s="22" t="s">
        <v>63</v>
      </c>
      <c r="C2353" s="22" t="s">
        <v>57</v>
      </c>
      <c r="D2353" s="48" t="s">
        <v>5</v>
      </c>
      <c r="E2353" t="s">
        <v>262</v>
      </c>
      <c r="F2353">
        <v>2020</v>
      </c>
      <c r="G2353" t="s">
        <v>307</v>
      </c>
      <c r="H2353" s="42" t="s">
        <v>57</v>
      </c>
      <c r="J2353" t="s">
        <v>248</v>
      </c>
      <c r="L2353" s="34">
        <v>2</v>
      </c>
      <c r="M2353" s="38">
        <v>0.75</v>
      </c>
      <c r="N2353" s="38">
        <f t="shared" si="36"/>
        <v>1.5</v>
      </c>
    </row>
    <row r="2354" spans="1:14">
      <c r="A2354" s="29">
        <v>44179</v>
      </c>
      <c r="B2354" s="22" t="s">
        <v>109</v>
      </c>
      <c r="C2354" s="22" t="s">
        <v>57</v>
      </c>
      <c r="D2354" s="48" t="s">
        <v>5</v>
      </c>
      <c r="E2354" t="s">
        <v>503</v>
      </c>
      <c r="F2354">
        <v>2020</v>
      </c>
      <c r="G2354" t="s">
        <v>57</v>
      </c>
      <c r="H2354" s="42" t="s">
        <v>807</v>
      </c>
      <c r="J2354" t="s">
        <v>248</v>
      </c>
      <c r="L2354" s="34">
        <v>1</v>
      </c>
      <c r="M2354" s="38">
        <v>0.75</v>
      </c>
      <c r="N2354" s="38">
        <f t="shared" si="36"/>
        <v>0.75</v>
      </c>
    </row>
    <row r="2355" spans="1:14">
      <c r="A2355" s="29">
        <v>44179</v>
      </c>
      <c r="B2355" s="22" t="s">
        <v>109</v>
      </c>
      <c r="C2355" s="22" t="s">
        <v>57</v>
      </c>
      <c r="D2355" s="48" t="s">
        <v>5</v>
      </c>
      <c r="E2355" t="s">
        <v>808</v>
      </c>
      <c r="F2355">
        <v>2020</v>
      </c>
      <c r="G2355" t="s">
        <v>57</v>
      </c>
      <c r="H2355" s="42" t="s">
        <v>809</v>
      </c>
      <c r="J2355" t="s">
        <v>248</v>
      </c>
      <c r="L2355" s="34">
        <v>1</v>
      </c>
      <c r="M2355" s="38">
        <v>0.75</v>
      </c>
      <c r="N2355" s="38">
        <f t="shared" si="36"/>
        <v>0.75</v>
      </c>
    </row>
    <row r="2356" spans="1:14">
      <c r="A2356" s="29">
        <v>44179</v>
      </c>
      <c r="B2356" s="22" t="s">
        <v>109</v>
      </c>
      <c r="C2356" s="22" t="s">
        <v>57</v>
      </c>
      <c r="D2356" s="48" t="s">
        <v>5</v>
      </c>
      <c r="E2356" t="s">
        <v>808</v>
      </c>
      <c r="F2356">
        <v>2020</v>
      </c>
      <c r="G2356" t="s">
        <v>494</v>
      </c>
      <c r="H2356" s="42" t="s">
        <v>807</v>
      </c>
      <c r="J2356" t="s">
        <v>248</v>
      </c>
      <c r="L2356" s="34">
        <v>1</v>
      </c>
      <c r="M2356" s="38">
        <v>0.75</v>
      </c>
      <c r="N2356" s="38">
        <f t="shared" si="36"/>
        <v>0.75</v>
      </c>
    </row>
    <row r="2357" spans="1:14">
      <c r="A2357" s="29">
        <v>44179</v>
      </c>
      <c r="B2357" s="22" t="s">
        <v>64</v>
      </c>
      <c r="C2357" s="22" t="s">
        <v>57</v>
      </c>
      <c r="D2357" s="48" t="s">
        <v>11</v>
      </c>
      <c r="E2357" t="s">
        <v>179</v>
      </c>
      <c r="F2357">
        <v>2020</v>
      </c>
      <c r="G2357" t="s">
        <v>618</v>
      </c>
      <c r="H2357" s="42" t="s">
        <v>57</v>
      </c>
      <c r="J2357" t="s">
        <v>248</v>
      </c>
      <c r="L2357" s="34">
        <v>2</v>
      </c>
      <c r="M2357" s="38">
        <v>0.75</v>
      </c>
      <c r="N2357" s="38">
        <f t="shared" si="36"/>
        <v>1.5</v>
      </c>
    </row>
    <row r="2358" spans="1:14">
      <c r="A2358" s="29">
        <v>44180</v>
      </c>
      <c r="B2358" s="22" t="s">
        <v>109</v>
      </c>
      <c r="C2358" s="22" t="s">
        <v>57</v>
      </c>
      <c r="D2358" s="48" t="s">
        <v>5</v>
      </c>
      <c r="E2358" t="s">
        <v>808</v>
      </c>
      <c r="F2358">
        <v>2020</v>
      </c>
      <c r="G2358" t="s">
        <v>57</v>
      </c>
      <c r="H2358" s="42" t="s">
        <v>809</v>
      </c>
      <c r="J2358" t="s">
        <v>248</v>
      </c>
      <c r="L2358" s="34">
        <v>7</v>
      </c>
      <c r="M2358" s="38">
        <v>0.75</v>
      </c>
      <c r="N2358" s="38">
        <f t="shared" si="36"/>
        <v>5.25</v>
      </c>
    </row>
    <row r="2359" spans="1:14">
      <c r="A2359" s="29">
        <v>44181</v>
      </c>
      <c r="B2359" s="22" t="s">
        <v>27</v>
      </c>
      <c r="C2359" s="22" t="s">
        <v>57</v>
      </c>
      <c r="D2359" s="48" t="s">
        <v>11</v>
      </c>
      <c r="E2359" t="s">
        <v>805</v>
      </c>
      <c r="F2359">
        <v>2020</v>
      </c>
      <c r="G2359" t="s">
        <v>810</v>
      </c>
      <c r="H2359" s="42" t="s">
        <v>789</v>
      </c>
      <c r="J2359" t="s">
        <v>248</v>
      </c>
      <c r="L2359" s="34">
        <v>2</v>
      </c>
      <c r="M2359" s="38">
        <v>0.75</v>
      </c>
      <c r="N2359" s="38">
        <f t="shared" si="36"/>
        <v>1.5</v>
      </c>
    </row>
    <row r="2360" spans="1:14">
      <c r="A2360" s="29">
        <v>44182</v>
      </c>
      <c r="B2360" s="22" t="s">
        <v>63</v>
      </c>
      <c r="C2360" s="22" t="s">
        <v>57</v>
      </c>
      <c r="D2360" s="48" t="s">
        <v>5</v>
      </c>
      <c r="E2360" t="s">
        <v>255</v>
      </c>
      <c r="F2360">
        <v>2020</v>
      </c>
      <c r="G2360" t="s">
        <v>247</v>
      </c>
      <c r="H2360" s="42" t="s">
        <v>811</v>
      </c>
      <c r="J2360" t="s">
        <v>248</v>
      </c>
      <c r="L2360" s="34">
        <v>1</v>
      </c>
      <c r="M2360" s="38">
        <v>0.75</v>
      </c>
      <c r="N2360" s="38">
        <f t="shared" si="36"/>
        <v>0.75</v>
      </c>
    </row>
    <row r="2361" spans="1:14">
      <c r="A2361" s="29">
        <v>44186</v>
      </c>
      <c r="B2361" s="22" t="s">
        <v>293</v>
      </c>
      <c r="C2361" s="22" t="s">
        <v>41</v>
      </c>
      <c r="D2361" s="48" t="s">
        <v>5</v>
      </c>
      <c r="E2361" t="s">
        <v>255</v>
      </c>
      <c r="F2361">
        <v>2020</v>
      </c>
      <c r="G2361" t="s">
        <v>252</v>
      </c>
      <c r="H2361" s="42" t="s">
        <v>788</v>
      </c>
      <c r="J2361" t="s">
        <v>248</v>
      </c>
      <c r="L2361" s="34">
        <v>2</v>
      </c>
      <c r="M2361" s="38">
        <v>0.75</v>
      </c>
      <c r="N2361" s="38">
        <f t="shared" si="36"/>
        <v>1.5</v>
      </c>
    </row>
    <row r="2362" spans="1:14">
      <c r="A2362" s="29">
        <v>44186</v>
      </c>
      <c r="B2362" s="22" t="s">
        <v>293</v>
      </c>
      <c r="C2362" s="22" t="s">
        <v>41</v>
      </c>
      <c r="D2362" s="48" t="s">
        <v>5</v>
      </c>
      <c r="E2362" t="s">
        <v>255</v>
      </c>
      <c r="F2362">
        <v>2020</v>
      </c>
      <c r="G2362" t="s">
        <v>253</v>
      </c>
      <c r="H2362" s="42" t="s">
        <v>811</v>
      </c>
      <c r="J2362" t="s">
        <v>248</v>
      </c>
      <c r="L2362" s="34">
        <v>2</v>
      </c>
      <c r="M2362" s="38">
        <v>0.75</v>
      </c>
      <c r="N2362" s="38">
        <f t="shared" si="36"/>
        <v>1.5</v>
      </c>
    </row>
    <row r="2363" spans="1:14">
      <c r="A2363" s="29">
        <v>44186</v>
      </c>
      <c r="B2363" s="22" t="s">
        <v>293</v>
      </c>
      <c r="C2363" s="22" t="s">
        <v>41</v>
      </c>
      <c r="D2363" s="48" t="s">
        <v>5</v>
      </c>
      <c r="E2363" t="s">
        <v>262</v>
      </c>
      <c r="F2363">
        <v>2020</v>
      </c>
      <c r="G2363" t="s">
        <v>494</v>
      </c>
      <c r="H2363" s="42" t="s">
        <v>812</v>
      </c>
      <c r="J2363" t="s">
        <v>248</v>
      </c>
      <c r="L2363" s="34">
        <v>2</v>
      </c>
      <c r="M2363" s="38">
        <v>0.75</v>
      </c>
      <c r="N2363" s="38">
        <f t="shared" si="36"/>
        <v>1.5</v>
      </c>
    </row>
    <row r="2364" spans="1:14">
      <c r="A2364" s="29">
        <v>44186</v>
      </c>
      <c r="B2364" s="22" t="s">
        <v>293</v>
      </c>
      <c r="C2364" s="22" t="s">
        <v>41</v>
      </c>
      <c r="D2364" s="48" t="s">
        <v>5</v>
      </c>
      <c r="E2364" t="s">
        <v>158</v>
      </c>
      <c r="F2364">
        <v>2020</v>
      </c>
      <c r="G2364" t="s">
        <v>813</v>
      </c>
      <c r="H2364" s="42" t="s">
        <v>814</v>
      </c>
      <c r="J2364" t="s">
        <v>248</v>
      </c>
      <c r="L2364" s="34">
        <v>2</v>
      </c>
      <c r="M2364" s="38">
        <v>0.75</v>
      </c>
      <c r="N2364" s="38">
        <f t="shared" si="36"/>
        <v>1.5</v>
      </c>
    </row>
    <row r="2365" spans="1:14">
      <c r="A2365" s="29">
        <v>44186</v>
      </c>
      <c r="B2365" s="22" t="s">
        <v>293</v>
      </c>
      <c r="C2365" s="22" t="s">
        <v>41</v>
      </c>
      <c r="D2365" s="48" t="s">
        <v>5</v>
      </c>
      <c r="E2365" t="s">
        <v>158</v>
      </c>
      <c r="F2365">
        <v>2020</v>
      </c>
      <c r="G2365" t="s">
        <v>758</v>
      </c>
      <c r="H2365" s="42" t="s">
        <v>815</v>
      </c>
      <c r="J2365" t="s">
        <v>248</v>
      </c>
      <c r="L2365" s="34">
        <v>2</v>
      </c>
      <c r="M2365" s="38">
        <v>0.75</v>
      </c>
      <c r="N2365" s="38">
        <f t="shared" si="36"/>
        <v>1.5</v>
      </c>
    </row>
    <row r="2366" spans="1:14">
      <c r="A2366" s="29">
        <v>44188</v>
      </c>
      <c r="B2366" s="22" t="s">
        <v>685</v>
      </c>
      <c r="C2366" s="22" t="s">
        <v>57</v>
      </c>
      <c r="D2366" s="48" t="s">
        <v>5</v>
      </c>
      <c r="E2366" t="s">
        <v>310</v>
      </c>
      <c r="F2366">
        <v>2020</v>
      </c>
      <c r="G2366" t="s">
        <v>338</v>
      </c>
      <c r="H2366" s="42" t="s">
        <v>816</v>
      </c>
      <c r="J2366" t="s">
        <v>248</v>
      </c>
      <c r="L2366" s="34">
        <v>2</v>
      </c>
      <c r="M2366" s="38">
        <v>0.75</v>
      </c>
      <c r="N2366" s="38">
        <f t="shared" si="36"/>
        <v>1.5</v>
      </c>
    </row>
    <row r="2367" spans="1:14">
      <c r="A2367" s="29">
        <v>44188</v>
      </c>
      <c r="B2367" s="22" t="s">
        <v>685</v>
      </c>
      <c r="C2367" s="22" t="s">
        <v>57</v>
      </c>
      <c r="D2367" s="48" t="s">
        <v>8</v>
      </c>
      <c r="E2367" t="s">
        <v>273</v>
      </c>
      <c r="F2367">
        <v>2020</v>
      </c>
      <c r="G2367" t="s">
        <v>273</v>
      </c>
      <c r="H2367" s="42" t="s">
        <v>817</v>
      </c>
      <c r="J2367" t="s">
        <v>248</v>
      </c>
      <c r="L2367" s="34">
        <v>2</v>
      </c>
      <c r="M2367" s="38">
        <v>0.75</v>
      </c>
      <c r="N2367" s="38">
        <f t="shared" si="36"/>
        <v>1.5</v>
      </c>
    </row>
    <row r="2368" spans="1:14">
      <c r="A2368" s="29">
        <v>44188</v>
      </c>
      <c r="B2368" s="22" t="s">
        <v>685</v>
      </c>
      <c r="C2368" s="22" t="s">
        <v>57</v>
      </c>
      <c r="D2368" s="48" t="s">
        <v>5</v>
      </c>
      <c r="E2368" t="s">
        <v>273</v>
      </c>
      <c r="F2368">
        <v>2020</v>
      </c>
      <c r="G2368" t="s">
        <v>273</v>
      </c>
      <c r="H2368" s="42" t="s">
        <v>818</v>
      </c>
      <c r="J2368" t="s">
        <v>248</v>
      </c>
      <c r="L2368" s="34">
        <v>2</v>
      </c>
      <c r="M2368" s="38">
        <v>0.75</v>
      </c>
      <c r="N2368" s="38">
        <f t="shared" si="36"/>
        <v>1.5</v>
      </c>
    </row>
    <row r="2369" spans="1:35">
      <c r="A2369" s="29">
        <v>44200</v>
      </c>
      <c r="B2369" s="22" t="s">
        <v>69</v>
      </c>
      <c r="C2369" s="22" t="s">
        <v>695</v>
      </c>
      <c r="D2369" s="48" t="s">
        <v>5</v>
      </c>
      <c r="E2369" t="s">
        <v>819</v>
      </c>
      <c r="F2369">
        <v>2020</v>
      </c>
      <c r="G2369" t="s">
        <v>703</v>
      </c>
      <c r="H2369" s="42" t="s">
        <v>57</v>
      </c>
      <c r="J2369" t="s">
        <v>248</v>
      </c>
      <c r="L2369" s="34">
        <v>8</v>
      </c>
      <c r="M2369" s="38">
        <v>0.75</v>
      </c>
      <c r="N2369" s="38">
        <f t="shared" si="36"/>
        <v>6</v>
      </c>
      <c r="O2369" t="s">
        <v>820</v>
      </c>
      <c r="P2369">
        <v>626</v>
      </c>
      <c r="Q2369" t="s">
        <v>821</v>
      </c>
      <c r="R2369" t="s">
        <v>822</v>
      </c>
      <c r="S2369" t="s">
        <v>823</v>
      </c>
      <c r="T2369" t="s">
        <v>824</v>
      </c>
      <c r="U2369" t="s">
        <v>825</v>
      </c>
      <c r="V2369" t="s">
        <v>826</v>
      </c>
      <c r="W2369" t="s">
        <v>827</v>
      </c>
      <c r="X2369" t="s">
        <v>828</v>
      </c>
      <c r="Y2369" t="s">
        <v>829</v>
      </c>
      <c r="Z2369" t="s">
        <v>830</v>
      </c>
      <c r="AA2369" t="s">
        <v>831</v>
      </c>
      <c r="AB2369">
        <v>25</v>
      </c>
      <c r="AC2369">
        <v>97</v>
      </c>
      <c r="AD2369">
        <v>6</v>
      </c>
      <c r="AE2369">
        <v>16</v>
      </c>
      <c r="AF2369" t="s">
        <v>832</v>
      </c>
      <c r="AG2369" t="s">
        <v>833</v>
      </c>
      <c r="AH2369" t="s">
        <v>834</v>
      </c>
      <c r="AI2369" t="s">
        <v>834</v>
      </c>
    </row>
    <row r="2370" spans="1:35">
      <c r="A2370" s="29">
        <v>44200</v>
      </c>
      <c r="B2370" s="22" t="s">
        <v>63</v>
      </c>
      <c r="C2370" s="22" t="s">
        <v>57</v>
      </c>
      <c r="D2370" s="48" t="s">
        <v>5</v>
      </c>
      <c r="E2370" t="s">
        <v>494</v>
      </c>
      <c r="F2370">
        <v>2020</v>
      </c>
      <c r="G2370" t="s">
        <v>307</v>
      </c>
      <c r="H2370" s="42" t="s">
        <v>763</v>
      </c>
      <c r="J2370" t="s">
        <v>248</v>
      </c>
      <c r="L2370" s="34">
        <v>2</v>
      </c>
      <c r="M2370" s="38">
        <v>0.75</v>
      </c>
      <c r="N2370" s="38">
        <f t="shared" si="36"/>
        <v>1.5</v>
      </c>
    </row>
    <row r="2371" spans="1:35">
      <c r="A2371" s="29">
        <v>44200</v>
      </c>
      <c r="B2371" s="22" t="s">
        <v>63</v>
      </c>
      <c r="C2371" s="22" t="s">
        <v>57</v>
      </c>
      <c r="D2371" s="48" t="s">
        <v>8</v>
      </c>
      <c r="E2371" t="s">
        <v>272</v>
      </c>
      <c r="F2371">
        <v>2020</v>
      </c>
      <c r="G2371" t="s">
        <v>272</v>
      </c>
      <c r="H2371" s="42" t="s">
        <v>753</v>
      </c>
      <c r="J2371" t="s">
        <v>248</v>
      </c>
      <c r="L2371" s="34">
        <v>2</v>
      </c>
      <c r="M2371" s="38">
        <v>0.75</v>
      </c>
      <c r="N2371" s="38">
        <f t="shared" ref="N2371:N2434" si="37">M2371*L2371</f>
        <v>1.5</v>
      </c>
    </row>
    <row r="2372" spans="1:35">
      <c r="A2372" s="29">
        <v>44200</v>
      </c>
      <c r="B2372" s="22" t="s">
        <v>63</v>
      </c>
      <c r="C2372" s="22" t="s">
        <v>57</v>
      </c>
      <c r="D2372" s="48" t="s">
        <v>5</v>
      </c>
      <c r="E2372" t="s">
        <v>158</v>
      </c>
      <c r="F2372">
        <v>2020</v>
      </c>
      <c r="G2372" t="s">
        <v>758</v>
      </c>
      <c r="H2372" s="42" t="s">
        <v>57</v>
      </c>
      <c r="J2372" t="s">
        <v>248</v>
      </c>
      <c r="L2372" s="34">
        <v>2</v>
      </c>
      <c r="M2372" s="38">
        <v>0.75</v>
      </c>
      <c r="N2372" s="38">
        <f t="shared" si="37"/>
        <v>1.5</v>
      </c>
    </row>
    <row r="2373" spans="1:35">
      <c r="A2373" s="29">
        <v>44200</v>
      </c>
      <c r="B2373" s="22" t="s">
        <v>63</v>
      </c>
      <c r="C2373" s="22" t="s">
        <v>57</v>
      </c>
      <c r="D2373" s="48" t="s">
        <v>5</v>
      </c>
      <c r="E2373" t="s">
        <v>159</v>
      </c>
      <c r="F2373">
        <v>2020</v>
      </c>
      <c r="G2373" t="s">
        <v>319</v>
      </c>
      <c r="H2373" s="42" t="s">
        <v>790</v>
      </c>
      <c r="J2373" t="s">
        <v>248</v>
      </c>
      <c r="L2373" s="34">
        <v>2</v>
      </c>
      <c r="M2373" s="38">
        <v>0.75</v>
      </c>
      <c r="N2373" s="38">
        <f t="shared" si="37"/>
        <v>1.5</v>
      </c>
    </row>
    <row r="2374" spans="1:35">
      <c r="A2374" s="29">
        <v>44200</v>
      </c>
      <c r="B2374" s="22" t="s">
        <v>42</v>
      </c>
      <c r="C2374" s="22" t="s">
        <v>57</v>
      </c>
      <c r="D2374" s="48" t="s">
        <v>8</v>
      </c>
      <c r="E2374" t="s">
        <v>502</v>
      </c>
      <c r="F2374">
        <v>2020</v>
      </c>
      <c r="G2374" t="s">
        <v>679</v>
      </c>
      <c r="H2374" s="42" t="s">
        <v>748</v>
      </c>
      <c r="J2374" t="s">
        <v>248</v>
      </c>
      <c r="L2374" s="34">
        <v>1</v>
      </c>
      <c r="M2374" s="38">
        <v>0.75</v>
      </c>
      <c r="N2374" s="38">
        <f t="shared" si="37"/>
        <v>0.75</v>
      </c>
    </row>
    <row r="2375" spans="1:35">
      <c r="A2375" s="29">
        <v>44200</v>
      </c>
      <c r="B2375" s="22" t="s">
        <v>109</v>
      </c>
      <c r="C2375" s="22" t="s">
        <v>57</v>
      </c>
      <c r="D2375" s="48" t="s">
        <v>5</v>
      </c>
      <c r="E2375" t="s">
        <v>494</v>
      </c>
      <c r="F2375">
        <v>2020</v>
      </c>
      <c r="G2375" t="s">
        <v>494</v>
      </c>
      <c r="H2375" s="42" t="s">
        <v>835</v>
      </c>
      <c r="J2375" t="s">
        <v>248</v>
      </c>
      <c r="L2375" s="34">
        <v>15</v>
      </c>
      <c r="M2375" s="38">
        <v>0.75</v>
      </c>
      <c r="N2375" s="38">
        <f t="shared" si="37"/>
        <v>11.25</v>
      </c>
    </row>
    <row r="2376" spans="1:35">
      <c r="A2376" s="29">
        <v>44202</v>
      </c>
      <c r="B2376" s="22" t="s">
        <v>109</v>
      </c>
      <c r="C2376" s="22" t="s">
        <v>57</v>
      </c>
      <c r="D2376" s="48" t="s">
        <v>5</v>
      </c>
      <c r="E2376" t="s">
        <v>494</v>
      </c>
      <c r="F2376">
        <v>2020</v>
      </c>
      <c r="G2376" t="s">
        <v>57</v>
      </c>
      <c r="H2376" s="42" t="s">
        <v>835</v>
      </c>
      <c r="J2376" t="s">
        <v>248</v>
      </c>
      <c r="L2376" s="34">
        <v>1</v>
      </c>
      <c r="M2376" s="38">
        <v>0.75</v>
      </c>
      <c r="N2376" s="38">
        <f t="shared" si="37"/>
        <v>0.75</v>
      </c>
    </row>
    <row r="2377" spans="1:35">
      <c r="A2377" s="29">
        <v>44202</v>
      </c>
      <c r="B2377" s="22" t="s">
        <v>109</v>
      </c>
      <c r="C2377" s="22" t="s">
        <v>57</v>
      </c>
      <c r="D2377" s="48" t="s">
        <v>5</v>
      </c>
      <c r="E2377" t="s">
        <v>494</v>
      </c>
      <c r="F2377">
        <v>2020</v>
      </c>
      <c r="G2377" t="s">
        <v>57</v>
      </c>
      <c r="H2377" s="42" t="s">
        <v>809</v>
      </c>
      <c r="J2377" t="s">
        <v>248</v>
      </c>
      <c r="K2377" t="s">
        <v>836</v>
      </c>
      <c r="L2377" s="34">
        <v>1</v>
      </c>
      <c r="M2377" s="38">
        <v>0.75</v>
      </c>
      <c r="N2377" s="38">
        <f t="shared" si="37"/>
        <v>0.75</v>
      </c>
    </row>
    <row r="2378" spans="1:35">
      <c r="A2378" s="29">
        <v>44203</v>
      </c>
      <c r="B2378" s="22" t="s">
        <v>109</v>
      </c>
      <c r="C2378" s="22" t="s">
        <v>57</v>
      </c>
      <c r="D2378" s="48" t="s">
        <v>5</v>
      </c>
      <c r="E2378" t="s">
        <v>157</v>
      </c>
      <c r="F2378">
        <v>2020</v>
      </c>
      <c r="G2378" t="s">
        <v>326</v>
      </c>
      <c r="H2378" s="42" t="s">
        <v>785</v>
      </c>
      <c r="J2378" t="s">
        <v>248</v>
      </c>
      <c r="L2378" s="34">
        <v>2</v>
      </c>
      <c r="M2378" s="38">
        <v>0.75</v>
      </c>
      <c r="N2378" s="38">
        <f t="shared" si="37"/>
        <v>1.5</v>
      </c>
    </row>
    <row r="2379" spans="1:35">
      <c r="A2379" s="29">
        <v>44203</v>
      </c>
      <c r="B2379" s="22" t="s">
        <v>109</v>
      </c>
      <c r="C2379" s="22" t="s">
        <v>57</v>
      </c>
      <c r="D2379" s="48" t="s">
        <v>8</v>
      </c>
      <c r="E2379" t="s">
        <v>179</v>
      </c>
      <c r="F2379">
        <v>2020</v>
      </c>
      <c r="G2379" t="s">
        <v>57</v>
      </c>
      <c r="H2379" s="42" t="s">
        <v>57</v>
      </c>
      <c r="J2379" t="s">
        <v>248</v>
      </c>
      <c r="K2379" t="s">
        <v>797</v>
      </c>
      <c r="L2379" s="34">
        <v>2</v>
      </c>
      <c r="M2379" s="38">
        <v>0.75</v>
      </c>
      <c r="N2379" s="38">
        <f t="shared" si="37"/>
        <v>1.5</v>
      </c>
    </row>
    <row r="2380" spans="1:35">
      <c r="A2380" s="29">
        <v>44203</v>
      </c>
      <c r="B2380" s="22" t="s">
        <v>647</v>
      </c>
      <c r="C2380" s="22" t="s">
        <v>57</v>
      </c>
      <c r="D2380" s="48" t="s">
        <v>5</v>
      </c>
      <c r="E2380" t="s">
        <v>255</v>
      </c>
      <c r="F2380">
        <v>2020</v>
      </c>
      <c r="G2380" t="s">
        <v>247</v>
      </c>
      <c r="H2380" s="42" t="s">
        <v>837</v>
      </c>
      <c r="J2380" t="s">
        <v>248</v>
      </c>
      <c r="L2380" s="34">
        <v>2</v>
      </c>
      <c r="M2380" s="38">
        <v>0.75</v>
      </c>
      <c r="N2380" s="38">
        <f t="shared" si="37"/>
        <v>1.5</v>
      </c>
    </row>
    <row r="2381" spans="1:35">
      <c r="A2381" s="29">
        <v>44207</v>
      </c>
      <c r="B2381" s="22" t="s">
        <v>783</v>
      </c>
      <c r="C2381" s="22" t="s">
        <v>13</v>
      </c>
      <c r="D2381" s="48" t="s">
        <v>5</v>
      </c>
      <c r="E2381" t="s">
        <v>157</v>
      </c>
      <c r="F2381">
        <v>2020</v>
      </c>
      <c r="G2381" t="s">
        <v>326</v>
      </c>
      <c r="H2381" s="42" t="s">
        <v>785</v>
      </c>
      <c r="J2381" t="s">
        <v>248</v>
      </c>
      <c r="L2381" s="34">
        <v>6</v>
      </c>
      <c r="M2381" s="38">
        <v>0.75</v>
      </c>
      <c r="N2381" s="38">
        <f t="shared" si="37"/>
        <v>4.5</v>
      </c>
    </row>
    <row r="2382" spans="1:35">
      <c r="A2382" s="29">
        <v>44207</v>
      </c>
      <c r="B2382" s="22" t="s">
        <v>19</v>
      </c>
      <c r="C2382" s="22" t="s">
        <v>47</v>
      </c>
      <c r="D2382" s="48" t="s">
        <v>5</v>
      </c>
      <c r="E2382" t="s">
        <v>161</v>
      </c>
      <c r="F2382">
        <v>2019</v>
      </c>
      <c r="G2382" t="s">
        <v>57</v>
      </c>
      <c r="H2382" s="42" t="s">
        <v>759</v>
      </c>
      <c r="J2382" t="s">
        <v>248</v>
      </c>
      <c r="L2382" s="34">
        <v>1</v>
      </c>
      <c r="M2382" s="38">
        <v>0.75</v>
      </c>
      <c r="N2382" s="38">
        <f t="shared" si="37"/>
        <v>0.75</v>
      </c>
    </row>
    <row r="2383" spans="1:35">
      <c r="A2383" s="29">
        <v>44207</v>
      </c>
      <c r="B2383" s="22" t="s">
        <v>82</v>
      </c>
      <c r="C2383" s="22" t="s">
        <v>55</v>
      </c>
      <c r="D2383" s="48" t="s">
        <v>5</v>
      </c>
      <c r="E2383" t="s">
        <v>157</v>
      </c>
      <c r="F2383">
        <v>2020</v>
      </c>
      <c r="G2383" t="s">
        <v>326</v>
      </c>
      <c r="H2383" s="42" t="s">
        <v>785</v>
      </c>
      <c r="J2383" t="s">
        <v>248</v>
      </c>
      <c r="L2383" s="34">
        <v>6</v>
      </c>
      <c r="M2383" s="38">
        <v>0.75</v>
      </c>
      <c r="N2383" s="38">
        <f t="shared" si="37"/>
        <v>4.5</v>
      </c>
    </row>
    <row r="2384" spans="1:35">
      <c r="A2384" s="29">
        <v>44207</v>
      </c>
      <c r="B2384" s="22" t="s">
        <v>28</v>
      </c>
      <c r="C2384" s="22" t="s">
        <v>271</v>
      </c>
      <c r="D2384" s="48" t="s">
        <v>5</v>
      </c>
      <c r="E2384" t="s">
        <v>157</v>
      </c>
      <c r="F2384">
        <v>2020</v>
      </c>
      <c r="G2384" t="s">
        <v>257</v>
      </c>
      <c r="H2384" s="42" t="s">
        <v>798</v>
      </c>
      <c r="J2384" t="s">
        <v>248</v>
      </c>
      <c r="L2384" s="34">
        <v>3</v>
      </c>
      <c r="M2384" s="38">
        <v>0.75</v>
      </c>
      <c r="N2384" s="38">
        <f t="shared" si="37"/>
        <v>2.25</v>
      </c>
    </row>
    <row r="2385" spans="1:14">
      <c r="A2385" s="29">
        <v>44207</v>
      </c>
      <c r="B2385" s="22" t="s">
        <v>28</v>
      </c>
      <c r="C2385" s="22" t="s">
        <v>271</v>
      </c>
      <c r="D2385" s="48" t="s">
        <v>5</v>
      </c>
      <c r="E2385" t="s">
        <v>157</v>
      </c>
      <c r="F2385">
        <v>2020</v>
      </c>
      <c r="G2385" t="s">
        <v>326</v>
      </c>
      <c r="H2385" s="42" t="s">
        <v>785</v>
      </c>
      <c r="J2385" t="s">
        <v>248</v>
      </c>
      <c r="L2385" s="34">
        <v>3</v>
      </c>
      <c r="M2385" s="38">
        <v>0.75</v>
      </c>
      <c r="N2385" s="38">
        <f t="shared" si="37"/>
        <v>2.25</v>
      </c>
    </row>
    <row r="2386" spans="1:14">
      <c r="A2386" s="29">
        <v>44207</v>
      </c>
      <c r="B2386" s="22" t="s">
        <v>28</v>
      </c>
      <c r="C2386" s="22" t="s">
        <v>271</v>
      </c>
      <c r="D2386" s="48" t="s">
        <v>8</v>
      </c>
      <c r="E2386" t="s">
        <v>272</v>
      </c>
      <c r="F2386">
        <v>2020</v>
      </c>
      <c r="G2386" t="s">
        <v>272</v>
      </c>
      <c r="H2386" s="42" t="s">
        <v>753</v>
      </c>
      <c r="J2386" t="s">
        <v>248</v>
      </c>
      <c r="L2386" s="34">
        <v>3</v>
      </c>
      <c r="M2386" s="38">
        <v>0.75</v>
      </c>
      <c r="N2386" s="38">
        <f t="shared" si="37"/>
        <v>2.25</v>
      </c>
    </row>
    <row r="2387" spans="1:14">
      <c r="A2387" s="29">
        <v>44209</v>
      </c>
      <c r="B2387" s="22" t="s">
        <v>63</v>
      </c>
      <c r="C2387" s="22" t="s">
        <v>57</v>
      </c>
      <c r="D2387" s="48" t="s">
        <v>11</v>
      </c>
      <c r="E2387" t="s">
        <v>805</v>
      </c>
      <c r="F2387">
        <v>2020</v>
      </c>
      <c r="G2387" t="s">
        <v>708</v>
      </c>
      <c r="H2387" s="42" t="s">
        <v>57</v>
      </c>
      <c r="J2387" t="s">
        <v>248</v>
      </c>
      <c r="K2387" t="s">
        <v>838</v>
      </c>
      <c r="L2387" s="34">
        <v>2</v>
      </c>
      <c r="M2387" s="38">
        <v>0.75</v>
      </c>
      <c r="N2387" s="38">
        <f t="shared" si="37"/>
        <v>1.5</v>
      </c>
    </row>
    <row r="2388" spans="1:14">
      <c r="A2388" s="29">
        <v>44209</v>
      </c>
      <c r="B2388" s="22" t="s">
        <v>63</v>
      </c>
      <c r="C2388" s="22" t="s">
        <v>57</v>
      </c>
      <c r="D2388" s="48" t="s">
        <v>5</v>
      </c>
      <c r="E2388" t="s">
        <v>157</v>
      </c>
      <c r="F2388">
        <v>2020</v>
      </c>
      <c r="G2388" t="s">
        <v>326</v>
      </c>
      <c r="H2388" s="42" t="s">
        <v>785</v>
      </c>
      <c r="J2388" t="s">
        <v>248</v>
      </c>
      <c r="L2388" s="34">
        <v>4</v>
      </c>
      <c r="M2388" s="38">
        <v>0.75</v>
      </c>
      <c r="N2388" s="38">
        <f t="shared" si="37"/>
        <v>3</v>
      </c>
    </row>
    <row r="2389" spans="1:14">
      <c r="A2389" s="29">
        <v>44211</v>
      </c>
      <c r="B2389" s="22" t="s">
        <v>63</v>
      </c>
      <c r="C2389" s="22" t="s">
        <v>57</v>
      </c>
      <c r="D2389" s="48" t="s">
        <v>5</v>
      </c>
      <c r="E2389" t="s">
        <v>255</v>
      </c>
      <c r="F2389">
        <v>2020</v>
      </c>
      <c r="G2389" t="s">
        <v>247</v>
      </c>
      <c r="H2389" s="42" t="s">
        <v>837</v>
      </c>
      <c r="J2389" t="s">
        <v>248</v>
      </c>
      <c r="L2389" s="34">
        <v>3</v>
      </c>
      <c r="M2389" s="38">
        <v>0.75</v>
      </c>
      <c r="N2389" s="38">
        <f t="shared" si="37"/>
        <v>2.25</v>
      </c>
    </row>
    <row r="2390" spans="1:14">
      <c r="A2390" s="29">
        <v>44214</v>
      </c>
      <c r="B2390" s="22" t="s">
        <v>13</v>
      </c>
      <c r="C2390" s="22" t="s">
        <v>57</v>
      </c>
      <c r="D2390" s="48" t="s">
        <v>5</v>
      </c>
      <c r="E2390" t="s">
        <v>262</v>
      </c>
      <c r="F2390">
        <v>2020</v>
      </c>
      <c r="G2390" t="s">
        <v>526</v>
      </c>
      <c r="H2390" s="42" t="s">
        <v>839</v>
      </c>
      <c r="J2390" t="s">
        <v>248</v>
      </c>
      <c r="L2390" s="34">
        <v>4</v>
      </c>
      <c r="M2390" s="38">
        <v>0.75</v>
      </c>
      <c r="N2390" s="38">
        <f t="shared" si="37"/>
        <v>3</v>
      </c>
    </row>
    <row r="2391" spans="1:14">
      <c r="A2391" s="29">
        <v>44214</v>
      </c>
      <c r="B2391" s="22" t="s">
        <v>13</v>
      </c>
      <c r="C2391" s="22" t="s">
        <v>57</v>
      </c>
      <c r="D2391" s="48" t="s">
        <v>5</v>
      </c>
      <c r="E2391" t="s">
        <v>159</v>
      </c>
      <c r="F2391">
        <v>2020</v>
      </c>
      <c r="G2391" t="s">
        <v>500</v>
      </c>
      <c r="H2391" s="42" t="s">
        <v>840</v>
      </c>
      <c r="J2391" t="s">
        <v>248</v>
      </c>
      <c r="L2391" s="34">
        <v>4</v>
      </c>
      <c r="M2391" s="38">
        <v>0.75</v>
      </c>
      <c r="N2391" s="38">
        <f t="shared" si="37"/>
        <v>3</v>
      </c>
    </row>
    <row r="2392" spans="1:14">
      <c r="A2392" s="29">
        <v>44214</v>
      </c>
      <c r="B2392" s="22" t="s">
        <v>13</v>
      </c>
      <c r="C2392" s="22" t="s">
        <v>57</v>
      </c>
      <c r="D2392" s="48" t="s">
        <v>5</v>
      </c>
      <c r="E2392" t="s">
        <v>157</v>
      </c>
      <c r="F2392">
        <v>2020</v>
      </c>
      <c r="G2392" t="s">
        <v>500</v>
      </c>
      <c r="H2392" s="42" t="s">
        <v>841</v>
      </c>
      <c r="J2392" t="s">
        <v>248</v>
      </c>
      <c r="L2392" s="34">
        <v>4</v>
      </c>
      <c r="M2392" s="38">
        <v>0.75</v>
      </c>
      <c r="N2392" s="38">
        <f t="shared" si="37"/>
        <v>3</v>
      </c>
    </row>
    <row r="2393" spans="1:14">
      <c r="A2393" s="29">
        <v>44214</v>
      </c>
      <c r="B2393" s="22" t="s">
        <v>13</v>
      </c>
      <c r="C2393" s="22" t="s">
        <v>57</v>
      </c>
      <c r="D2393" s="48" t="s">
        <v>8</v>
      </c>
      <c r="E2393" t="s">
        <v>513</v>
      </c>
      <c r="F2393">
        <v>2020</v>
      </c>
      <c r="G2393" t="s">
        <v>500</v>
      </c>
      <c r="H2393" s="42" t="s">
        <v>842</v>
      </c>
      <c r="J2393" t="s">
        <v>248</v>
      </c>
      <c r="L2393" s="34">
        <v>4</v>
      </c>
      <c r="M2393" s="38">
        <v>0.75</v>
      </c>
      <c r="N2393" s="38">
        <f t="shared" si="37"/>
        <v>3</v>
      </c>
    </row>
    <row r="2394" spans="1:14">
      <c r="A2394" s="29">
        <v>44214</v>
      </c>
      <c r="B2394" s="22" t="s">
        <v>13</v>
      </c>
      <c r="C2394" s="22" t="s">
        <v>57</v>
      </c>
      <c r="D2394" s="48" t="s">
        <v>11</v>
      </c>
      <c r="E2394" t="s">
        <v>179</v>
      </c>
      <c r="F2394">
        <v>2020</v>
      </c>
      <c r="G2394" t="s">
        <v>500</v>
      </c>
      <c r="H2394" s="42" t="s">
        <v>843</v>
      </c>
      <c r="J2394" t="s">
        <v>248</v>
      </c>
      <c r="L2394" s="34">
        <v>2</v>
      </c>
      <c r="M2394" s="38">
        <v>0.75</v>
      </c>
      <c r="N2394" s="38">
        <f t="shared" si="37"/>
        <v>1.5</v>
      </c>
    </row>
    <row r="2395" spans="1:14">
      <c r="A2395" s="29">
        <v>44214</v>
      </c>
      <c r="B2395" s="22" t="s">
        <v>13</v>
      </c>
      <c r="C2395" s="22" t="s">
        <v>57</v>
      </c>
      <c r="D2395" s="48" t="s">
        <v>11</v>
      </c>
      <c r="E2395" t="s">
        <v>177</v>
      </c>
      <c r="F2395">
        <v>2020</v>
      </c>
      <c r="G2395" t="s">
        <v>500</v>
      </c>
      <c r="H2395" s="42" t="s">
        <v>844</v>
      </c>
      <c r="J2395" t="s">
        <v>248</v>
      </c>
      <c r="L2395" s="34">
        <v>2</v>
      </c>
      <c r="M2395" s="38">
        <v>0.75</v>
      </c>
      <c r="N2395" s="38">
        <f t="shared" si="37"/>
        <v>1.5</v>
      </c>
    </row>
    <row r="2396" spans="1:14">
      <c r="A2396" s="29">
        <v>44214</v>
      </c>
      <c r="B2396" s="22" t="s">
        <v>13</v>
      </c>
      <c r="C2396" s="22" t="s">
        <v>57</v>
      </c>
      <c r="D2396" s="48" t="s">
        <v>11</v>
      </c>
      <c r="E2396" t="s">
        <v>177</v>
      </c>
      <c r="F2396">
        <v>2020</v>
      </c>
      <c r="G2396" t="s">
        <v>57</v>
      </c>
      <c r="H2396" s="42" t="s">
        <v>845</v>
      </c>
      <c r="J2396" t="s">
        <v>248</v>
      </c>
      <c r="L2396" s="34">
        <v>3</v>
      </c>
      <c r="M2396" s="38">
        <v>0.75</v>
      </c>
      <c r="N2396" s="38">
        <f t="shared" si="37"/>
        <v>2.25</v>
      </c>
    </row>
    <row r="2397" spans="1:14">
      <c r="A2397" s="29">
        <v>44214</v>
      </c>
      <c r="B2397" s="22" t="s">
        <v>79</v>
      </c>
      <c r="C2397" s="22" t="s">
        <v>57</v>
      </c>
      <c r="D2397" s="48" t="s">
        <v>5</v>
      </c>
      <c r="E2397" t="s">
        <v>159</v>
      </c>
      <c r="F2397">
        <v>2020</v>
      </c>
      <c r="G2397" t="s">
        <v>326</v>
      </c>
      <c r="H2397" s="42" t="s">
        <v>846</v>
      </c>
      <c r="J2397" t="s">
        <v>248</v>
      </c>
      <c r="L2397" s="34">
        <v>8</v>
      </c>
      <c r="M2397" s="38">
        <v>0.75</v>
      </c>
      <c r="N2397" s="38">
        <f t="shared" si="37"/>
        <v>6</v>
      </c>
    </row>
    <row r="2398" spans="1:14">
      <c r="A2398" s="29">
        <v>44214</v>
      </c>
      <c r="B2398" s="22" t="s">
        <v>783</v>
      </c>
      <c r="C2398" s="22" t="s">
        <v>13</v>
      </c>
      <c r="D2398" s="48" t="s">
        <v>5</v>
      </c>
      <c r="E2398" t="s">
        <v>157</v>
      </c>
      <c r="F2398">
        <v>2020</v>
      </c>
      <c r="G2398" t="s">
        <v>326</v>
      </c>
      <c r="H2398" s="42" t="s">
        <v>57</v>
      </c>
      <c r="J2398" t="s">
        <v>248</v>
      </c>
      <c r="K2398" t="s">
        <v>847</v>
      </c>
      <c r="L2398" s="34">
        <v>4</v>
      </c>
      <c r="M2398" s="38">
        <v>0.75</v>
      </c>
      <c r="N2398" s="38">
        <f t="shared" si="37"/>
        <v>3</v>
      </c>
    </row>
    <row r="2399" spans="1:14">
      <c r="A2399" s="29">
        <v>44214</v>
      </c>
      <c r="B2399" s="22" t="s">
        <v>16</v>
      </c>
      <c r="C2399" s="22" t="s">
        <v>45</v>
      </c>
      <c r="D2399" s="48" t="s">
        <v>5</v>
      </c>
      <c r="E2399" t="s">
        <v>157</v>
      </c>
      <c r="F2399">
        <v>2020</v>
      </c>
      <c r="G2399" t="s">
        <v>326</v>
      </c>
      <c r="H2399" s="42" t="s">
        <v>785</v>
      </c>
      <c r="J2399" t="s">
        <v>248</v>
      </c>
      <c r="L2399" s="34">
        <v>4</v>
      </c>
      <c r="M2399" s="38">
        <v>0.75</v>
      </c>
      <c r="N2399" s="38">
        <f t="shared" si="37"/>
        <v>3</v>
      </c>
    </row>
    <row r="2400" spans="1:14">
      <c r="A2400" s="29">
        <v>44215</v>
      </c>
      <c r="B2400" s="22" t="s">
        <v>13</v>
      </c>
      <c r="C2400" s="22" t="s">
        <v>57</v>
      </c>
      <c r="D2400" s="48" t="s">
        <v>5</v>
      </c>
      <c r="E2400" t="s">
        <v>262</v>
      </c>
      <c r="F2400">
        <v>2020</v>
      </c>
      <c r="G2400" t="s">
        <v>526</v>
      </c>
      <c r="H2400" s="42" t="s">
        <v>839</v>
      </c>
      <c r="J2400" t="s">
        <v>248</v>
      </c>
      <c r="L2400" s="34">
        <v>2</v>
      </c>
      <c r="M2400" s="38">
        <v>0.75</v>
      </c>
      <c r="N2400" s="38">
        <f t="shared" si="37"/>
        <v>1.5</v>
      </c>
    </row>
    <row r="2401" spans="1:14">
      <c r="A2401" s="29">
        <v>44216</v>
      </c>
      <c r="B2401" s="22" t="s">
        <v>40</v>
      </c>
      <c r="C2401" s="22" t="s">
        <v>57</v>
      </c>
      <c r="D2401" s="48" t="s">
        <v>5</v>
      </c>
      <c r="E2401" t="s">
        <v>262</v>
      </c>
      <c r="F2401">
        <v>2020</v>
      </c>
      <c r="G2401" t="s">
        <v>307</v>
      </c>
      <c r="H2401" s="42" t="s">
        <v>848</v>
      </c>
      <c r="J2401" t="s">
        <v>248</v>
      </c>
      <c r="L2401" s="34">
        <v>1</v>
      </c>
      <c r="M2401" s="38">
        <v>0.75</v>
      </c>
      <c r="N2401" s="38">
        <f t="shared" si="37"/>
        <v>0.75</v>
      </c>
    </row>
    <row r="2402" spans="1:14">
      <c r="A2402" s="29">
        <v>44216</v>
      </c>
      <c r="B2402" s="22" t="s">
        <v>40</v>
      </c>
      <c r="C2402" s="22" t="s">
        <v>57</v>
      </c>
      <c r="D2402" s="48" t="s">
        <v>5</v>
      </c>
      <c r="E2402" t="s">
        <v>262</v>
      </c>
      <c r="F2402">
        <v>2020</v>
      </c>
      <c r="G2402" t="s">
        <v>307</v>
      </c>
      <c r="H2402" s="42" t="s">
        <v>848</v>
      </c>
      <c r="J2402" t="s">
        <v>248</v>
      </c>
      <c r="K2402" t="s">
        <v>849</v>
      </c>
      <c r="L2402" s="34">
        <v>2</v>
      </c>
      <c r="M2402" s="38">
        <v>0.75</v>
      </c>
      <c r="N2402" s="38">
        <f t="shared" si="37"/>
        <v>1.5</v>
      </c>
    </row>
    <row r="2403" spans="1:14">
      <c r="A2403" s="29">
        <v>44217</v>
      </c>
      <c r="B2403" s="22" t="s">
        <v>23</v>
      </c>
      <c r="C2403" s="22" t="s">
        <v>34</v>
      </c>
      <c r="D2403" s="48" t="s">
        <v>5</v>
      </c>
      <c r="E2403" t="s">
        <v>157</v>
      </c>
      <c r="F2403">
        <v>2020</v>
      </c>
      <c r="G2403" t="s">
        <v>257</v>
      </c>
      <c r="H2403" s="42" t="s">
        <v>850</v>
      </c>
      <c r="J2403" t="s">
        <v>248</v>
      </c>
      <c r="L2403" s="34">
        <v>4</v>
      </c>
      <c r="M2403" s="38">
        <v>0.75</v>
      </c>
      <c r="N2403" s="38">
        <f t="shared" si="37"/>
        <v>3</v>
      </c>
    </row>
    <row r="2404" spans="1:14">
      <c r="A2404" s="29">
        <v>44217</v>
      </c>
      <c r="B2404" s="22" t="s">
        <v>23</v>
      </c>
      <c r="C2404" s="22" t="s">
        <v>34</v>
      </c>
      <c r="D2404" s="48" t="s">
        <v>8</v>
      </c>
      <c r="E2404" t="s">
        <v>273</v>
      </c>
      <c r="F2404">
        <v>2020</v>
      </c>
      <c r="G2404" t="s">
        <v>57</v>
      </c>
      <c r="H2404" s="42" t="s">
        <v>57</v>
      </c>
      <c r="J2404" t="s">
        <v>248</v>
      </c>
      <c r="K2404" t="s">
        <v>851</v>
      </c>
      <c r="L2404" s="34">
        <v>2</v>
      </c>
      <c r="M2404" s="38">
        <v>0.75</v>
      </c>
      <c r="N2404" s="38">
        <f t="shared" si="37"/>
        <v>1.5</v>
      </c>
    </row>
    <row r="2405" spans="1:14">
      <c r="A2405" s="29">
        <v>44222</v>
      </c>
      <c r="B2405" s="22" t="s">
        <v>79</v>
      </c>
      <c r="C2405" s="22" t="s">
        <v>57</v>
      </c>
      <c r="D2405" s="48" t="s">
        <v>5</v>
      </c>
      <c r="E2405" t="s">
        <v>159</v>
      </c>
      <c r="F2405">
        <v>2020</v>
      </c>
      <c r="G2405" t="s">
        <v>326</v>
      </c>
      <c r="H2405" s="42" t="s">
        <v>852</v>
      </c>
      <c r="J2405" t="s">
        <v>248</v>
      </c>
      <c r="L2405" s="34">
        <v>10</v>
      </c>
      <c r="M2405" s="38">
        <v>0.75</v>
      </c>
      <c r="N2405" s="38">
        <f t="shared" si="37"/>
        <v>7.5</v>
      </c>
    </row>
    <row r="2406" spans="1:14">
      <c r="A2406" s="29">
        <v>44222</v>
      </c>
      <c r="B2406" s="22" t="s">
        <v>63</v>
      </c>
      <c r="C2406" s="22" t="s">
        <v>57</v>
      </c>
      <c r="D2406" s="48" t="s">
        <v>5</v>
      </c>
      <c r="E2406" t="s">
        <v>255</v>
      </c>
      <c r="F2406">
        <v>2020</v>
      </c>
      <c r="G2406" t="s">
        <v>247</v>
      </c>
      <c r="H2406" s="42" t="s">
        <v>853</v>
      </c>
      <c r="J2406" t="s">
        <v>248</v>
      </c>
      <c r="L2406" s="34">
        <v>2</v>
      </c>
      <c r="M2406" s="38">
        <v>0.75</v>
      </c>
      <c r="N2406" s="38">
        <f t="shared" si="37"/>
        <v>1.5</v>
      </c>
    </row>
    <row r="2407" spans="1:14">
      <c r="A2407" s="29">
        <v>44222</v>
      </c>
      <c r="B2407" s="22" t="s">
        <v>109</v>
      </c>
      <c r="C2407" s="22" t="s">
        <v>57</v>
      </c>
      <c r="D2407" s="48" t="s">
        <v>5</v>
      </c>
      <c r="E2407" t="s">
        <v>503</v>
      </c>
      <c r="F2407">
        <v>2020</v>
      </c>
      <c r="G2407" t="s">
        <v>57</v>
      </c>
      <c r="H2407" s="42" t="s">
        <v>807</v>
      </c>
      <c r="J2407" t="s">
        <v>248</v>
      </c>
      <c r="L2407" s="34">
        <v>5</v>
      </c>
      <c r="M2407" s="38">
        <v>0.75</v>
      </c>
      <c r="N2407" s="38">
        <f t="shared" si="37"/>
        <v>3.75</v>
      </c>
    </row>
    <row r="2408" spans="1:14">
      <c r="A2408" s="29">
        <v>44222</v>
      </c>
      <c r="B2408" s="22" t="s">
        <v>109</v>
      </c>
      <c r="C2408" s="22" t="s">
        <v>57</v>
      </c>
      <c r="D2408" s="48" t="s">
        <v>5</v>
      </c>
      <c r="E2408" t="s">
        <v>494</v>
      </c>
      <c r="F2408">
        <v>2020</v>
      </c>
      <c r="G2408" t="s">
        <v>494</v>
      </c>
      <c r="H2408" s="42" t="s">
        <v>835</v>
      </c>
      <c r="J2408" t="s">
        <v>248</v>
      </c>
      <c r="L2408" s="34">
        <v>6</v>
      </c>
      <c r="M2408" s="38">
        <v>0.75</v>
      </c>
      <c r="N2408" s="38">
        <f t="shared" si="37"/>
        <v>4.5</v>
      </c>
    </row>
    <row r="2409" spans="1:14">
      <c r="A2409" s="29">
        <v>44223</v>
      </c>
      <c r="B2409" s="22" t="s">
        <v>113</v>
      </c>
      <c r="C2409" s="22" t="s">
        <v>271</v>
      </c>
      <c r="D2409" s="48" t="s">
        <v>5</v>
      </c>
      <c r="E2409" t="s">
        <v>262</v>
      </c>
      <c r="F2409">
        <v>2020</v>
      </c>
      <c r="G2409" t="s">
        <v>307</v>
      </c>
      <c r="H2409" s="42" t="s">
        <v>814</v>
      </c>
      <c r="J2409" t="s">
        <v>248</v>
      </c>
      <c r="L2409" s="34">
        <v>1</v>
      </c>
      <c r="M2409" s="38">
        <v>0.75</v>
      </c>
      <c r="N2409" s="38">
        <f t="shared" si="37"/>
        <v>0.75</v>
      </c>
    </row>
    <row r="2410" spans="1:14">
      <c r="A2410" s="29">
        <v>44223</v>
      </c>
      <c r="B2410" s="22" t="s">
        <v>113</v>
      </c>
      <c r="C2410" s="22" t="s">
        <v>271</v>
      </c>
      <c r="D2410" s="48" t="s">
        <v>5</v>
      </c>
      <c r="E2410" t="s">
        <v>157</v>
      </c>
      <c r="F2410">
        <v>2020</v>
      </c>
      <c r="G2410" t="s">
        <v>257</v>
      </c>
      <c r="H2410" s="42" t="s">
        <v>798</v>
      </c>
      <c r="J2410" t="s">
        <v>248</v>
      </c>
      <c r="L2410" s="34">
        <v>1</v>
      </c>
      <c r="M2410" s="38">
        <v>0.75</v>
      </c>
      <c r="N2410" s="38">
        <f t="shared" si="37"/>
        <v>0.75</v>
      </c>
    </row>
    <row r="2411" spans="1:14">
      <c r="A2411" s="29">
        <v>44223</v>
      </c>
      <c r="B2411" s="22" t="s">
        <v>113</v>
      </c>
      <c r="C2411" s="22" t="s">
        <v>271</v>
      </c>
      <c r="D2411" s="48" t="s">
        <v>5</v>
      </c>
      <c r="E2411" t="s">
        <v>157</v>
      </c>
      <c r="F2411">
        <v>2020</v>
      </c>
      <c r="G2411" t="s">
        <v>854</v>
      </c>
      <c r="H2411" s="42" t="s">
        <v>855</v>
      </c>
      <c r="J2411" t="s">
        <v>248</v>
      </c>
      <c r="L2411" s="34">
        <v>1</v>
      </c>
      <c r="M2411" s="38">
        <v>0.75</v>
      </c>
      <c r="N2411" s="38">
        <f t="shared" si="37"/>
        <v>0.75</v>
      </c>
    </row>
    <row r="2412" spans="1:14">
      <c r="A2412" s="29">
        <v>44223</v>
      </c>
      <c r="B2412" s="22" t="s">
        <v>113</v>
      </c>
      <c r="C2412" s="22" t="s">
        <v>271</v>
      </c>
      <c r="D2412" s="48" t="s">
        <v>5</v>
      </c>
      <c r="E2412" t="s">
        <v>272</v>
      </c>
      <c r="F2412">
        <v>2020</v>
      </c>
      <c r="G2412" t="s">
        <v>272</v>
      </c>
      <c r="H2412" s="42" t="s">
        <v>753</v>
      </c>
      <c r="J2412" t="s">
        <v>248</v>
      </c>
      <c r="L2412" s="34">
        <v>1</v>
      </c>
      <c r="M2412" s="38">
        <v>0.75</v>
      </c>
      <c r="N2412" s="38">
        <f t="shared" si="37"/>
        <v>0.75</v>
      </c>
    </row>
    <row r="2413" spans="1:14">
      <c r="A2413" s="29">
        <v>44223</v>
      </c>
      <c r="B2413" s="22" t="s">
        <v>113</v>
      </c>
      <c r="C2413" s="22" t="s">
        <v>271</v>
      </c>
      <c r="D2413" s="48" t="s">
        <v>5</v>
      </c>
      <c r="E2413" t="s">
        <v>157</v>
      </c>
      <c r="F2413">
        <v>2020</v>
      </c>
      <c r="G2413" t="s">
        <v>326</v>
      </c>
      <c r="H2413" s="42" t="s">
        <v>767</v>
      </c>
      <c r="J2413" t="s">
        <v>248</v>
      </c>
      <c r="L2413" s="34">
        <v>1</v>
      </c>
      <c r="M2413" s="38">
        <v>0.75</v>
      </c>
      <c r="N2413" s="38">
        <f t="shared" si="37"/>
        <v>0.75</v>
      </c>
    </row>
    <row r="2414" spans="1:14">
      <c r="A2414" s="29">
        <v>44224</v>
      </c>
      <c r="B2414" s="22" t="s">
        <v>63</v>
      </c>
      <c r="C2414" s="22" t="s">
        <v>57</v>
      </c>
      <c r="D2414" s="48" t="s">
        <v>5</v>
      </c>
      <c r="E2414" t="s">
        <v>157</v>
      </c>
      <c r="F2414">
        <v>2020</v>
      </c>
      <c r="G2414" t="s">
        <v>326</v>
      </c>
      <c r="H2414" s="42" t="s">
        <v>767</v>
      </c>
      <c r="J2414" t="s">
        <v>248</v>
      </c>
      <c r="L2414" s="34">
        <v>2</v>
      </c>
      <c r="M2414" s="38">
        <v>0.75</v>
      </c>
      <c r="N2414" s="38">
        <f t="shared" si="37"/>
        <v>1.5</v>
      </c>
    </row>
    <row r="2415" spans="1:14">
      <c r="A2415" s="29">
        <v>44229</v>
      </c>
      <c r="B2415" s="22" t="s">
        <v>113</v>
      </c>
      <c r="C2415" s="22" t="s">
        <v>271</v>
      </c>
      <c r="D2415" s="48" t="s">
        <v>5</v>
      </c>
      <c r="E2415" t="s">
        <v>157</v>
      </c>
      <c r="F2415">
        <v>2020</v>
      </c>
      <c r="G2415" t="s">
        <v>257</v>
      </c>
      <c r="H2415" s="42" t="s">
        <v>798</v>
      </c>
      <c r="J2415" t="s">
        <v>248</v>
      </c>
      <c r="L2415" s="34">
        <v>3</v>
      </c>
      <c r="M2415" s="38">
        <v>0.75</v>
      </c>
      <c r="N2415" s="38">
        <f t="shared" si="37"/>
        <v>2.25</v>
      </c>
    </row>
    <row r="2416" spans="1:14">
      <c r="A2416" s="29">
        <v>44229</v>
      </c>
      <c r="B2416" s="22" t="s">
        <v>113</v>
      </c>
      <c r="C2416" s="22" t="s">
        <v>271</v>
      </c>
      <c r="D2416" s="48" t="s">
        <v>5</v>
      </c>
      <c r="E2416" t="s">
        <v>262</v>
      </c>
      <c r="F2416">
        <v>2020</v>
      </c>
      <c r="G2416" t="s">
        <v>307</v>
      </c>
      <c r="H2416" s="42" t="s">
        <v>814</v>
      </c>
      <c r="J2416" t="s">
        <v>248</v>
      </c>
      <c r="L2416" s="34">
        <v>1</v>
      </c>
      <c r="M2416" s="38">
        <v>0.75</v>
      </c>
      <c r="N2416" s="38">
        <f t="shared" si="37"/>
        <v>0.75</v>
      </c>
    </row>
    <row r="2417" spans="1:14">
      <c r="A2417" s="29">
        <v>44230</v>
      </c>
      <c r="B2417" s="22" t="s">
        <v>79</v>
      </c>
      <c r="C2417" s="22" t="s">
        <v>57</v>
      </c>
      <c r="D2417" s="48" t="s">
        <v>5</v>
      </c>
      <c r="E2417" t="s">
        <v>157</v>
      </c>
      <c r="F2417">
        <v>2020</v>
      </c>
      <c r="G2417" t="s">
        <v>326</v>
      </c>
      <c r="H2417" s="42" t="s">
        <v>767</v>
      </c>
      <c r="J2417" t="s">
        <v>248</v>
      </c>
      <c r="L2417" s="34">
        <v>3</v>
      </c>
      <c r="M2417" s="38">
        <v>0.75</v>
      </c>
      <c r="N2417" s="38">
        <f t="shared" si="37"/>
        <v>2.25</v>
      </c>
    </row>
    <row r="2418" spans="1:14">
      <c r="A2418" s="29">
        <v>44231</v>
      </c>
      <c r="B2418" s="22" t="s">
        <v>69</v>
      </c>
      <c r="C2418" s="22" t="s">
        <v>695</v>
      </c>
      <c r="D2418" s="48" t="s">
        <v>8</v>
      </c>
      <c r="E2418" t="s">
        <v>513</v>
      </c>
      <c r="F2418">
        <v>2020</v>
      </c>
      <c r="G2418" t="s">
        <v>703</v>
      </c>
      <c r="H2418" s="42" t="s">
        <v>57</v>
      </c>
      <c r="J2418" t="s">
        <v>248</v>
      </c>
      <c r="K2418" t="s">
        <v>856</v>
      </c>
      <c r="L2418" s="34">
        <v>2</v>
      </c>
      <c r="M2418" s="38">
        <v>0.75</v>
      </c>
      <c r="N2418" s="38">
        <f t="shared" si="37"/>
        <v>1.5</v>
      </c>
    </row>
    <row r="2419" spans="1:14">
      <c r="A2419" s="29">
        <v>44231</v>
      </c>
      <c r="B2419" s="22" t="s">
        <v>69</v>
      </c>
      <c r="C2419" s="22" t="s">
        <v>695</v>
      </c>
      <c r="D2419" s="48" t="s">
        <v>8</v>
      </c>
      <c r="E2419" t="s">
        <v>513</v>
      </c>
      <c r="F2419">
        <v>2020</v>
      </c>
      <c r="G2419" t="s">
        <v>705</v>
      </c>
      <c r="H2419" s="42" t="s">
        <v>57</v>
      </c>
      <c r="J2419" t="s">
        <v>248</v>
      </c>
      <c r="K2419" t="s">
        <v>857</v>
      </c>
      <c r="L2419" s="34">
        <v>2</v>
      </c>
      <c r="M2419" s="38">
        <v>0.75</v>
      </c>
      <c r="N2419" s="38">
        <f t="shared" si="37"/>
        <v>1.5</v>
      </c>
    </row>
    <row r="2420" spans="1:14">
      <c r="A2420" s="29">
        <v>44231</v>
      </c>
      <c r="B2420" s="22" t="s">
        <v>69</v>
      </c>
      <c r="C2420" s="22" t="s">
        <v>695</v>
      </c>
      <c r="D2420" s="48" t="s">
        <v>8</v>
      </c>
      <c r="E2420" t="s">
        <v>513</v>
      </c>
      <c r="F2420">
        <v>2020</v>
      </c>
      <c r="G2420" t="s">
        <v>708</v>
      </c>
      <c r="H2420" s="42" t="s">
        <v>57</v>
      </c>
      <c r="J2420" t="s">
        <v>248</v>
      </c>
      <c r="K2420" t="s">
        <v>858</v>
      </c>
      <c r="L2420" s="34">
        <v>2</v>
      </c>
      <c r="M2420" s="38">
        <v>0.75</v>
      </c>
      <c r="N2420" s="38">
        <f t="shared" si="37"/>
        <v>1.5</v>
      </c>
    </row>
    <row r="2421" spans="1:14">
      <c r="A2421" s="29">
        <v>44231</v>
      </c>
      <c r="B2421" s="22" t="s">
        <v>57</v>
      </c>
      <c r="C2421" s="22" t="s">
        <v>24</v>
      </c>
      <c r="D2421" s="48" t="s">
        <v>5</v>
      </c>
      <c r="E2421" t="s">
        <v>255</v>
      </c>
      <c r="F2421">
        <v>2020</v>
      </c>
      <c r="G2421" t="s">
        <v>859</v>
      </c>
      <c r="H2421" s="42" t="s">
        <v>817</v>
      </c>
      <c r="J2421" t="s">
        <v>248</v>
      </c>
      <c r="L2421" s="34">
        <v>3</v>
      </c>
      <c r="M2421" s="38">
        <v>0.75</v>
      </c>
      <c r="N2421" s="38">
        <f t="shared" si="37"/>
        <v>2.25</v>
      </c>
    </row>
    <row r="2422" spans="1:14">
      <c r="A2422" s="29">
        <v>44231</v>
      </c>
      <c r="B2422" s="22" t="s">
        <v>57</v>
      </c>
      <c r="C2422" s="22" t="s">
        <v>55</v>
      </c>
      <c r="D2422" s="48" t="s">
        <v>8</v>
      </c>
      <c r="E2422" t="s">
        <v>272</v>
      </c>
      <c r="F2422">
        <v>2020</v>
      </c>
      <c r="G2422" t="s">
        <v>272</v>
      </c>
      <c r="H2422" s="42" t="s">
        <v>860</v>
      </c>
      <c r="J2422" t="s">
        <v>248</v>
      </c>
      <c r="L2422" s="34">
        <v>6</v>
      </c>
      <c r="M2422" s="38">
        <v>0.75</v>
      </c>
      <c r="N2422" s="38">
        <f t="shared" si="37"/>
        <v>4.5</v>
      </c>
    </row>
    <row r="2423" spans="1:14">
      <c r="A2423" s="29">
        <v>44231</v>
      </c>
      <c r="B2423" s="22" t="s">
        <v>19</v>
      </c>
      <c r="C2423" s="22" t="s">
        <v>47</v>
      </c>
      <c r="D2423" s="48" t="s">
        <v>5</v>
      </c>
      <c r="E2423" t="s">
        <v>161</v>
      </c>
      <c r="F2423">
        <v>2020</v>
      </c>
      <c r="G2423" t="s">
        <v>57</v>
      </c>
      <c r="H2423" s="42" t="s">
        <v>751</v>
      </c>
      <c r="J2423" t="s">
        <v>248</v>
      </c>
      <c r="L2423" s="34">
        <v>1</v>
      </c>
      <c r="M2423" s="38">
        <v>0.75</v>
      </c>
      <c r="N2423" s="38">
        <f t="shared" si="37"/>
        <v>0.75</v>
      </c>
    </row>
    <row r="2424" spans="1:14">
      <c r="A2424" s="29">
        <v>44231</v>
      </c>
      <c r="B2424" s="22" t="s">
        <v>13</v>
      </c>
      <c r="C2424" s="22" t="s">
        <v>57</v>
      </c>
      <c r="D2424" s="48" t="s">
        <v>5</v>
      </c>
      <c r="E2424" t="s">
        <v>159</v>
      </c>
      <c r="F2424">
        <v>2020</v>
      </c>
      <c r="G2424" t="s">
        <v>500</v>
      </c>
      <c r="H2424" s="42" t="s">
        <v>861</v>
      </c>
      <c r="J2424" t="s">
        <v>248</v>
      </c>
      <c r="L2424" s="34">
        <v>1</v>
      </c>
      <c r="M2424" s="38">
        <v>0.75</v>
      </c>
      <c r="N2424" s="38">
        <f t="shared" si="37"/>
        <v>0.75</v>
      </c>
    </row>
    <row r="2425" spans="1:14">
      <c r="A2425" s="29">
        <v>44231</v>
      </c>
      <c r="B2425" s="22" t="s">
        <v>13</v>
      </c>
      <c r="C2425" s="22" t="s">
        <v>57</v>
      </c>
      <c r="D2425" s="48" t="s">
        <v>5</v>
      </c>
      <c r="E2425" t="s">
        <v>262</v>
      </c>
      <c r="F2425">
        <v>2020</v>
      </c>
      <c r="G2425" t="s">
        <v>307</v>
      </c>
      <c r="H2425" s="42" t="s">
        <v>848</v>
      </c>
      <c r="J2425" t="s">
        <v>248</v>
      </c>
      <c r="L2425" s="34">
        <v>1</v>
      </c>
      <c r="M2425" s="38">
        <v>0.75</v>
      </c>
      <c r="N2425" s="38">
        <f t="shared" si="37"/>
        <v>0.75</v>
      </c>
    </row>
    <row r="2426" spans="1:14">
      <c r="A2426" s="29">
        <v>44231</v>
      </c>
      <c r="B2426" s="22" t="s">
        <v>13</v>
      </c>
      <c r="C2426" s="22" t="s">
        <v>57</v>
      </c>
      <c r="D2426" s="48" t="s">
        <v>5</v>
      </c>
      <c r="E2426" t="s">
        <v>310</v>
      </c>
      <c r="F2426">
        <v>2020</v>
      </c>
      <c r="G2426" t="s">
        <v>500</v>
      </c>
      <c r="H2426" s="42" t="s">
        <v>816</v>
      </c>
      <c r="J2426" t="s">
        <v>248</v>
      </c>
      <c r="L2426" s="34">
        <v>1</v>
      </c>
      <c r="M2426" s="38">
        <v>0.75</v>
      </c>
      <c r="N2426" s="38">
        <f t="shared" si="37"/>
        <v>0.75</v>
      </c>
    </row>
    <row r="2427" spans="1:14">
      <c r="A2427" s="29">
        <v>44231</v>
      </c>
      <c r="B2427" s="22" t="s">
        <v>783</v>
      </c>
      <c r="C2427" s="22" t="s">
        <v>13</v>
      </c>
      <c r="D2427" s="48" t="s">
        <v>8</v>
      </c>
      <c r="E2427" t="s">
        <v>272</v>
      </c>
      <c r="F2427">
        <v>2020</v>
      </c>
      <c r="G2427" t="s">
        <v>703</v>
      </c>
      <c r="H2427" s="42" t="s">
        <v>57</v>
      </c>
      <c r="J2427" t="s">
        <v>248</v>
      </c>
      <c r="K2427" t="s">
        <v>862</v>
      </c>
      <c r="L2427" s="34">
        <v>2</v>
      </c>
      <c r="M2427" s="38">
        <v>0.75</v>
      </c>
      <c r="N2427" s="38">
        <f t="shared" si="37"/>
        <v>1.5</v>
      </c>
    </row>
    <row r="2428" spans="1:14">
      <c r="A2428" s="29">
        <v>44231</v>
      </c>
      <c r="B2428" s="22" t="s">
        <v>783</v>
      </c>
      <c r="C2428" s="22" t="s">
        <v>13</v>
      </c>
      <c r="D2428" s="48" t="s">
        <v>8</v>
      </c>
      <c r="E2428" t="s">
        <v>272</v>
      </c>
      <c r="F2428">
        <v>2020</v>
      </c>
      <c r="G2428" t="s">
        <v>705</v>
      </c>
      <c r="H2428" s="42" t="s">
        <v>57</v>
      </c>
      <c r="J2428" t="s">
        <v>248</v>
      </c>
      <c r="K2428" t="s">
        <v>863</v>
      </c>
      <c r="L2428" s="34">
        <v>2</v>
      </c>
      <c r="M2428" s="38">
        <v>0.75</v>
      </c>
      <c r="N2428" s="38">
        <f t="shared" si="37"/>
        <v>1.5</v>
      </c>
    </row>
    <row r="2429" spans="1:14">
      <c r="A2429" s="29">
        <v>44235</v>
      </c>
      <c r="B2429" s="22" t="s">
        <v>293</v>
      </c>
      <c r="C2429" s="22" t="s">
        <v>41</v>
      </c>
      <c r="D2429" s="48" t="s">
        <v>8</v>
      </c>
      <c r="E2429" t="s">
        <v>272</v>
      </c>
      <c r="F2429">
        <v>2020</v>
      </c>
      <c r="G2429" t="s">
        <v>272</v>
      </c>
      <c r="H2429" s="42" t="s">
        <v>860</v>
      </c>
      <c r="J2429" t="s">
        <v>248</v>
      </c>
      <c r="L2429" s="34">
        <v>2</v>
      </c>
      <c r="M2429" s="38">
        <v>0.75</v>
      </c>
      <c r="N2429" s="38">
        <f t="shared" si="37"/>
        <v>1.5</v>
      </c>
    </row>
    <row r="2430" spans="1:14">
      <c r="A2430" s="29">
        <v>44235</v>
      </c>
      <c r="B2430" s="22" t="s">
        <v>40</v>
      </c>
      <c r="C2430" s="22" t="s">
        <v>57</v>
      </c>
      <c r="D2430" s="48" t="s">
        <v>5</v>
      </c>
      <c r="E2430" t="s">
        <v>307</v>
      </c>
      <c r="F2430">
        <v>2020</v>
      </c>
      <c r="G2430" t="s">
        <v>307</v>
      </c>
      <c r="H2430" s="42" t="s">
        <v>848</v>
      </c>
      <c r="J2430" t="s">
        <v>248</v>
      </c>
      <c r="L2430" s="34">
        <v>3</v>
      </c>
      <c r="M2430" s="38">
        <v>0.75</v>
      </c>
      <c r="N2430" s="38">
        <f t="shared" si="37"/>
        <v>2.25</v>
      </c>
    </row>
    <row r="2431" spans="1:14">
      <c r="A2431" s="29">
        <v>44235</v>
      </c>
      <c r="B2431" s="22" t="s">
        <v>40</v>
      </c>
      <c r="C2431" s="22" t="s">
        <v>57</v>
      </c>
      <c r="D2431" s="48" t="s">
        <v>5</v>
      </c>
      <c r="E2431" t="s">
        <v>307</v>
      </c>
      <c r="F2431">
        <v>2020</v>
      </c>
      <c r="G2431" t="s">
        <v>257</v>
      </c>
      <c r="H2431" s="42" t="s">
        <v>57</v>
      </c>
      <c r="J2431" t="s">
        <v>248</v>
      </c>
      <c r="K2431" t="s">
        <v>864</v>
      </c>
      <c r="L2431" s="34">
        <v>3</v>
      </c>
      <c r="M2431" s="38">
        <v>0.75</v>
      </c>
      <c r="N2431" s="38">
        <f t="shared" si="37"/>
        <v>2.25</v>
      </c>
    </row>
    <row r="2432" spans="1:14">
      <c r="A2432" s="29">
        <v>44236</v>
      </c>
      <c r="B2432" s="22" t="s">
        <v>81</v>
      </c>
      <c r="C2432" s="22" t="s">
        <v>57</v>
      </c>
      <c r="D2432" s="48" t="s">
        <v>5</v>
      </c>
      <c r="E2432" t="s">
        <v>157</v>
      </c>
      <c r="F2432">
        <v>2020</v>
      </c>
      <c r="G2432" t="s">
        <v>247</v>
      </c>
      <c r="H2432" s="42" t="s">
        <v>865</v>
      </c>
      <c r="J2432" t="s">
        <v>248</v>
      </c>
      <c r="L2432" s="34">
        <v>3</v>
      </c>
      <c r="M2432" s="38">
        <v>0.75</v>
      </c>
      <c r="N2432" s="38">
        <f t="shared" si="37"/>
        <v>2.25</v>
      </c>
    </row>
    <row r="2433" spans="1:14">
      <c r="A2433" s="29">
        <v>44236</v>
      </c>
      <c r="B2433" s="22" t="s">
        <v>81</v>
      </c>
      <c r="C2433" s="22" t="s">
        <v>57</v>
      </c>
      <c r="D2433" s="48" t="s">
        <v>5</v>
      </c>
      <c r="E2433" t="s">
        <v>183</v>
      </c>
      <c r="F2433">
        <v>2020</v>
      </c>
      <c r="G2433" t="s">
        <v>57</v>
      </c>
      <c r="H2433" s="42" t="s">
        <v>756</v>
      </c>
      <c r="J2433" t="s">
        <v>248</v>
      </c>
      <c r="L2433" s="34">
        <v>3</v>
      </c>
      <c r="M2433" s="38">
        <v>0.75</v>
      </c>
      <c r="N2433" s="38">
        <f t="shared" si="37"/>
        <v>2.25</v>
      </c>
    </row>
    <row r="2434" spans="1:14">
      <c r="A2434" s="29">
        <v>44243</v>
      </c>
      <c r="B2434" s="22" t="s">
        <v>57</v>
      </c>
      <c r="C2434" s="22" t="s">
        <v>13</v>
      </c>
      <c r="D2434" s="48" t="s">
        <v>5</v>
      </c>
      <c r="E2434" t="s">
        <v>866</v>
      </c>
      <c r="F2434">
        <v>2020</v>
      </c>
      <c r="G2434" t="s">
        <v>703</v>
      </c>
      <c r="H2434" s="42" t="s">
        <v>57</v>
      </c>
      <c r="J2434" t="s">
        <v>248</v>
      </c>
      <c r="K2434" t="s">
        <v>867</v>
      </c>
      <c r="L2434" s="34">
        <v>2</v>
      </c>
      <c r="M2434" s="38">
        <v>0.75</v>
      </c>
      <c r="N2434" s="38">
        <f t="shared" si="37"/>
        <v>1.5</v>
      </c>
    </row>
    <row r="2435" spans="1:14">
      <c r="A2435" s="29">
        <v>44245</v>
      </c>
      <c r="B2435" s="22" t="s">
        <v>60</v>
      </c>
      <c r="C2435" s="22" t="s">
        <v>7</v>
      </c>
      <c r="D2435" s="48" t="s">
        <v>8</v>
      </c>
      <c r="E2435" t="s">
        <v>272</v>
      </c>
      <c r="F2435">
        <v>2020</v>
      </c>
      <c r="G2435" t="s">
        <v>272</v>
      </c>
      <c r="H2435" s="42" t="s">
        <v>742</v>
      </c>
      <c r="J2435" t="s">
        <v>248</v>
      </c>
      <c r="L2435" s="34">
        <v>2</v>
      </c>
      <c r="M2435" s="38">
        <v>0.75</v>
      </c>
      <c r="N2435" s="38">
        <f t="shared" ref="N2435:N2498" si="38">M2435*L2435</f>
        <v>1.5</v>
      </c>
    </row>
    <row r="2436" spans="1:14">
      <c r="A2436" s="29">
        <v>44245</v>
      </c>
      <c r="B2436" s="22" t="s">
        <v>60</v>
      </c>
      <c r="C2436" s="22" t="s">
        <v>7</v>
      </c>
      <c r="D2436" s="48" t="s">
        <v>8</v>
      </c>
      <c r="E2436" t="s">
        <v>272</v>
      </c>
      <c r="F2436">
        <v>2020</v>
      </c>
      <c r="G2436" t="s">
        <v>868</v>
      </c>
      <c r="H2436" s="42" t="s">
        <v>748</v>
      </c>
      <c r="J2436" t="s">
        <v>248</v>
      </c>
      <c r="K2436" t="s">
        <v>869</v>
      </c>
      <c r="L2436" s="34">
        <v>2</v>
      </c>
      <c r="M2436" s="38">
        <v>0.75</v>
      </c>
      <c r="N2436" s="38">
        <f t="shared" si="38"/>
        <v>1.5</v>
      </c>
    </row>
    <row r="2437" spans="1:14">
      <c r="A2437" s="29">
        <v>44245</v>
      </c>
      <c r="B2437" s="22" t="s">
        <v>63</v>
      </c>
      <c r="C2437" s="22" t="s">
        <v>57</v>
      </c>
      <c r="D2437" s="48" t="s">
        <v>5</v>
      </c>
      <c r="E2437" t="s">
        <v>255</v>
      </c>
      <c r="F2437">
        <v>2020</v>
      </c>
      <c r="G2437" t="s">
        <v>247</v>
      </c>
      <c r="H2437" s="42" t="s">
        <v>870</v>
      </c>
      <c r="J2437" t="s">
        <v>248</v>
      </c>
      <c r="L2437" s="34">
        <v>2</v>
      </c>
      <c r="M2437" s="38">
        <v>0.75</v>
      </c>
      <c r="N2437" s="38">
        <f t="shared" si="38"/>
        <v>1.5</v>
      </c>
    </row>
    <row r="2438" spans="1:14">
      <c r="A2438" s="29">
        <v>44245</v>
      </c>
      <c r="B2438" s="22" t="s">
        <v>63</v>
      </c>
      <c r="C2438" s="22" t="s">
        <v>57</v>
      </c>
      <c r="D2438" s="48" t="s">
        <v>5</v>
      </c>
      <c r="E2438" t="s">
        <v>488</v>
      </c>
      <c r="F2438">
        <v>2020</v>
      </c>
      <c r="G2438" t="s">
        <v>859</v>
      </c>
      <c r="H2438" s="42" t="s">
        <v>817</v>
      </c>
      <c r="J2438" t="s">
        <v>248</v>
      </c>
      <c r="L2438" s="34">
        <v>2</v>
      </c>
      <c r="M2438" s="38">
        <v>0.75</v>
      </c>
      <c r="N2438" s="38">
        <f t="shared" si="38"/>
        <v>1.5</v>
      </c>
    </row>
    <row r="2439" spans="1:14">
      <c r="A2439" s="29">
        <v>44250</v>
      </c>
      <c r="B2439" s="22" t="s">
        <v>63</v>
      </c>
      <c r="C2439" s="22" t="s">
        <v>57</v>
      </c>
      <c r="D2439" s="48" t="s">
        <v>5</v>
      </c>
      <c r="E2439" t="s">
        <v>158</v>
      </c>
      <c r="F2439">
        <v>2020</v>
      </c>
      <c r="G2439" t="s">
        <v>326</v>
      </c>
      <c r="H2439" s="42" t="s">
        <v>871</v>
      </c>
      <c r="J2439" t="s">
        <v>248</v>
      </c>
      <c r="L2439" s="34">
        <v>3</v>
      </c>
      <c r="M2439" s="38">
        <v>0.75</v>
      </c>
      <c r="N2439" s="38">
        <f t="shared" si="38"/>
        <v>2.25</v>
      </c>
    </row>
    <row r="2440" spans="1:14">
      <c r="A2440" s="29">
        <v>44250</v>
      </c>
      <c r="B2440" s="22" t="s">
        <v>63</v>
      </c>
      <c r="C2440" s="22" t="s">
        <v>57</v>
      </c>
      <c r="D2440" s="48" t="s">
        <v>5</v>
      </c>
      <c r="E2440" t="s">
        <v>158</v>
      </c>
      <c r="F2440">
        <v>2020</v>
      </c>
      <c r="G2440" t="s">
        <v>872</v>
      </c>
      <c r="H2440" s="42" t="s">
        <v>759</v>
      </c>
      <c r="J2440" t="s">
        <v>248</v>
      </c>
      <c r="L2440" s="34">
        <v>3</v>
      </c>
      <c r="M2440" s="38">
        <v>0.75</v>
      </c>
      <c r="N2440" s="38">
        <f t="shared" si="38"/>
        <v>2.25</v>
      </c>
    </row>
    <row r="2441" spans="1:14">
      <c r="A2441" s="29">
        <v>44250</v>
      </c>
      <c r="B2441" s="22" t="s">
        <v>63</v>
      </c>
      <c r="C2441" s="22" t="s">
        <v>57</v>
      </c>
      <c r="D2441" s="48" t="s">
        <v>5</v>
      </c>
      <c r="E2441" t="s">
        <v>157</v>
      </c>
      <c r="F2441">
        <v>2020</v>
      </c>
      <c r="G2441" t="s">
        <v>326</v>
      </c>
      <c r="H2441" s="42" t="s">
        <v>767</v>
      </c>
      <c r="J2441" t="s">
        <v>248</v>
      </c>
      <c r="L2441" s="34">
        <v>3</v>
      </c>
      <c r="M2441" s="38">
        <v>0.75</v>
      </c>
      <c r="N2441" s="38">
        <f t="shared" si="38"/>
        <v>2.25</v>
      </c>
    </row>
    <row r="2442" spans="1:14">
      <c r="A2442" s="29">
        <v>44250</v>
      </c>
      <c r="B2442" s="22" t="s">
        <v>60</v>
      </c>
      <c r="C2442" s="22" t="s">
        <v>53</v>
      </c>
      <c r="D2442" s="48" t="s">
        <v>11</v>
      </c>
      <c r="E2442" t="s">
        <v>177</v>
      </c>
      <c r="F2442">
        <v>2020</v>
      </c>
      <c r="G2442" t="s">
        <v>873</v>
      </c>
      <c r="H2442" s="42" t="s">
        <v>874</v>
      </c>
      <c r="J2442" t="s">
        <v>248</v>
      </c>
      <c r="L2442" s="34">
        <v>3</v>
      </c>
      <c r="M2442" s="38">
        <v>0.75</v>
      </c>
      <c r="N2442" s="38">
        <f t="shared" si="38"/>
        <v>2.25</v>
      </c>
    </row>
    <row r="2443" spans="1:14">
      <c r="A2443" s="29">
        <v>44257</v>
      </c>
      <c r="B2443" s="22" t="s">
        <v>63</v>
      </c>
      <c r="C2443" s="22" t="s">
        <v>57</v>
      </c>
      <c r="D2443" s="48" t="s">
        <v>5</v>
      </c>
      <c r="E2443" t="s">
        <v>157</v>
      </c>
      <c r="F2443">
        <v>2020</v>
      </c>
      <c r="G2443" t="s">
        <v>326</v>
      </c>
      <c r="H2443" s="42" t="s">
        <v>767</v>
      </c>
      <c r="J2443" t="s">
        <v>248</v>
      </c>
      <c r="L2443" s="34">
        <v>4</v>
      </c>
      <c r="M2443" s="38">
        <v>0.75</v>
      </c>
      <c r="N2443" s="38">
        <f t="shared" si="38"/>
        <v>3</v>
      </c>
    </row>
    <row r="2444" spans="1:14">
      <c r="A2444" s="29">
        <v>44257</v>
      </c>
      <c r="B2444" s="22" t="s">
        <v>28</v>
      </c>
      <c r="C2444" s="22" t="s">
        <v>271</v>
      </c>
      <c r="D2444" s="48" t="s">
        <v>5</v>
      </c>
      <c r="E2444" t="s">
        <v>159</v>
      </c>
      <c r="F2444">
        <v>2020</v>
      </c>
      <c r="G2444" t="s">
        <v>326</v>
      </c>
      <c r="H2444" s="42" t="s">
        <v>874</v>
      </c>
      <c r="J2444" t="s">
        <v>248</v>
      </c>
      <c r="L2444" s="34">
        <v>3</v>
      </c>
      <c r="M2444" s="38">
        <v>0.75</v>
      </c>
      <c r="N2444" s="38">
        <f t="shared" si="38"/>
        <v>2.25</v>
      </c>
    </row>
    <row r="2445" spans="1:14">
      <c r="A2445" s="29">
        <v>44257</v>
      </c>
      <c r="B2445" s="22" t="s">
        <v>28</v>
      </c>
      <c r="C2445" s="22" t="s">
        <v>271</v>
      </c>
      <c r="D2445" s="48" t="s">
        <v>5</v>
      </c>
      <c r="E2445" t="s">
        <v>159</v>
      </c>
      <c r="F2445">
        <v>2020</v>
      </c>
      <c r="G2445" t="s">
        <v>319</v>
      </c>
      <c r="H2445" s="42" t="s">
        <v>875</v>
      </c>
      <c r="J2445" t="s">
        <v>248</v>
      </c>
      <c r="L2445" s="34">
        <v>3</v>
      </c>
      <c r="M2445" s="38">
        <v>0.75</v>
      </c>
      <c r="N2445" s="38">
        <f t="shared" si="38"/>
        <v>2.25</v>
      </c>
    </row>
    <row r="2446" spans="1:14">
      <c r="A2446" s="29">
        <v>44257</v>
      </c>
      <c r="B2446" s="22" t="s">
        <v>56</v>
      </c>
      <c r="C2446" s="22" t="s">
        <v>47</v>
      </c>
      <c r="D2446" s="48" t="s">
        <v>5</v>
      </c>
      <c r="E2446" t="s">
        <v>162</v>
      </c>
      <c r="F2446">
        <v>2020</v>
      </c>
      <c r="G2446" t="s">
        <v>859</v>
      </c>
      <c r="H2446" s="42" t="s">
        <v>817</v>
      </c>
      <c r="J2446" t="s">
        <v>248</v>
      </c>
      <c r="K2446" t="s">
        <v>876</v>
      </c>
      <c r="L2446" s="34">
        <v>1</v>
      </c>
      <c r="M2446" s="38">
        <v>0.75</v>
      </c>
      <c r="N2446" s="38">
        <f t="shared" si="38"/>
        <v>0.75</v>
      </c>
    </row>
    <row r="2447" spans="1:14">
      <c r="A2447" s="29">
        <v>44258</v>
      </c>
      <c r="B2447" s="22" t="s">
        <v>57</v>
      </c>
      <c r="C2447" s="22" t="s">
        <v>49</v>
      </c>
      <c r="D2447" s="48" t="s">
        <v>5</v>
      </c>
      <c r="E2447" t="s">
        <v>158</v>
      </c>
      <c r="F2447">
        <v>2020</v>
      </c>
      <c r="G2447" t="s">
        <v>326</v>
      </c>
      <c r="H2447" s="42" t="s">
        <v>871</v>
      </c>
      <c r="J2447" t="s">
        <v>248</v>
      </c>
      <c r="L2447" s="34">
        <v>3</v>
      </c>
      <c r="M2447" s="38">
        <v>0.75</v>
      </c>
      <c r="N2447" s="38">
        <f t="shared" si="38"/>
        <v>2.25</v>
      </c>
    </row>
    <row r="2448" spans="1:14">
      <c r="A2448" s="29">
        <v>44258</v>
      </c>
      <c r="B2448" s="22" t="s">
        <v>57</v>
      </c>
      <c r="C2448" s="22" t="s">
        <v>49</v>
      </c>
      <c r="D2448" s="48" t="s">
        <v>5</v>
      </c>
      <c r="E2448" t="s">
        <v>159</v>
      </c>
      <c r="F2448">
        <v>2020</v>
      </c>
      <c r="G2448" t="s">
        <v>319</v>
      </c>
      <c r="H2448" s="42" t="s">
        <v>875</v>
      </c>
      <c r="J2448" t="s">
        <v>248</v>
      </c>
      <c r="L2448" s="34">
        <v>3</v>
      </c>
      <c r="M2448" s="38">
        <v>0.75</v>
      </c>
      <c r="N2448" s="38">
        <f t="shared" si="38"/>
        <v>2.25</v>
      </c>
    </row>
    <row r="2449" spans="1:35">
      <c r="A2449" s="29">
        <v>44266</v>
      </c>
      <c r="B2449" s="22" t="s">
        <v>109</v>
      </c>
      <c r="C2449" s="22" t="s">
        <v>57</v>
      </c>
      <c r="D2449" s="48" t="s">
        <v>5</v>
      </c>
      <c r="E2449" t="s">
        <v>494</v>
      </c>
      <c r="F2449">
        <v>2020</v>
      </c>
      <c r="G2449" t="s">
        <v>877</v>
      </c>
      <c r="H2449" s="42" t="s">
        <v>809</v>
      </c>
      <c r="J2449" t="s">
        <v>248</v>
      </c>
      <c r="L2449" s="34">
        <v>3</v>
      </c>
      <c r="M2449" s="38">
        <v>0.75</v>
      </c>
      <c r="N2449" s="38">
        <f t="shared" si="38"/>
        <v>2.25</v>
      </c>
    </row>
    <row r="2450" spans="1:35">
      <c r="A2450" s="29">
        <v>44267</v>
      </c>
      <c r="B2450" s="22" t="s">
        <v>75</v>
      </c>
      <c r="C2450" s="22" t="s">
        <v>57</v>
      </c>
      <c r="D2450" s="48" t="s">
        <v>5</v>
      </c>
      <c r="E2450" t="s">
        <v>159</v>
      </c>
      <c r="F2450">
        <v>2020</v>
      </c>
      <c r="G2450" t="s">
        <v>319</v>
      </c>
      <c r="H2450" s="42" t="s">
        <v>875</v>
      </c>
      <c r="J2450" t="s">
        <v>248</v>
      </c>
      <c r="L2450" s="34">
        <v>2</v>
      </c>
      <c r="M2450" s="38">
        <v>0.75</v>
      </c>
      <c r="N2450" s="38">
        <f t="shared" si="38"/>
        <v>1.5</v>
      </c>
    </row>
    <row r="2451" spans="1:35">
      <c r="A2451" s="29">
        <v>44270</v>
      </c>
      <c r="B2451" s="22" t="s">
        <v>63</v>
      </c>
      <c r="C2451" s="22" t="s">
        <v>57</v>
      </c>
      <c r="D2451" s="48" t="s">
        <v>8</v>
      </c>
      <c r="E2451" t="s">
        <v>272</v>
      </c>
      <c r="F2451">
        <v>2020</v>
      </c>
      <c r="G2451" t="s">
        <v>272</v>
      </c>
      <c r="H2451" s="42" t="s">
        <v>742</v>
      </c>
      <c r="J2451" t="s">
        <v>248</v>
      </c>
      <c r="L2451" s="34">
        <v>2</v>
      </c>
      <c r="M2451" s="38">
        <v>0.75</v>
      </c>
      <c r="N2451" s="38">
        <f t="shared" si="38"/>
        <v>1.5</v>
      </c>
    </row>
    <row r="2452" spans="1:35">
      <c r="A2452" s="29">
        <v>44270</v>
      </c>
      <c r="B2452" s="22" t="s">
        <v>63</v>
      </c>
      <c r="C2452" s="22" t="s">
        <v>57</v>
      </c>
      <c r="D2452" s="48" t="s">
        <v>5</v>
      </c>
      <c r="E2452" t="s">
        <v>381</v>
      </c>
      <c r="F2452">
        <v>2020</v>
      </c>
      <c r="G2452" t="s">
        <v>307</v>
      </c>
      <c r="H2452" s="42" t="s">
        <v>814</v>
      </c>
      <c r="J2452" t="s">
        <v>248</v>
      </c>
      <c r="L2452" s="34">
        <v>2</v>
      </c>
      <c r="M2452" s="38">
        <v>0.75</v>
      </c>
      <c r="N2452" s="38">
        <f t="shared" si="38"/>
        <v>1.5</v>
      </c>
    </row>
    <row r="2453" spans="1:35">
      <c r="A2453" s="29">
        <v>44271</v>
      </c>
      <c r="B2453" s="22" t="s">
        <v>75</v>
      </c>
      <c r="C2453" s="22" t="s">
        <v>57</v>
      </c>
      <c r="D2453" s="48" t="s">
        <v>8</v>
      </c>
      <c r="E2453" t="s">
        <v>272</v>
      </c>
      <c r="F2453">
        <v>2020</v>
      </c>
      <c r="G2453" t="s">
        <v>272</v>
      </c>
      <c r="H2453" s="42" t="s">
        <v>742</v>
      </c>
      <c r="J2453" t="s">
        <v>248</v>
      </c>
      <c r="L2453" s="34">
        <v>2</v>
      </c>
      <c r="M2453" s="38">
        <v>0.75</v>
      </c>
      <c r="N2453" s="38">
        <f t="shared" si="38"/>
        <v>1.5</v>
      </c>
    </row>
    <row r="2454" spans="1:35">
      <c r="A2454" s="29">
        <v>44272</v>
      </c>
      <c r="B2454" s="22" t="s">
        <v>79</v>
      </c>
      <c r="C2454" s="22" t="s">
        <v>57</v>
      </c>
      <c r="D2454" s="48" t="s">
        <v>5</v>
      </c>
      <c r="E2454" t="s">
        <v>159</v>
      </c>
      <c r="F2454">
        <v>2020</v>
      </c>
      <c r="G2454" t="s">
        <v>252</v>
      </c>
      <c r="H2454" s="42" t="s">
        <v>878</v>
      </c>
      <c r="J2454" t="s">
        <v>248</v>
      </c>
      <c r="L2454" s="34">
        <v>3</v>
      </c>
      <c r="M2454" s="38">
        <v>0.75</v>
      </c>
      <c r="N2454" s="38">
        <f t="shared" si="38"/>
        <v>2.25</v>
      </c>
    </row>
    <row r="2455" spans="1:35">
      <c r="A2455" s="29">
        <v>44277</v>
      </c>
      <c r="B2455" s="22" t="s">
        <v>40</v>
      </c>
      <c r="C2455" s="22" t="s">
        <v>57</v>
      </c>
      <c r="D2455" s="48" t="s">
        <v>8</v>
      </c>
      <c r="E2455" t="s">
        <v>272</v>
      </c>
      <c r="F2455">
        <v>2020</v>
      </c>
      <c r="G2455" t="s">
        <v>272</v>
      </c>
      <c r="H2455" s="42" t="s">
        <v>742</v>
      </c>
      <c r="J2455" t="s">
        <v>248</v>
      </c>
      <c r="L2455" s="34">
        <v>2</v>
      </c>
      <c r="M2455" s="38">
        <v>0.75</v>
      </c>
      <c r="N2455" s="38">
        <f t="shared" si="38"/>
        <v>1.5</v>
      </c>
    </row>
    <row r="2456" spans="1:35">
      <c r="A2456" s="29">
        <v>44277</v>
      </c>
      <c r="B2456" s="22" t="s">
        <v>63</v>
      </c>
      <c r="C2456" s="22" t="s">
        <v>57</v>
      </c>
      <c r="D2456" s="48" t="s">
        <v>5</v>
      </c>
      <c r="E2456" t="s">
        <v>157</v>
      </c>
      <c r="F2456">
        <v>2020</v>
      </c>
      <c r="G2456" t="s">
        <v>252</v>
      </c>
      <c r="H2456" s="42" t="s">
        <v>879</v>
      </c>
      <c r="J2456" t="s">
        <v>248</v>
      </c>
      <c r="L2456" s="34">
        <v>3</v>
      </c>
      <c r="M2456" s="38">
        <v>0.75</v>
      </c>
      <c r="N2456" s="38">
        <f t="shared" si="38"/>
        <v>2.25</v>
      </c>
    </row>
    <row r="2457" spans="1:35">
      <c r="A2457" s="29">
        <v>44280</v>
      </c>
      <c r="B2457" s="22" t="s">
        <v>79</v>
      </c>
      <c r="C2457" s="22" t="s">
        <v>57</v>
      </c>
      <c r="D2457" s="48" t="s">
        <v>5</v>
      </c>
      <c r="E2457" t="s">
        <v>159</v>
      </c>
      <c r="F2457">
        <v>2020</v>
      </c>
      <c r="G2457" t="s">
        <v>252</v>
      </c>
      <c r="H2457" s="42" t="s">
        <v>878</v>
      </c>
      <c r="J2457" t="s">
        <v>248</v>
      </c>
      <c r="L2457" s="34">
        <v>5</v>
      </c>
      <c r="M2457" s="38">
        <v>0.75</v>
      </c>
      <c r="N2457" s="38">
        <f t="shared" si="38"/>
        <v>3.75</v>
      </c>
    </row>
    <row r="2458" spans="1:35">
      <c r="A2458" s="29">
        <v>44280</v>
      </c>
      <c r="B2458" s="22" t="s">
        <v>63</v>
      </c>
      <c r="C2458" s="22" t="s">
        <v>57</v>
      </c>
      <c r="D2458" s="48" t="s">
        <v>5</v>
      </c>
      <c r="E2458" t="s">
        <v>158</v>
      </c>
      <c r="F2458">
        <v>2020</v>
      </c>
      <c r="G2458" t="s">
        <v>252</v>
      </c>
      <c r="H2458" s="42" t="s">
        <v>871</v>
      </c>
      <c r="J2458" t="s">
        <v>248</v>
      </c>
      <c r="L2458" s="34">
        <v>3</v>
      </c>
      <c r="M2458" s="38">
        <v>0.75</v>
      </c>
      <c r="N2458" s="38">
        <f t="shared" si="38"/>
        <v>2.25</v>
      </c>
    </row>
    <row r="2459" spans="1:35">
      <c r="A2459" s="29">
        <v>44295</v>
      </c>
      <c r="B2459" s="22" t="s">
        <v>109</v>
      </c>
      <c r="C2459" s="22" t="s">
        <v>57</v>
      </c>
      <c r="D2459" s="48" t="s">
        <v>5</v>
      </c>
      <c r="E2459" t="s">
        <v>159</v>
      </c>
      <c r="F2459">
        <v>2020</v>
      </c>
      <c r="G2459" t="s">
        <v>319</v>
      </c>
      <c r="H2459" s="42" t="s">
        <v>875</v>
      </c>
      <c r="J2459" t="s">
        <v>248</v>
      </c>
      <c r="L2459" s="34">
        <v>3</v>
      </c>
      <c r="M2459" s="38">
        <v>0.75</v>
      </c>
      <c r="N2459" s="38">
        <f t="shared" si="38"/>
        <v>2.25</v>
      </c>
    </row>
    <row r="2460" spans="1:35">
      <c r="A2460" s="29">
        <v>44295</v>
      </c>
      <c r="B2460" s="22" t="s">
        <v>695</v>
      </c>
      <c r="C2460" s="22" t="s">
        <v>57</v>
      </c>
      <c r="D2460" s="48" t="s">
        <v>11</v>
      </c>
      <c r="E2460" t="s">
        <v>179</v>
      </c>
      <c r="F2460">
        <v>2020</v>
      </c>
      <c r="G2460" t="s">
        <v>338</v>
      </c>
      <c r="H2460" s="42" t="s">
        <v>880</v>
      </c>
      <c r="J2460" t="s">
        <v>248</v>
      </c>
      <c r="K2460" t="s">
        <v>881</v>
      </c>
      <c r="L2460" s="34">
        <v>2</v>
      </c>
      <c r="M2460" s="38">
        <v>0.75</v>
      </c>
      <c r="N2460" s="38">
        <f t="shared" si="38"/>
        <v>1.5</v>
      </c>
      <c r="O2460" t="s">
        <v>882</v>
      </c>
      <c r="P2460">
        <v>248</v>
      </c>
      <c r="Q2460" t="s">
        <v>883</v>
      </c>
      <c r="R2460" t="s">
        <v>884</v>
      </c>
      <c r="S2460" t="s">
        <v>885</v>
      </c>
      <c r="T2460" t="s">
        <v>886</v>
      </c>
      <c r="U2460" t="s">
        <v>887</v>
      </c>
      <c r="V2460" t="s">
        <v>888</v>
      </c>
      <c r="W2460" t="s">
        <v>889</v>
      </c>
      <c r="X2460" t="s">
        <v>890</v>
      </c>
      <c r="Y2460" t="s">
        <v>891</v>
      </c>
      <c r="Z2460" t="s">
        <v>892</v>
      </c>
      <c r="AA2460" t="s">
        <v>893</v>
      </c>
      <c r="AB2460">
        <v>21</v>
      </c>
      <c r="AC2460">
        <v>44</v>
      </c>
      <c r="AD2460">
        <v>72</v>
      </c>
      <c r="AE2460">
        <v>22</v>
      </c>
      <c r="AF2460" t="s">
        <v>894</v>
      </c>
      <c r="AG2460" t="s">
        <v>895</v>
      </c>
      <c r="AH2460" t="s">
        <v>896</v>
      </c>
      <c r="AI2460" t="s">
        <v>897</v>
      </c>
    </row>
    <row r="2461" spans="1:35">
      <c r="A2461" s="29">
        <v>44295</v>
      </c>
      <c r="B2461" s="22" t="s">
        <v>695</v>
      </c>
      <c r="C2461" s="22" t="s">
        <v>57</v>
      </c>
      <c r="D2461" s="48" t="s">
        <v>8</v>
      </c>
      <c r="E2461" t="s">
        <v>182</v>
      </c>
      <c r="F2461">
        <v>2020</v>
      </c>
      <c r="G2461" t="s">
        <v>679</v>
      </c>
      <c r="H2461" s="42" t="s">
        <v>898</v>
      </c>
      <c r="J2461" t="s">
        <v>248</v>
      </c>
      <c r="K2461" t="s">
        <v>899</v>
      </c>
      <c r="L2461" s="34">
        <v>2</v>
      </c>
      <c r="M2461" s="38">
        <v>0.75</v>
      </c>
      <c r="N2461" s="38">
        <f t="shared" si="38"/>
        <v>1.5</v>
      </c>
      <c r="O2461" t="s">
        <v>900</v>
      </c>
      <c r="P2461">
        <v>707</v>
      </c>
      <c r="Q2461" t="s">
        <v>901</v>
      </c>
      <c r="R2461" t="s">
        <v>902</v>
      </c>
      <c r="S2461" t="s">
        <v>903</v>
      </c>
      <c r="T2461" t="s">
        <v>904</v>
      </c>
      <c r="U2461" t="s">
        <v>905</v>
      </c>
      <c r="V2461" t="s">
        <v>906</v>
      </c>
      <c r="W2461" t="s">
        <v>907</v>
      </c>
      <c r="X2461" t="s">
        <v>908</v>
      </c>
      <c r="Y2461" t="s">
        <v>829</v>
      </c>
      <c r="Z2461" t="s">
        <v>909</v>
      </c>
      <c r="AA2461" t="s">
        <v>831</v>
      </c>
      <c r="AB2461">
        <v>20</v>
      </c>
      <c r="AC2461">
        <v>95</v>
      </c>
      <c r="AD2461">
        <v>6</v>
      </c>
      <c r="AE2461">
        <v>14</v>
      </c>
      <c r="AF2461" t="s">
        <v>910</v>
      </c>
      <c r="AG2461" t="s">
        <v>911</v>
      </c>
      <c r="AH2461" t="s">
        <v>912</v>
      </c>
      <c r="AI2461" t="s">
        <v>913</v>
      </c>
    </row>
    <row r="2462" spans="1:35">
      <c r="A2462" s="29">
        <v>44300</v>
      </c>
      <c r="B2462" s="22" t="s">
        <v>28</v>
      </c>
      <c r="C2462" s="22" t="s">
        <v>271</v>
      </c>
      <c r="D2462" s="48" t="s">
        <v>5</v>
      </c>
      <c r="E2462" t="s">
        <v>159</v>
      </c>
      <c r="F2462">
        <v>2020</v>
      </c>
      <c r="G2462" t="s">
        <v>319</v>
      </c>
      <c r="H2462" s="42" t="s">
        <v>812</v>
      </c>
      <c r="J2462" t="s">
        <v>248</v>
      </c>
      <c r="L2462" s="34">
        <v>3</v>
      </c>
      <c r="M2462" s="38">
        <v>0.75</v>
      </c>
      <c r="N2462" s="38">
        <f t="shared" si="38"/>
        <v>2.25</v>
      </c>
    </row>
    <row r="2463" spans="1:35">
      <c r="A2463" s="29">
        <v>44300</v>
      </c>
      <c r="B2463" s="22" t="s">
        <v>28</v>
      </c>
      <c r="C2463" s="22" t="s">
        <v>271</v>
      </c>
      <c r="D2463" s="48" t="s">
        <v>8</v>
      </c>
      <c r="E2463" t="s">
        <v>177</v>
      </c>
      <c r="F2463">
        <v>2020</v>
      </c>
      <c r="G2463" t="s">
        <v>618</v>
      </c>
      <c r="H2463" s="42" t="s">
        <v>914</v>
      </c>
      <c r="J2463" t="s">
        <v>248</v>
      </c>
      <c r="L2463" s="34">
        <v>3</v>
      </c>
      <c r="M2463" s="38">
        <v>0.75</v>
      </c>
      <c r="N2463" s="38">
        <f t="shared" si="38"/>
        <v>2.25</v>
      </c>
    </row>
    <row r="2464" spans="1:35">
      <c r="A2464" s="29">
        <v>44302</v>
      </c>
      <c r="B2464" s="22" t="s">
        <v>688</v>
      </c>
      <c r="C2464" s="22" t="s">
        <v>695</v>
      </c>
      <c r="D2464" s="48" t="s">
        <v>11</v>
      </c>
      <c r="E2464" t="s">
        <v>773</v>
      </c>
      <c r="F2464">
        <v>2019</v>
      </c>
      <c r="G2464" t="s">
        <v>427</v>
      </c>
      <c r="H2464" s="42" t="s">
        <v>57</v>
      </c>
      <c r="J2464" t="s">
        <v>248</v>
      </c>
      <c r="K2464" t="s">
        <v>915</v>
      </c>
      <c r="L2464" s="34">
        <v>1</v>
      </c>
      <c r="M2464" s="38">
        <v>0.75</v>
      </c>
      <c r="N2464" s="38">
        <f t="shared" si="38"/>
        <v>0.75</v>
      </c>
      <c r="O2464" t="s">
        <v>916</v>
      </c>
      <c r="P2464">
        <v>388</v>
      </c>
      <c r="Q2464" t="s">
        <v>917</v>
      </c>
      <c r="R2464" t="s">
        <v>918</v>
      </c>
      <c r="S2464" t="s">
        <v>919</v>
      </c>
      <c r="T2464" t="s">
        <v>920</v>
      </c>
      <c r="U2464" t="s">
        <v>921</v>
      </c>
      <c r="V2464" t="s">
        <v>922</v>
      </c>
      <c r="W2464" t="s">
        <v>923</v>
      </c>
      <c r="X2464" t="s">
        <v>829</v>
      </c>
      <c r="Y2464" t="s">
        <v>924</v>
      </c>
      <c r="Z2464" t="s">
        <v>925</v>
      </c>
      <c r="AA2464" t="s">
        <v>926</v>
      </c>
      <c r="AB2464">
        <v>17</v>
      </c>
      <c r="AC2464">
        <v>50</v>
      </c>
      <c r="AD2464">
        <v>65</v>
      </c>
      <c r="AE2464">
        <v>21</v>
      </c>
      <c r="AF2464" t="s">
        <v>927</v>
      </c>
      <c r="AG2464" t="s">
        <v>928</v>
      </c>
      <c r="AH2464" t="s">
        <v>929</v>
      </c>
      <c r="AI2464" t="s">
        <v>930</v>
      </c>
    </row>
    <row r="2465" spans="1:14">
      <c r="A2465" s="29">
        <v>44305</v>
      </c>
      <c r="B2465" s="22" t="s">
        <v>79</v>
      </c>
      <c r="C2465" s="22" t="s">
        <v>57</v>
      </c>
      <c r="D2465" s="48" t="s">
        <v>5</v>
      </c>
      <c r="E2465" t="s">
        <v>159</v>
      </c>
      <c r="F2465">
        <v>2020</v>
      </c>
      <c r="G2465" t="s">
        <v>326</v>
      </c>
      <c r="H2465" s="42" t="s">
        <v>878</v>
      </c>
      <c r="J2465" t="s">
        <v>248</v>
      </c>
      <c r="L2465" s="34">
        <v>4</v>
      </c>
      <c r="M2465" s="38">
        <v>0.75</v>
      </c>
      <c r="N2465" s="38">
        <f t="shared" si="38"/>
        <v>3</v>
      </c>
    </row>
    <row r="2466" spans="1:14">
      <c r="A2466" s="29">
        <v>44305</v>
      </c>
      <c r="B2466" s="22" t="s">
        <v>113</v>
      </c>
      <c r="C2466" s="22" t="s">
        <v>271</v>
      </c>
      <c r="D2466" s="48" t="s">
        <v>5</v>
      </c>
      <c r="E2466" t="s">
        <v>157</v>
      </c>
      <c r="F2466">
        <v>2020</v>
      </c>
      <c r="G2466" t="s">
        <v>257</v>
      </c>
      <c r="H2466" s="42" t="s">
        <v>760</v>
      </c>
      <c r="J2466" t="s">
        <v>248</v>
      </c>
      <c r="L2466" s="34">
        <v>2</v>
      </c>
      <c r="M2466" s="38">
        <v>0.75</v>
      </c>
      <c r="N2466" s="38">
        <f t="shared" si="38"/>
        <v>1.5</v>
      </c>
    </row>
    <row r="2467" spans="1:14">
      <c r="A2467" s="29">
        <v>44312</v>
      </c>
      <c r="B2467" s="22" t="s">
        <v>3</v>
      </c>
      <c r="C2467" s="22" t="s">
        <v>57</v>
      </c>
      <c r="D2467" s="48" t="s">
        <v>5</v>
      </c>
      <c r="E2467" t="s">
        <v>158</v>
      </c>
      <c r="F2467">
        <v>2020</v>
      </c>
      <c r="H2467" s="42" t="s">
        <v>931</v>
      </c>
      <c r="J2467" t="s">
        <v>248</v>
      </c>
      <c r="L2467" s="34">
        <v>2</v>
      </c>
      <c r="M2467" s="38">
        <v>0.75</v>
      </c>
      <c r="N2467" s="38">
        <f t="shared" si="38"/>
        <v>1.5</v>
      </c>
    </row>
    <row r="2468" spans="1:14">
      <c r="A2468" s="29">
        <v>44312</v>
      </c>
      <c r="B2468" s="22" t="s">
        <v>3</v>
      </c>
      <c r="C2468" s="22" t="s">
        <v>57</v>
      </c>
      <c r="D2468" s="48" t="s">
        <v>5</v>
      </c>
      <c r="E2468" t="s">
        <v>158</v>
      </c>
      <c r="F2468">
        <v>2020</v>
      </c>
      <c r="H2468" s="42" t="s">
        <v>932</v>
      </c>
      <c r="J2468" t="s">
        <v>248</v>
      </c>
      <c r="L2468" s="34">
        <v>2</v>
      </c>
      <c r="M2468" s="38">
        <v>0.75</v>
      </c>
      <c r="N2468" s="38">
        <f t="shared" si="38"/>
        <v>1.5</v>
      </c>
    </row>
    <row r="2469" spans="1:14">
      <c r="A2469" s="29">
        <v>44312</v>
      </c>
      <c r="B2469" s="22" t="s">
        <v>3</v>
      </c>
      <c r="C2469" s="22" t="s">
        <v>57</v>
      </c>
      <c r="D2469" s="48" t="s">
        <v>5</v>
      </c>
      <c r="E2469" t="s">
        <v>158</v>
      </c>
      <c r="F2469">
        <v>2020</v>
      </c>
      <c r="H2469" s="42" t="s">
        <v>759</v>
      </c>
      <c r="J2469" t="s">
        <v>248</v>
      </c>
      <c r="L2469" s="34">
        <v>2</v>
      </c>
      <c r="M2469" s="38">
        <v>0.75</v>
      </c>
      <c r="N2469" s="38">
        <f t="shared" si="38"/>
        <v>1.5</v>
      </c>
    </row>
    <row r="2470" spans="1:14">
      <c r="A2470" s="29">
        <v>44312</v>
      </c>
      <c r="B2470" s="22" t="s">
        <v>3</v>
      </c>
      <c r="C2470" s="22" t="s">
        <v>57</v>
      </c>
      <c r="D2470" s="48" t="s">
        <v>5</v>
      </c>
      <c r="E2470" t="s">
        <v>158</v>
      </c>
      <c r="F2470">
        <v>2020</v>
      </c>
      <c r="H2470" s="42" t="s">
        <v>933</v>
      </c>
      <c r="J2470" t="s">
        <v>248</v>
      </c>
      <c r="L2470" s="34">
        <v>2</v>
      </c>
      <c r="M2470" s="38">
        <v>0.75</v>
      </c>
      <c r="N2470" s="38">
        <f t="shared" si="38"/>
        <v>1.5</v>
      </c>
    </row>
    <row r="2471" spans="1:14">
      <c r="A2471" s="29">
        <v>44313</v>
      </c>
      <c r="B2471" s="22"/>
      <c r="C2471" s="22" t="s">
        <v>47</v>
      </c>
      <c r="D2471" s="48" t="s">
        <v>5</v>
      </c>
      <c r="E2471" t="s">
        <v>161</v>
      </c>
      <c r="F2471">
        <v>2020</v>
      </c>
      <c r="H2471" s="42" t="s">
        <v>751</v>
      </c>
      <c r="J2471" t="s">
        <v>248</v>
      </c>
      <c r="L2471" s="34">
        <v>3</v>
      </c>
      <c r="M2471" s="38">
        <v>0.75</v>
      </c>
      <c r="N2471" s="38">
        <f t="shared" si="38"/>
        <v>2.25</v>
      </c>
    </row>
    <row r="2472" spans="1:14">
      <c r="A2472" s="29">
        <v>44313</v>
      </c>
      <c r="B2472" s="22"/>
      <c r="C2472" s="22" t="s">
        <v>47</v>
      </c>
      <c r="D2472" s="48" t="s">
        <v>5</v>
      </c>
      <c r="E2472" t="s">
        <v>255</v>
      </c>
      <c r="F2472">
        <v>2020</v>
      </c>
      <c r="H2472" s="42" t="s">
        <v>934</v>
      </c>
      <c r="J2472" t="s">
        <v>248</v>
      </c>
      <c r="L2472" s="34">
        <v>3</v>
      </c>
      <c r="M2472" s="38">
        <v>0.75</v>
      </c>
      <c r="N2472" s="38">
        <f t="shared" si="38"/>
        <v>2.25</v>
      </c>
    </row>
    <row r="2473" spans="1:14">
      <c r="A2473" s="29">
        <v>44313</v>
      </c>
      <c r="B2473" s="22"/>
      <c r="C2473" s="22" t="s">
        <v>47</v>
      </c>
      <c r="D2473" s="48" t="s">
        <v>5</v>
      </c>
      <c r="E2473" t="s">
        <v>158</v>
      </c>
      <c r="F2473">
        <v>2020</v>
      </c>
      <c r="H2473" s="42" t="s">
        <v>871</v>
      </c>
      <c r="J2473" t="s">
        <v>248</v>
      </c>
      <c r="L2473" s="34">
        <v>3</v>
      </c>
      <c r="M2473" s="38">
        <v>0.75</v>
      </c>
      <c r="N2473" s="38">
        <f t="shared" si="38"/>
        <v>2.25</v>
      </c>
    </row>
    <row r="2474" spans="1:14">
      <c r="A2474" s="29">
        <v>44313</v>
      </c>
      <c r="B2474" s="22"/>
      <c r="C2474" s="22" t="s">
        <v>47</v>
      </c>
      <c r="D2474" s="48" t="s">
        <v>5</v>
      </c>
      <c r="E2474" t="s">
        <v>158</v>
      </c>
      <c r="F2474">
        <v>2020</v>
      </c>
      <c r="H2474" s="42" t="s">
        <v>759</v>
      </c>
      <c r="J2474" t="s">
        <v>248</v>
      </c>
      <c r="L2474" s="34">
        <v>3</v>
      </c>
      <c r="M2474" s="38">
        <v>0.75</v>
      </c>
      <c r="N2474" s="38">
        <f t="shared" si="38"/>
        <v>2.25</v>
      </c>
    </row>
    <row r="2475" spans="1:14">
      <c r="A2475" s="29">
        <v>44313</v>
      </c>
      <c r="B2475" s="22"/>
      <c r="C2475" s="22" t="s">
        <v>47</v>
      </c>
      <c r="D2475" s="48" t="s">
        <v>5</v>
      </c>
      <c r="E2475" t="s">
        <v>157</v>
      </c>
      <c r="F2475">
        <v>2020</v>
      </c>
      <c r="H2475" s="42" t="s">
        <v>803</v>
      </c>
      <c r="J2475" t="s">
        <v>248</v>
      </c>
      <c r="L2475" s="34">
        <v>3</v>
      </c>
      <c r="M2475" s="38">
        <v>0.75</v>
      </c>
      <c r="N2475" s="38">
        <f t="shared" si="38"/>
        <v>2.25</v>
      </c>
    </row>
    <row r="2476" spans="1:14">
      <c r="A2476" s="29">
        <v>44313</v>
      </c>
      <c r="B2476" s="22"/>
      <c r="C2476" s="22" t="s">
        <v>47</v>
      </c>
      <c r="D2476" s="48" t="s">
        <v>5</v>
      </c>
      <c r="E2476" t="s">
        <v>157</v>
      </c>
      <c r="F2476">
        <v>2020</v>
      </c>
      <c r="H2476" s="42" t="s">
        <v>870</v>
      </c>
      <c r="J2476" t="s">
        <v>248</v>
      </c>
      <c r="L2476" s="34">
        <v>3</v>
      </c>
      <c r="M2476" s="38">
        <v>0.75</v>
      </c>
      <c r="N2476" s="38">
        <f t="shared" si="38"/>
        <v>2.25</v>
      </c>
    </row>
    <row r="2477" spans="1:14">
      <c r="A2477" s="29">
        <v>44319</v>
      </c>
      <c r="B2477" s="22" t="s">
        <v>17</v>
      </c>
      <c r="C2477" s="22" t="s">
        <v>57</v>
      </c>
      <c r="D2477" s="48" t="s">
        <v>5</v>
      </c>
      <c r="E2477" t="s">
        <v>307</v>
      </c>
      <c r="F2477">
        <v>2020</v>
      </c>
      <c r="H2477" s="42" t="s">
        <v>935</v>
      </c>
      <c r="J2477" t="s">
        <v>248</v>
      </c>
      <c r="K2477" t="s">
        <v>936</v>
      </c>
      <c r="L2477" s="34">
        <v>3</v>
      </c>
      <c r="M2477" s="38">
        <v>0.75</v>
      </c>
      <c r="N2477" s="38">
        <f t="shared" si="38"/>
        <v>2.25</v>
      </c>
    </row>
    <row r="2478" spans="1:14">
      <c r="A2478" s="29">
        <v>44319</v>
      </c>
      <c r="B2478" s="22" t="s">
        <v>63</v>
      </c>
      <c r="C2478" s="22" t="s">
        <v>57</v>
      </c>
      <c r="D2478" s="48" t="s">
        <v>11</v>
      </c>
      <c r="E2478" t="s">
        <v>937</v>
      </c>
      <c r="F2478">
        <v>2020</v>
      </c>
      <c r="H2478" s="42" t="s">
        <v>938</v>
      </c>
      <c r="J2478" t="s">
        <v>248</v>
      </c>
      <c r="L2478" s="34">
        <v>2</v>
      </c>
      <c r="M2478" s="38">
        <v>0.75</v>
      </c>
      <c r="N2478" s="38">
        <f t="shared" si="38"/>
        <v>1.5</v>
      </c>
    </row>
    <row r="2479" spans="1:14">
      <c r="A2479" s="29">
        <v>44342</v>
      </c>
      <c r="B2479" s="22" t="s">
        <v>12</v>
      </c>
      <c r="C2479" s="22" t="s">
        <v>249</v>
      </c>
      <c r="D2479" s="48" t="s">
        <v>5</v>
      </c>
      <c r="E2479" t="s">
        <v>255</v>
      </c>
      <c r="F2479">
        <v>2020</v>
      </c>
      <c r="G2479" t="s">
        <v>326</v>
      </c>
      <c r="H2479" s="42" t="s">
        <v>761</v>
      </c>
      <c r="J2479" t="s">
        <v>248</v>
      </c>
      <c r="L2479" s="34">
        <v>3</v>
      </c>
      <c r="M2479" s="38">
        <v>0.75</v>
      </c>
      <c r="N2479" s="38">
        <f t="shared" si="38"/>
        <v>2.25</v>
      </c>
    </row>
    <row r="2480" spans="1:14">
      <c r="A2480" s="29">
        <v>44342</v>
      </c>
      <c r="B2480" s="22" t="s">
        <v>79</v>
      </c>
      <c r="C2480" s="22" t="s">
        <v>57</v>
      </c>
      <c r="D2480" s="48" t="s">
        <v>5</v>
      </c>
      <c r="E2480" t="s">
        <v>159</v>
      </c>
      <c r="F2480">
        <v>2020</v>
      </c>
      <c r="G2480" t="s">
        <v>326</v>
      </c>
      <c r="H2480" s="42" t="s">
        <v>878</v>
      </c>
      <c r="J2480" t="s">
        <v>248</v>
      </c>
      <c r="L2480" s="34">
        <v>3</v>
      </c>
      <c r="M2480" s="38">
        <v>0.75</v>
      </c>
      <c r="N2480" s="38">
        <f t="shared" si="38"/>
        <v>2.25</v>
      </c>
    </row>
    <row r="2481" spans="1:35">
      <c r="A2481" s="29">
        <v>44343</v>
      </c>
      <c r="B2481" s="22" t="s">
        <v>688</v>
      </c>
      <c r="C2481" s="22" t="s">
        <v>695</v>
      </c>
      <c r="D2481" s="48" t="s">
        <v>11</v>
      </c>
      <c r="E2481" t="s">
        <v>773</v>
      </c>
      <c r="F2481">
        <v>2019</v>
      </c>
      <c r="G2481" t="s">
        <v>427</v>
      </c>
      <c r="H2481" s="42" t="s">
        <v>57</v>
      </c>
      <c r="J2481" t="s">
        <v>248</v>
      </c>
      <c r="K2481" t="s">
        <v>915</v>
      </c>
      <c r="L2481" s="34">
        <v>2</v>
      </c>
      <c r="M2481" s="38">
        <v>0.75</v>
      </c>
      <c r="N2481" s="38">
        <f t="shared" si="38"/>
        <v>1.5</v>
      </c>
      <c r="O2481" t="s">
        <v>939</v>
      </c>
      <c r="P2481">
        <v>348</v>
      </c>
      <c r="Q2481" t="s">
        <v>917</v>
      </c>
      <c r="R2481" t="s">
        <v>940</v>
      </c>
      <c r="S2481" t="s">
        <v>919</v>
      </c>
      <c r="T2481" t="s">
        <v>941</v>
      </c>
      <c r="U2481" t="s">
        <v>942</v>
      </c>
      <c r="V2481" t="s">
        <v>943</v>
      </c>
      <c r="W2481" t="s">
        <v>944</v>
      </c>
      <c r="X2481" t="s">
        <v>829</v>
      </c>
      <c r="Y2481" t="s">
        <v>924</v>
      </c>
      <c r="Z2481" t="s">
        <v>925</v>
      </c>
      <c r="AA2481" t="s">
        <v>945</v>
      </c>
      <c r="AB2481">
        <v>40</v>
      </c>
      <c r="AC2481">
        <v>82</v>
      </c>
      <c r="AD2481">
        <v>65</v>
      </c>
      <c r="AE2481">
        <v>21</v>
      </c>
      <c r="AF2481" t="s">
        <v>946</v>
      </c>
      <c r="AG2481" t="s">
        <v>947</v>
      </c>
      <c r="AH2481" t="s">
        <v>948</v>
      </c>
      <c r="AI2481" t="s">
        <v>949</v>
      </c>
    </row>
    <row r="2482" spans="1:35">
      <c r="A2482" s="29">
        <v>44350</v>
      </c>
      <c r="B2482" s="22" t="s">
        <v>109</v>
      </c>
      <c r="C2482" s="22" t="s">
        <v>57</v>
      </c>
      <c r="D2482" s="48" t="s">
        <v>5</v>
      </c>
      <c r="E2482" t="s">
        <v>494</v>
      </c>
      <c r="F2482">
        <v>2020</v>
      </c>
      <c r="G2482" t="s">
        <v>494</v>
      </c>
      <c r="H2482" s="42" t="s">
        <v>763</v>
      </c>
      <c r="J2482" t="s">
        <v>248</v>
      </c>
      <c r="L2482" s="34">
        <v>4</v>
      </c>
      <c r="M2482" s="38">
        <v>0.75</v>
      </c>
      <c r="N2482" s="38">
        <f t="shared" si="38"/>
        <v>3</v>
      </c>
    </row>
    <row r="2483" spans="1:35">
      <c r="A2483" s="29">
        <v>44350</v>
      </c>
      <c r="B2483" s="22" t="s">
        <v>109</v>
      </c>
      <c r="C2483" s="22" t="s">
        <v>57</v>
      </c>
      <c r="D2483" s="48" t="s">
        <v>8</v>
      </c>
      <c r="E2483" t="s">
        <v>502</v>
      </c>
      <c r="F2483">
        <v>2020</v>
      </c>
      <c r="G2483" t="s">
        <v>679</v>
      </c>
      <c r="H2483" s="42" t="s">
        <v>767</v>
      </c>
      <c r="J2483" t="s">
        <v>248</v>
      </c>
      <c r="L2483" s="34">
        <v>1</v>
      </c>
      <c r="M2483" s="38">
        <v>0.75</v>
      </c>
      <c r="N2483" s="38">
        <f t="shared" si="38"/>
        <v>0.75</v>
      </c>
    </row>
    <row r="2484" spans="1:35">
      <c r="A2484" s="29">
        <v>44358</v>
      </c>
      <c r="B2484" s="22" t="s">
        <v>9</v>
      </c>
      <c r="C2484" s="22" t="s">
        <v>41</v>
      </c>
      <c r="D2484" s="48" t="s">
        <v>5</v>
      </c>
      <c r="E2484" t="s">
        <v>159</v>
      </c>
      <c r="F2484">
        <v>2020</v>
      </c>
      <c r="G2484" t="s">
        <v>319</v>
      </c>
      <c r="H2484" s="42" t="s">
        <v>853</v>
      </c>
      <c r="J2484" t="s">
        <v>248</v>
      </c>
      <c r="L2484" s="34">
        <v>1</v>
      </c>
      <c r="M2484" s="38">
        <v>0.75</v>
      </c>
      <c r="N2484" s="38">
        <f t="shared" si="38"/>
        <v>0.75</v>
      </c>
    </row>
    <row r="2485" spans="1:35">
      <c r="A2485" s="29">
        <v>44370</v>
      </c>
      <c r="B2485" s="22" t="s">
        <v>675</v>
      </c>
      <c r="C2485" s="22" t="s">
        <v>271</v>
      </c>
      <c r="D2485" s="48" t="s">
        <v>5</v>
      </c>
      <c r="E2485" t="s">
        <v>159</v>
      </c>
      <c r="F2485">
        <v>2020</v>
      </c>
      <c r="G2485" t="s">
        <v>326</v>
      </c>
      <c r="H2485" s="42" t="s">
        <v>878</v>
      </c>
      <c r="J2485" t="s">
        <v>248</v>
      </c>
      <c r="L2485" s="34">
        <v>4</v>
      </c>
      <c r="M2485" s="38">
        <v>0.75</v>
      </c>
      <c r="N2485" s="38">
        <f t="shared" si="38"/>
        <v>3</v>
      </c>
    </row>
    <row r="2486" spans="1:35">
      <c r="A2486" s="29">
        <v>44383</v>
      </c>
      <c r="B2486" s="22" t="s">
        <v>109</v>
      </c>
      <c r="C2486" s="22" t="s">
        <v>57</v>
      </c>
      <c r="D2486" s="48" t="s">
        <v>5</v>
      </c>
      <c r="E2486" t="s">
        <v>157</v>
      </c>
      <c r="F2486">
        <v>2020</v>
      </c>
      <c r="G2486" t="s">
        <v>247</v>
      </c>
      <c r="H2486" s="42" t="s">
        <v>870</v>
      </c>
      <c r="J2486" t="s">
        <v>248</v>
      </c>
      <c r="L2486" s="34">
        <v>2</v>
      </c>
      <c r="M2486" s="38">
        <v>0.75</v>
      </c>
      <c r="N2486" s="38">
        <f t="shared" si="38"/>
        <v>1.5</v>
      </c>
    </row>
    <row r="2487" spans="1:35">
      <c r="A2487" s="29">
        <v>44383</v>
      </c>
      <c r="B2487" s="22" t="s">
        <v>109</v>
      </c>
      <c r="C2487" s="22" t="s">
        <v>57</v>
      </c>
      <c r="D2487" s="48" t="s">
        <v>5</v>
      </c>
      <c r="E2487" t="s">
        <v>158</v>
      </c>
      <c r="F2487">
        <v>2020</v>
      </c>
      <c r="G2487" t="s">
        <v>950</v>
      </c>
      <c r="H2487" s="42" t="s">
        <v>790</v>
      </c>
      <c r="J2487" t="s">
        <v>248</v>
      </c>
      <c r="L2487" s="34">
        <v>1</v>
      </c>
      <c r="M2487" s="38">
        <v>0.75</v>
      </c>
      <c r="N2487" s="38">
        <f t="shared" si="38"/>
        <v>0.75</v>
      </c>
    </row>
    <row r="2488" spans="1:35">
      <c r="A2488" s="29">
        <v>44383</v>
      </c>
      <c r="B2488" s="22" t="s">
        <v>109</v>
      </c>
      <c r="C2488" s="22" t="s">
        <v>57</v>
      </c>
      <c r="D2488" s="48" t="s">
        <v>8</v>
      </c>
      <c r="E2488" t="s">
        <v>502</v>
      </c>
      <c r="F2488">
        <v>2020</v>
      </c>
      <c r="G2488" t="s">
        <v>951</v>
      </c>
      <c r="H2488" s="42" t="s">
        <v>753</v>
      </c>
      <c r="J2488" t="s">
        <v>248</v>
      </c>
      <c r="L2488" s="34">
        <v>1</v>
      </c>
      <c r="M2488" s="38">
        <v>0.75</v>
      </c>
      <c r="N2488" s="38">
        <f t="shared" si="38"/>
        <v>0.75</v>
      </c>
    </row>
    <row r="2489" spans="1:35">
      <c r="A2489" s="29">
        <v>44383</v>
      </c>
      <c r="B2489" s="22" t="s">
        <v>57</v>
      </c>
      <c r="C2489" s="22" t="s">
        <v>18</v>
      </c>
      <c r="D2489" s="48" t="s">
        <v>8</v>
      </c>
      <c r="E2489" t="s">
        <v>183</v>
      </c>
      <c r="F2489">
        <v>2020</v>
      </c>
      <c r="G2489" t="s">
        <v>257</v>
      </c>
      <c r="H2489" s="42" t="s">
        <v>952</v>
      </c>
      <c r="J2489" t="s">
        <v>248</v>
      </c>
      <c r="L2489" s="34">
        <v>2</v>
      </c>
      <c r="M2489" s="38">
        <v>0.75</v>
      </c>
      <c r="N2489" s="38">
        <f t="shared" si="38"/>
        <v>1.5</v>
      </c>
    </row>
    <row r="2490" spans="1:35">
      <c r="A2490" s="29">
        <v>44397</v>
      </c>
      <c r="B2490" s="22" t="s">
        <v>109</v>
      </c>
      <c r="C2490" s="22" t="s">
        <v>57</v>
      </c>
      <c r="D2490" s="48" t="s">
        <v>5</v>
      </c>
      <c r="E2490" t="s">
        <v>163</v>
      </c>
      <c r="F2490">
        <v>2020</v>
      </c>
      <c r="G2490" t="s">
        <v>247</v>
      </c>
      <c r="H2490" s="42" t="s">
        <v>870</v>
      </c>
      <c r="J2490" t="s">
        <v>248</v>
      </c>
      <c r="L2490" s="34">
        <v>4</v>
      </c>
      <c r="M2490" s="38">
        <v>0.75</v>
      </c>
      <c r="N2490" s="38">
        <f t="shared" si="38"/>
        <v>3</v>
      </c>
    </row>
    <row r="2491" spans="1:35">
      <c r="A2491" s="29">
        <v>44399</v>
      </c>
      <c r="B2491" s="22" t="s">
        <v>63</v>
      </c>
      <c r="C2491" s="22" t="s">
        <v>57</v>
      </c>
      <c r="D2491" s="48" t="s">
        <v>5</v>
      </c>
      <c r="E2491" t="s">
        <v>159</v>
      </c>
      <c r="F2491">
        <v>2020</v>
      </c>
      <c r="G2491" t="s">
        <v>326</v>
      </c>
      <c r="H2491" s="42" t="s">
        <v>878</v>
      </c>
      <c r="J2491" t="s">
        <v>248</v>
      </c>
      <c r="L2491" s="34">
        <v>2</v>
      </c>
      <c r="M2491" s="38">
        <v>0.75</v>
      </c>
      <c r="N2491" s="38">
        <f t="shared" si="38"/>
        <v>1.5</v>
      </c>
    </row>
    <row r="2492" spans="1:35">
      <c r="A2492" s="29">
        <v>44445</v>
      </c>
      <c r="B2492" s="22" t="s">
        <v>953</v>
      </c>
      <c r="C2492" s="22" t="s">
        <v>41</v>
      </c>
      <c r="D2492" s="48" t="s">
        <v>5</v>
      </c>
      <c r="E2492" t="s">
        <v>159</v>
      </c>
      <c r="F2492">
        <v>2020</v>
      </c>
      <c r="G2492" t="s">
        <v>247</v>
      </c>
      <c r="H2492" s="42" t="s">
        <v>954</v>
      </c>
      <c r="J2492" t="s">
        <v>248</v>
      </c>
      <c r="L2492" s="34">
        <v>2</v>
      </c>
      <c r="M2492" s="38">
        <v>0.75</v>
      </c>
      <c r="N2492" s="38">
        <f t="shared" si="38"/>
        <v>1.5</v>
      </c>
    </row>
    <row r="2493" spans="1:35">
      <c r="A2493" s="29">
        <v>44445</v>
      </c>
      <c r="B2493" s="22" t="s">
        <v>953</v>
      </c>
      <c r="C2493" s="22" t="s">
        <v>41</v>
      </c>
      <c r="D2493" s="48" t="s">
        <v>5</v>
      </c>
      <c r="E2493" t="s">
        <v>159</v>
      </c>
      <c r="F2493">
        <v>2020</v>
      </c>
      <c r="G2493" t="s">
        <v>247</v>
      </c>
      <c r="H2493" s="42" t="s">
        <v>932</v>
      </c>
      <c r="J2493" t="s">
        <v>248</v>
      </c>
      <c r="L2493" s="34">
        <v>2</v>
      </c>
      <c r="M2493" s="38">
        <v>0.75</v>
      </c>
      <c r="N2493" s="38">
        <f t="shared" si="38"/>
        <v>1.5</v>
      </c>
    </row>
    <row r="2494" spans="1:35">
      <c r="A2494" s="29">
        <v>44491</v>
      </c>
      <c r="B2494" s="22" t="s">
        <v>31</v>
      </c>
      <c r="C2494" s="22" t="s">
        <v>57</v>
      </c>
      <c r="D2494" s="48" t="s">
        <v>5</v>
      </c>
      <c r="E2494" t="s">
        <v>255</v>
      </c>
      <c r="F2494">
        <v>2021</v>
      </c>
      <c r="H2494" s="42" t="s">
        <v>57</v>
      </c>
      <c r="J2494" t="s">
        <v>248</v>
      </c>
      <c r="K2494" t="s">
        <v>955</v>
      </c>
      <c r="L2494" s="34">
        <v>3</v>
      </c>
      <c r="M2494" s="38">
        <v>0.75</v>
      </c>
      <c r="N2494" s="38">
        <f t="shared" si="38"/>
        <v>2.25</v>
      </c>
    </row>
    <row r="2495" spans="1:35">
      <c r="A2495" s="29">
        <v>44491</v>
      </c>
      <c r="B2495" s="22" t="s">
        <v>109</v>
      </c>
      <c r="C2495" s="22" t="s">
        <v>57</v>
      </c>
      <c r="D2495" s="48" t="s">
        <v>5</v>
      </c>
      <c r="E2495" t="s">
        <v>502</v>
      </c>
      <c r="F2495">
        <v>2021</v>
      </c>
      <c r="H2495" s="42" t="s">
        <v>57</v>
      </c>
      <c r="J2495" t="s">
        <v>248</v>
      </c>
      <c r="K2495" t="s">
        <v>956</v>
      </c>
      <c r="L2495" s="34">
        <v>2</v>
      </c>
      <c r="M2495" s="38">
        <v>0.75</v>
      </c>
      <c r="N2495" s="38">
        <f t="shared" si="38"/>
        <v>1.5</v>
      </c>
    </row>
    <row r="2496" spans="1:35">
      <c r="A2496" s="29">
        <v>44491</v>
      </c>
      <c r="B2496" s="22" t="s">
        <v>109</v>
      </c>
      <c r="C2496" s="22" t="s">
        <v>57</v>
      </c>
      <c r="D2496" s="48" t="s">
        <v>5</v>
      </c>
      <c r="E2496" t="s">
        <v>502</v>
      </c>
      <c r="F2496">
        <v>2021</v>
      </c>
      <c r="H2496" s="42" t="s">
        <v>57</v>
      </c>
      <c r="J2496" t="s">
        <v>248</v>
      </c>
      <c r="K2496" t="s">
        <v>957</v>
      </c>
      <c r="L2496" s="34">
        <v>2</v>
      </c>
      <c r="M2496" s="38">
        <v>0.75</v>
      </c>
      <c r="N2496" s="38">
        <f t="shared" si="38"/>
        <v>1.5</v>
      </c>
    </row>
    <row r="2497" spans="1:35">
      <c r="A2497" s="29">
        <v>44491</v>
      </c>
      <c r="B2497" s="22" t="s">
        <v>109</v>
      </c>
      <c r="C2497" s="22" t="s">
        <v>57</v>
      </c>
      <c r="D2497" s="48" t="s">
        <v>5</v>
      </c>
      <c r="E2497" t="s">
        <v>502</v>
      </c>
      <c r="F2497">
        <v>2021</v>
      </c>
      <c r="H2497" s="42" t="s">
        <v>57</v>
      </c>
      <c r="J2497" t="s">
        <v>248</v>
      </c>
      <c r="K2497" t="s">
        <v>958</v>
      </c>
      <c r="L2497" s="34">
        <v>2</v>
      </c>
      <c r="M2497" s="38">
        <v>0.75</v>
      </c>
      <c r="N2497" s="38">
        <f t="shared" si="38"/>
        <v>1.5</v>
      </c>
    </row>
    <row r="2498" spans="1:35">
      <c r="A2498" s="29">
        <v>44495</v>
      </c>
      <c r="B2498" s="22" t="s">
        <v>63</v>
      </c>
      <c r="C2498" s="22" t="s">
        <v>57</v>
      </c>
      <c r="D2498" s="48" t="s">
        <v>5</v>
      </c>
      <c r="E2498" t="s">
        <v>159</v>
      </c>
      <c r="F2498">
        <v>2021</v>
      </c>
      <c r="G2498" t="s">
        <v>247</v>
      </c>
      <c r="H2498" s="42" t="s">
        <v>57</v>
      </c>
      <c r="J2498" t="s">
        <v>248</v>
      </c>
      <c r="L2498" s="34">
        <v>2</v>
      </c>
      <c r="M2498" s="38">
        <v>0.75</v>
      </c>
      <c r="N2498" s="38">
        <f t="shared" si="38"/>
        <v>1.5</v>
      </c>
    </row>
    <row r="2499" spans="1:35">
      <c r="A2499" s="29">
        <v>44495</v>
      </c>
      <c r="B2499" s="22" t="s">
        <v>63</v>
      </c>
      <c r="C2499" s="22" t="s">
        <v>57</v>
      </c>
      <c r="D2499" s="48" t="s">
        <v>5</v>
      </c>
      <c r="E2499" t="s">
        <v>159</v>
      </c>
      <c r="F2499">
        <v>2021</v>
      </c>
      <c r="G2499" t="s">
        <v>326</v>
      </c>
      <c r="H2499" s="42" t="s">
        <v>57</v>
      </c>
      <c r="J2499" t="s">
        <v>248</v>
      </c>
      <c r="L2499" s="34">
        <v>2</v>
      </c>
      <c r="M2499" s="38">
        <v>0.75</v>
      </c>
      <c r="N2499" s="38">
        <f t="shared" ref="N2499:N2562" si="39">M2499*L2499</f>
        <v>1.5</v>
      </c>
    </row>
    <row r="2500" spans="1:35">
      <c r="A2500" s="29">
        <v>44495</v>
      </c>
      <c r="B2500" s="22" t="s">
        <v>63</v>
      </c>
      <c r="C2500" s="22" t="s">
        <v>57</v>
      </c>
      <c r="D2500" s="48" t="s">
        <v>5</v>
      </c>
      <c r="E2500" t="s">
        <v>307</v>
      </c>
      <c r="F2500">
        <v>2021</v>
      </c>
      <c r="G2500" t="s">
        <v>57</v>
      </c>
      <c r="H2500" s="42" t="s">
        <v>57</v>
      </c>
      <c r="J2500" t="s">
        <v>248</v>
      </c>
      <c r="L2500" s="34">
        <v>3</v>
      </c>
      <c r="M2500" s="38">
        <v>0.75</v>
      </c>
      <c r="N2500" s="38">
        <f t="shared" si="39"/>
        <v>2.25</v>
      </c>
    </row>
    <row r="2501" spans="1:35">
      <c r="A2501" s="29">
        <v>44502</v>
      </c>
      <c r="B2501" s="22" t="s">
        <v>57</v>
      </c>
      <c r="C2501" s="22" t="s">
        <v>22</v>
      </c>
      <c r="D2501" s="48" t="s">
        <v>5</v>
      </c>
      <c r="E2501" t="s">
        <v>157</v>
      </c>
      <c r="F2501">
        <v>2021</v>
      </c>
      <c r="G2501" t="s">
        <v>326</v>
      </c>
      <c r="H2501" s="42" t="s">
        <v>57</v>
      </c>
      <c r="J2501" t="s">
        <v>248</v>
      </c>
      <c r="L2501" s="34">
        <v>2</v>
      </c>
      <c r="M2501" s="38">
        <v>0.75</v>
      </c>
      <c r="N2501" s="38">
        <f t="shared" si="39"/>
        <v>1.5</v>
      </c>
    </row>
    <row r="2502" spans="1:35">
      <c r="A2502" s="29">
        <v>44502</v>
      </c>
      <c r="B2502" s="22" t="s">
        <v>57</v>
      </c>
      <c r="C2502" s="22" t="s">
        <v>22</v>
      </c>
      <c r="D2502" s="48" t="s">
        <v>5</v>
      </c>
      <c r="E2502" t="s">
        <v>157</v>
      </c>
      <c r="F2502">
        <v>2021</v>
      </c>
      <c r="G2502" t="s">
        <v>247</v>
      </c>
      <c r="H2502" s="42" t="s">
        <v>57</v>
      </c>
      <c r="J2502" t="s">
        <v>248</v>
      </c>
      <c r="L2502" s="34">
        <v>2</v>
      </c>
      <c r="M2502" s="38">
        <v>0.75</v>
      </c>
      <c r="N2502" s="38">
        <f t="shared" si="39"/>
        <v>1.5</v>
      </c>
    </row>
    <row r="2503" spans="1:35">
      <c r="A2503" s="29">
        <v>44502</v>
      </c>
      <c r="B2503" s="22" t="s">
        <v>63</v>
      </c>
      <c r="C2503" s="22" t="s">
        <v>57</v>
      </c>
      <c r="D2503" s="48" t="s">
        <v>5</v>
      </c>
      <c r="E2503" t="s">
        <v>159</v>
      </c>
      <c r="F2503">
        <v>2021</v>
      </c>
      <c r="G2503" t="s">
        <v>247</v>
      </c>
      <c r="H2503" s="42" t="s">
        <v>57</v>
      </c>
      <c r="J2503" t="s">
        <v>248</v>
      </c>
      <c r="L2503" s="34">
        <v>2</v>
      </c>
      <c r="M2503" s="38">
        <v>0.75</v>
      </c>
      <c r="N2503" s="38">
        <f t="shared" si="39"/>
        <v>1.5</v>
      </c>
    </row>
    <row r="2504" spans="1:35">
      <c r="A2504" s="29">
        <v>44502</v>
      </c>
      <c r="B2504" s="22" t="s">
        <v>63</v>
      </c>
      <c r="C2504" s="22" t="s">
        <v>57</v>
      </c>
      <c r="D2504" s="48" t="s">
        <v>5</v>
      </c>
      <c r="E2504" t="s">
        <v>159</v>
      </c>
      <c r="F2504">
        <v>2021</v>
      </c>
      <c r="G2504" t="s">
        <v>326</v>
      </c>
      <c r="H2504" s="42" t="s">
        <v>57</v>
      </c>
      <c r="J2504" t="s">
        <v>248</v>
      </c>
      <c r="L2504" s="34">
        <v>2</v>
      </c>
      <c r="M2504" s="38">
        <v>0.75</v>
      </c>
      <c r="N2504" s="38">
        <f t="shared" si="39"/>
        <v>1.5</v>
      </c>
    </row>
    <row r="2505" spans="1:35">
      <c r="A2505" s="29">
        <v>44502</v>
      </c>
      <c r="B2505" s="22" t="s">
        <v>63</v>
      </c>
      <c r="C2505" s="22" t="s">
        <v>57</v>
      </c>
      <c r="D2505" s="48" t="s">
        <v>5</v>
      </c>
      <c r="E2505" t="s">
        <v>307</v>
      </c>
      <c r="F2505">
        <v>2021</v>
      </c>
      <c r="G2505" t="s">
        <v>57</v>
      </c>
      <c r="H2505" s="42" t="s">
        <v>57</v>
      </c>
      <c r="J2505" t="s">
        <v>248</v>
      </c>
      <c r="L2505" s="34">
        <v>3</v>
      </c>
      <c r="M2505" s="38">
        <v>0.75</v>
      </c>
      <c r="N2505" s="38">
        <f t="shared" si="39"/>
        <v>2.25</v>
      </c>
    </row>
    <row r="2506" spans="1:35">
      <c r="A2506" s="29">
        <v>44502</v>
      </c>
      <c r="B2506" s="22" t="s">
        <v>81</v>
      </c>
      <c r="C2506" s="22" t="s">
        <v>57</v>
      </c>
      <c r="D2506" s="48" t="s">
        <v>5</v>
      </c>
      <c r="E2506" t="s">
        <v>159</v>
      </c>
      <c r="F2506">
        <v>2021</v>
      </c>
      <c r="G2506" t="s">
        <v>247</v>
      </c>
      <c r="H2506" s="42" t="s">
        <v>57</v>
      </c>
      <c r="J2506" t="s">
        <v>248</v>
      </c>
      <c r="L2506" s="34">
        <v>2</v>
      </c>
      <c r="M2506" s="38">
        <v>0.75</v>
      </c>
      <c r="N2506" s="38">
        <f t="shared" si="39"/>
        <v>1.5</v>
      </c>
    </row>
    <row r="2507" spans="1:35">
      <c r="A2507" s="29">
        <v>44505</v>
      </c>
      <c r="B2507" s="22" t="s">
        <v>959</v>
      </c>
      <c r="C2507" s="22" t="s">
        <v>695</v>
      </c>
      <c r="D2507" s="48" t="s">
        <v>5</v>
      </c>
      <c r="E2507" t="s">
        <v>159</v>
      </c>
      <c r="F2507">
        <v>2021</v>
      </c>
      <c r="G2507" t="s">
        <v>338</v>
      </c>
      <c r="H2507" s="42" t="s">
        <v>852</v>
      </c>
      <c r="J2507" t="s">
        <v>248</v>
      </c>
      <c r="K2507" t="s">
        <v>960</v>
      </c>
      <c r="L2507" s="34">
        <v>3</v>
      </c>
      <c r="M2507" s="38">
        <v>0.75</v>
      </c>
      <c r="N2507" s="38">
        <f t="shared" si="39"/>
        <v>2.25</v>
      </c>
    </row>
    <row r="2508" spans="1:35">
      <c r="A2508" s="29">
        <v>44505</v>
      </c>
      <c r="B2508" s="22" t="s">
        <v>959</v>
      </c>
      <c r="C2508" s="22" t="s">
        <v>695</v>
      </c>
      <c r="D2508" s="48" t="s">
        <v>8</v>
      </c>
      <c r="E2508" t="s">
        <v>961</v>
      </c>
      <c r="F2508">
        <v>2021</v>
      </c>
      <c r="G2508" t="s">
        <v>500</v>
      </c>
      <c r="H2508" s="42" t="s">
        <v>962</v>
      </c>
      <c r="J2508" t="s">
        <v>248</v>
      </c>
      <c r="K2508" t="s">
        <v>963</v>
      </c>
      <c r="L2508" s="34">
        <v>3</v>
      </c>
      <c r="M2508" s="38">
        <v>0.75</v>
      </c>
      <c r="N2508" s="38">
        <f t="shared" si="39"/>
        <v>2.25</v>
      </c>
    </row>
    <row r="2509" spans="1:35">
      <c r="A2509" s="29">
        <v>44505</v>
      </c>
      <c r="B2509" s="22" t="s">
        <v>959</v>
      </c>
      <c r="C2509" s="22" t="s">
        <v>695</v>
      </c>
      <c r="D2509" s="48" t="s">
        <v>8</v>
      </c>
      <c r="E2509" t="s">
        <v>184</v>
      </c>
      <c r="F2509">
        <v>2021</v>
      </c>
      <c r="G2509" t="s">
        <v>500</v>
      </c>
      <c r="H2509" s="42" t="s">
        <v>750</v>
      </c>
      <c r="J2509" t="s">
        <v>248</v>
      </c>
      <c r="K2509" t="s">
        <v>964</v>
      </c>
      <c r="L2509" s="34">
        <v>3</v>
      </c>
      <c r="M2509" s="38">
        <v>0.75</v>
      </c>
      <c r="N2509" s="38">
        <f t="shared" si="39"/>
        <v>2.25</v>
      </c>
    </row>
    <row r="2510" spans="1:35">
      <c r="A2510" s="29">
        <v>44505</v>
      </c>
      <c r="B2510" s="22" t="s">
        <v>959</v>
      </c>
      <c r="C2510" s="22" t="s">
        <v>695</v>
      </c>
      <c r="D2510" s="48" t="s">
        <v>8</v>
      </c>
      <c r="E2510" t="s">
        <v>513</v>
      </c>
      <c r="F2510">
        <v>2021</v>
      </c>
      <c r="G2510" t="s">
        <v>500</v>
      </c>
      <c r="H2510" s="42" t="s">
        <v>57</v>
      </c>
      <c r="J2510" t="s">
        <v>965</v>
      </c>
      <c r="K2510" t="s">
        <v>299</v>
      </c>
      <c r="L2510" s="34">
        <v>3</v>
      </c>
      <c r="M2510" s="38">
        <v>0.75</v>
      </c>
      <c r="N2510" s="38">
        <f t="shared" si="39"/>
        <v>2.25</v>
      </c>
    </row>
    <row r="2511" spans="1:35">
      <c r="A2511" s="29">
        <v>44509</v>
      </c>
      <c r="B2511" s="22" t="s">
        <v>81</v>
      </c>
      <c r="C2511" s="22"/>
      <c r="D2511" s="48" t="s">
        <v>5</v>
      </c>
      <c r="E2511" t="s">
        <v>159</v>
      </c>
      <c r="F2511">
        <v>2021</v>
      </c>
      <c r="G2511" t="s">
        <v>247</v>
      </c>
      <c r="H2511" s="42" t="s">
        <v>761</v>
      </c>
      <c r="J2511" t="s">
        <v>248</v>
      </c>
      <c r="L2511" s="34">
        <v>2</v>
      </c>
      <c r="M2511" s="38">
        <v>0.75</v>
      </c>
      <c r="N2511" s="38">
        <f t="shared" si="39"/>
        <v>1.5</v>
      </c>
    </row>
    <row r="2512" spans="1:35" ht="15.75">
      <c r="A2512" s="29">
        <v>44510</v>
      </c>
      <c r="B2512" s="22" t="s">
        <v>959</v>
      </c>
      <c r="C2512" s="22" t="s">
        <v>695</v>
      </c>
      <c r="D2512" s="48" t="s">
        <v>8</v>
      </c>
      <c r="E2512" t="s">
        <v>966</v>
      </c>
      <c r="F2512">
        <v>2021</v>
      </c>
      <c r="H2512" s="42" t="s">
        <v>57</v>
      </c>
      <c r="J2512" t="s">
        <v>248</v>
      </c>
      <c r="K2512" t="s">
        <v>967</v>
      </c>
      <c r="L2512" s="34">
        <v>3</v>
      </c>
      <c r="M2512" s="38">
        <v>0.75</v>
      </c>
      <c r="N2512" s="38">
        <f t="shared" si="39"/>
        <v>2.25</v>
      </c>
      <c r="O2512" s="15" t="s">
        <v>968</v>
      </c>
      <c r="P2512" s="16">
        <v>900</v>
      </c>
      <c r="Q2512" s="16" t="s">
        <v>969</v>
      </c>
      <c r="R2512" s="16" t="s">
        <v>970</v>
      </c>
      <c r="S2512" s="16" t="s">
        <v>971</v>
      </c>
      <c r="T2512" s="16" t="s">
        <v>972</v>
      </c>
      <c r="U2512" s="16" t="s">
        <v>973</v>
      </c>
      <c r="V2512" s="17" t="s">
        <v>890</v>
      </c>
      <c r="W2512" s="16" t="s">
        <v>827</v>
      </c>
      <c r="X2512" s="16" t="s">
        <v>974</v>
      </c>
      <c r="Y2512" s="16" t="s">
        <v>975</v>
      </c>
      <c r="Z2512" s="16" t="s">
        <v>976</v>
      </c>
      <c r="AA2512" s="16" t="s">
        <v>926</v>
      </c>
      <c r="AB2512" s="16">
        <v>27</v>
      </c>
      <c r="AC2512" s="16"/>
      <c r="AD2512" s="16">
        <v>8</v>
      </c>
      <c r="AE2512" s="16">
        <v>16</v>
      </c>
      <c r="AF2512" s="16" t="s">
        <v>977</v>
      </c>
      <c r="AG2512" s="16" t="s">
        <v>978</v>
      </c>
      <c r="AH2512" s="16" t="s">
        <v>979</v>
      </c>
      <c r="AI2512" s="16" t="s">
        <v>980</v>
      </c>
    </row>
    <row r="2513" spans="1:14">
      <c r="A2513" s="29">
        <v>44515</v>
      </c>
      <c r="B2513" s="22" t="s">
        <v>81</v>
      </c>
      <c r="C2513" s="22"/>
      <c r="D2513" s="48" t="s">
        <v>5</v>
      </c>
      <c r="E2513" t="s">
        <v>159</v>
      </c>
      <c r="F2513">
        <v>2021</v>
      </c>
      <c r="G2513" t="s">
        <v>247</v>
      </c>
      <c r="H2513" s="42" t="s">
        <v>785</v>
      </c>
      <c r="J2513" t="s">
        <v>248</v>
      </c>
      <c r="L2513" s="34">
        <v>3</v>
      </c>
      <c r="M2513" s="38">
        <v>10</v>
      </c>
      <c r="N2513" s="38">
        <f t="shared" si="39"/>
        <v>30</v>
      </c>
    </row>
    <row r="2514" spans="1:14">
      <c r="A2514" s="29">
        <v>44515</v>
      </c>
      <c r="B2514" s="22" t="s">
        <v>71</v>
      </c>
      <c r="C2514" s="22" t="s">
        <v>271</v>
      </c>
      <c r="D2514" s="48" t="s">
        <v>5</v>
      </c>
      <c r="E2514" t="s">
        <v>307</v>
      </c>
      <c r="F2514">
        <v>2021</v>
      </c>
      <c r="G2514" t="s">
        <v>57</v>
      </c>
      <c r="H2514" s="42" t="s">
        <v>981</v>
      </c>
      <c r="J2514" t="s">
        <v>248</v>
      </c>
      <c r="L2514" s="34">
        <v>3</v>
      </c>
      <c r="M2514" s="38">
        <v>0.75</v>
      </c>
      <c r="N2514" s="38">
        <f t="shared" si="39"/>
        <v>2.25</v>
      </c>
    </row>
    <row r="2515" spans="1:14">
      <c r="A2515" s="29">
        <v>44515</v>
      </c>
      <c r="B2515" s="22" t="s">
        <v>71</v>
      </c>
      <c r="C2515" s="22" t="s">
        <v>271</v>
      </c>
      <c r="D2515" s="48" t="s">
        <v>5</v>
      </c>
      <c r="E2515" t="s">
        <v>157</v>
      </c>
      <c r="F2515">
        <v>2021</v>
      </c>
      <c r="G2515" t="s">
        <v>257</v>
      </c>
      <c r="H2515" s="42" t="s">
        <v>848</v>
      </c>
      <c r="J2515" t="s">
        <v>248</v>
      </c>
      <c r="L2515" s="34">
        <v>3</v>
      </c>
      <c r="M2515" s="38">
        <v>0.75</v>
      </c>
      <c r="N2515" s="38">
        <f t="shared" si="39"/>
        <v>2.25</v>
      </c>
    </row>
    <row r="2516" spans="1:14">
      <c r="A2516" s="29">
        <v>44515</v>
      </c>
      <c r="B2516" s="22" t="s">
        <v>40</v>
      </c>
      <c r="C2516" s="22" t="s">
        <v>57</v>
      </c>
      <c r="D2516" s="48" t="s">
        <v>5</v>
      </c>
      <c r="E2516" t="s">
        <v>157</v>
      </c>
      <c r="F2516">
        <v>2021</v>
      </c>
      <c r="G2516" t="s">
        <v>252</v>
      </c>
      <c r="H2516" s="42" t="s">
        <v>753</v>
      </c>
      <c r="J2516" t="s">
        <v>248</v>
      </c>
      <c r="L2516" s="34">
        <v>4</v>
      </c>
      <c r="M2516" s="38">
        <v>0.75</v>
      </c>
      <c r="N2516" s="38">
        <f t="shared" si="39"/>
        <v>3</v>
      </c>
    </row>
    <row r="2517" spans="1:14">
      <c r="A2517" s="29">
        <v>44515</v>
      </c>
      <c r="B2517" s="22" t="s">
        <v>40</v>
      </c>
      <c r="C2517" s="22" t="s">
        <v>57</v>
      </c>
      <c r="D2517" s="48" t="s">
        <v>5</v>
      </c>
      <c r="E2517" t="s">
        <v>157</v>
      </c>
      <c r="F2517">
        <v>2021</v>
      </c>
      <c r="G2517" t="s">
        <v>253</v>
      </c>
      <c r="H2517" s="42" t="s">
        <v>835</v>
      </c>
      <c r="J2517" t="s">
        <v>248</v>
      </c>
      <c r="L2517" s="34">
        <v>4</v>
      </c>
      <c r="M2517" s="38">
        <v>0.75</v>
      </c>
      <c r="N2517" s="38">
        <f t="shared" si="39"/>
        <v>3</v>
      </c>
    </row>
    <row r="2518" spans="1:14">
      <c r="A2518" s="29">
        <v>44515</v>
      </c>
      <c r="B2518" s="22" t="s">
        <v>63</v>
      </c>
      <c r="C2518" s="22" t="s">
        <v>57</v>
      </c>
      <c r="D2518" s="48" t="s">
        <v>5</v>
      </c>
      <c r="E2518" t="s">
        <v>159</v>
      </c>
      <c r="F2518">
        <v>2021</v>
      </c>
      <c r="G2518" t="s">
        <v>247</v>
      </c>
      <c r="H2518" s="42" t="s">
        <v>785</v>
      </c>
      <c r="J2518" t="s">
        <v>248</v>
      </c>
      <c r="L2518" s="34">
        <v>3</v>
      </c>
      <c r="M2518" s="38">
        <v>0.75</v>
      </c>
      <c r="N2518" s="38">
        <f t="shared" si="39"/>
        <v>2.25</v>
      </c>
    </row>
    <row r="2519" spans="1:14">
      <c r="A2519" s="29">
        <v>44515</v>
      </c>
      <c r="B2519" s="22" t="s">
        <v>63</v>
      </c>
      <c r="C2519" s="22" t="s">
        <v>57</v>
      </c>
      <c r="D2519" s="48" t="s">
        <v>5</v>
      </c>
      <c r="E2519" t="s">
        <v>159</v>
      </c>
      <c r="F2519">
        <v>2021</v>
      </c>
      <c r="G2519" t="s">
        <v>252</v>
      </c>
      <c r="H2519" s="42" t="s">
        <v>776</v>
      </c>
      <c r="J2519" t="s">
        <v>248</v>
      </c>
      <c r="L2519" s="34">
        <v>3</v>
      </c>
      <c r="M2519" s="38">
        <v>0.75</v>
      </c>
      <c r="N2519" s="38">
        <f t="shared" si="39"/>
        <v>2.25</v>
      </c>
    </row>
    <row r="2520" spans="1:14">
      <c r="A2520" s="29">
        <v>44515</v>
      </c>
      <c r="B2520" s="22" t="s">
        <v>63</v>
      </c>
      <c r="C2520" s="22" t="s">
        <v>57</v>
      </c>
      <c r="D2520" s="48" t="s">
        <v>5</v>
      </c>
      <c r="E2520" t="s">
        <v>307</v>
      </c>
      <c r="F2520">
        <v>2021</v>
      </c>
      <c r="G2520" t="s">
        <v>57</v>
      </c>
      <c r="H2520" s="42" t="s">
        <v>981</v>
      </c>
      <c r="J2520" t="s">
        <v>248</v>
      </c>
      <c r="L2520" s="34">
        <v>3</v>
      </c>
      <c r="M2520" s="38">
        <v>0.75</v>
      </c>
      <c r="N2520" s="38">
        <f t="shared" si="39"/>
        <v>2.25</v>
      </c>
    </row>
    <row r="2521" spans="1:14">
      <c r="A2521" s="29">
        <v>44517</v>
      </c>
      <c r="B2521" s="22" t="s">
        <v>959</v>
      </c>
      <c r="C2521" s="22" t="s">
        <v>695</v>
      </c>
      <c r="D2521" s="48" t="s">
        <v>8</v>
      </c>
      <c r="E2521" t="s">
        <v>479</v>
      </c>
      <c r="F2521">
        <v>2021</v>
      </c>
      <c r="G2521" t="s">
        <v>982</v>
      </c>
      <c r="H2521" s="42" t="s">
        <v>57</v>
      </c>
      <c r="J2521" t="s">
        <v>248</v>
      </c>
      <c r="L2521" s="34">
        <v>3</v>
      </c>
      <c r="M2521" s="38">
        <v>0.75</v>
      </c>
      <c r="N2521" s="38">
        <f t="shared" si="39"/>
        <v>2.25</v>
      </c>
    </row>
    <row r="2522" spans="1:14">
      <c r="A2522" s="29">
        <v>44518</v>
      </c>
      <c r="B2522" s="22" t="s">
        <v>959</v>
      </c>
      <c r="C2522" s="22" t="s">
        <v>695</v>
      </c>
      <c r="D2522" s="48" t="s">
        <v>5</v>
      </c>
      <c r="E2522" t="s">
        <v>983</v>
      </c>
      <c r="F2522">
        <v>2021</v>
      </c>
      <c r="G2522" t="s">
        <v>500</v>
      </c>
      <c r="H2522" s="42" t="s">
        <v>57</v>
      </c>
      <c r="J2522" t="s">
        <v>248</v>
      </c>
      <c r="K2522" t="s">
        <v>984</v>
      </c>
      <c r="L2522" s="34">
        <v>3</v>
      </c>
      <c r="M2522" s="38">
        <v>0.75</v>
      </c>
      <c r="N2522" s="38">
        <f t="shared" si="39"/>
        <v>2.25</v>
      </c>
    </row>
    <row r="2523" spans="1:14">
      <c r="A2523" s="29">
        <v>44518</v>
      </c>
      <c r="B2523" s="22" t="s">
        <v>23</v>
      </c>
      <c r="C2523" s="22" t="s">
        <v>57</v>
      </c>
      <c r="D2523" s="48" t="s">
        <v>5</v>
      </c>
      <c r="E2523" t="s">
        <v>157</v>
      </c>
      <c r="F2523">
        <v>2021</v>
      </c>
      <c r="G2523" t="s">
        <v>257</v>
      </c>
      <c r="H2523" s="42" t="s">
        <v>848</v>
      </c>
      <c r="J2523" t="s">
        <v>248</v>
      </c>
      <c r="K2523" t="s">
        <v>985</v>
      </c>
      <c r="L2523" s="34">
        <v>2</v>
      </c>
      <c r="M2523" s="38">
        <v>0.75</v>
      </c>
      <c r="N2523" s="38">
        <f t="shared" si="39"/>
        <v>1.5</v>
      </c>
    </row>
    <row r="2524" spans="1:14">
      <c r="A2524" s="29">
        <v>44523</v>
      </c>
      <c r="B2524" s="22" t="s">
        <v>109</v>
      </c>
      <c r="C2524" s="22" t="s">
        <v>57</v>
      </c>
      <c r="D2524" s="48" t="s">
        <v>8</v>
      </c>
      <c r="E2524" t="s">
        <v>986</v>
      </c>
      <c r="F2524">
        <v>2021</v>
      </c>
      <c r="G2524" t="s">
        <v>57</v>
      </c>
      <c r="H2524" s="42" t="s">
        <v>763</v>
      </c>
      <c r="J2524" t="s">
        <v>248</v>
      </c>
      <c r="L2524" s="34">
        <v>5</v>
      </c>
      <c r="M2524" s="38">
        <v>0.75</v>
      </c>
      <c r="N2524" s="38">
        <f t="shared" si="39"/>
        <v>3.75</v>
      </c>
    </row>
    <row r="2525" spans="1:14">
      <c r="A2525" s="29">
        <v>44524</v>
      </c>
      <c r="B2525" s="22" t="s">
        <v>959</v>
      </c>
      <c r="C2525" s="22" t="s">
        <v>695</v>
      </c>
      <c r="D2525" s="48" t="s">
        <v>5</v>
      </c>
      <c r="E2525" t="s">
        <v>987</v>
      </c>
      <c r="F2525">
        <v>2021</v>
      </c>
      <c r="G2525" t="s">
        <v>57</v>
      </c>
      <c r="H2525" s="42" t="s">
        <v>57</v>
      </c>
      <c r="J2525" t="s">
        <v>248</v>
      </c>
      <c r="L2525" s="34">
        <v>6</v>
      </c>
      <c r="M2525" s="38">
        <v>0.75</v>
      </c>
      <c r="N2525" s="38">
        <f t="shared" si="39"/>
        <v>4.5</v>
      </c>
    </row>
    <row r="2526" spans="1:14">
      <c r="A2526" s="29">
        <v>44524</v>
      </c>
      <c r="B2526" s="22" t="s">
        <v>959</v>
      </c>
      <c r="C2526" s="22" t="s">
        <v>695</v>
      </c>
      <c r="D2526" s="48" t="s">
        <v>5</v>
      </c>
      <c r="E2526" t="s">
        <v>988</v>
      </c>
      <c r="F2526">
        <v>2021</v>
      </c>
      <c r="G2526" t="s">
        <v>57</v>
      </c>
      <c r="H2526" s="42" t="s">
        <v>57</v>
      </c>
      <c r="J2526" t="s">
        <v>248</v>
      </c>
      <c r="L2526" s="34">
        <v>3</v>
      </c>
      <c r="M2526" s="38">
        <v>1</v>
      </c>
      <c r="N2526" s="38">
        <f t="shared" si="39"/>
        <v>3</v>
      </c>
    </row>
    <row r="2527" spans="1:14">
      <c r="A2527" s="29">
        <v>44524</v>
      </c>
      <c r="B2527" s="22" t="s">
        <v>50</v>
      </c>
      <c r="C2527" s="22" t="s">
        <v>57</v>
      </c>
      <c r="D2527" s="48" t="s">
        <v>5</v>
      </c>
      <c r="E2527" t="s">
        <v>159</v>
      </c>
      <c r="F2527">
        <v>2021</v>
      </c>
      <c r="G2527" t="s">
        <v>326</v>
      </c>
      <c r="H2527" s="42" t="s">
        <v>776</v>
      </c>
      <c r="J2527" t="s">
        <v>248</v>
      </c>
      <c r="L2527" s="34">
        <v>2</v>
      </c>
      <c r="M2527" s="38">
        <v>0.75</v>
      </c>
      <c r="N2527" s="38">
        <f t="shared" si="39"/>
        <v>1.5</v>
      </c>
    </row>
    <row r="2528" spans="1:14">
      <c r="A2528" s="29">
        <v>44524</v>
      </c>
      <c r="B2528" s="22" t="s">
        <v>50</v>
      </c>
      <c r="C2528" s="22" t="s">
        <v>57</v>
      </c>
      <c r="D2528" s="48" t="s">
        <v>5</v>
      </c>
      <c r="E2528" t="s">
        <v>159</v>
      </c>
      <c r="F2528">
        <v>2021</v>
      </c>
      <c r="G2528" t="s">
        <v>247</v>
      </c>
      <c r="H2528" s="42" t="s">
        <v>785</v>
      </c>
      <c r="J2528" t="s">
        <v>248</v>
      </c>
      <c r="L2528" s="34">
        <v>2</v>
      </c>
      <c r="M2528" s="38">
        <v>0.75</v>
      </c>
      <c r="N2528" s="38">
        <f t="shared" si="39"/>
        <v>1.5</v>
      </c>
    </row>
    <row r="2529" spans="1:38">
      <c r="A2529" s="29">
        <v>44524</v>
      </c>
      <c r="B2529" s="22" t="s">
        <v>56</v>
      </c>
      <c r="C2529" s="22" t="s">
        <v>47</v>
      </c>
      <c r="D2529" s="48" t="s">
        <v>5</v>
      </c>
      <c r="E2529" t="s">
        <v>989</v>
      </c>
      <c r="F2529">
        <v>2021</v>
      </c>
      <c r="G2529" t="s">
        <v>57</v>
      </c>
      <c r="H2529" s="42" t="s">
        <v>990</v>
      </c>
      <c r="J2529" t="s">
        <v>248</v>
      </c>
      <c r="K2529" t="s">
        <v>991</v>
      </c>
      <c r="L2529" s="34">
        <v>2</v>
      </c>
      <c r="M2529" s="38">
        <v>0.75</v>
      </c>
      <c r="N2529" s="38">
        <f t="shared" si="39"/>
        <v>1.5</v>
      </c>
    </row>
    <row r="2530" spans="1:38">
      <c r="A2530" s="29">
        <v>44524</v>
      </c>
      <c r="B2530" s="22" t="s">
        <v>77</v>
      </c>
      <c r="C2530" s="22" t="s">
        <v>47</v>
      </c>
      <c r="D2530" s="48" t="s">
        <v>5</v>
      </c>
      <c r="E2530" t="s">
        <v>159</v>
      </c>
      <c r="F2530">
        <v>2021</v>
      </c>
      <c r="G2530" t="s">
        <v>326</v>
      </c>
      <c r="H2530" s="42" t="s">
        <v>776</v>
      </c>
      <c r="J2530" t="s">
        <v>248</v>
      </c>
      <c r="L2530" s="34">
        <v>2</v>
      </c>
      <c r="M2530" s="38">
        <v>0.75</v>
      </c>
      <c r="N2530" s="38">
        <f t="shared" si="39"/>
        <v>1.5</v>
      </c>
    </row>
    <row r="2531" spans="1:38">
      <c r="A2531" s="29">
        <v>44526</v>
      </c>
      <c r="B2531" s="22" t="s">
        <v>992</v>
      </c>
      <c r="C2531" s="22" t="s">
        <v>695</v>
      </c>
      <c r="D2531" s="48" t="s">
        <v>8</v>
      </c>
      <c r="E2531" t="s">
        <v>993</v>
      </c>
      <c r="F2531">
        <v>2021</v>
      </c>
      <c r="G2531" t="s">
        <v>57</v>
      </c>
      <c r="H2531" s="42" t="s">
        <v>763</v>
      </c>
      <c r="J2531" t="s">
        <v>248</v>
      </c>
      <c r="K2531" t="s">
        <v>994</v>
      </c>
      <c r="L2531" s="34">
        <v>2</v>
      </c>
      <c r="M2531" s="38">
        <v>0.75</v>
      </c>
      <c r="N2531" s="38">
        <f t="shared" si="39"/>
        <v>1.5</v>
      </c>
      <c r="O2531" t="s">
        <v>995</v>
      </c>
      <c r="P2531">
        <v>778</v>
      </c>
      <c r="Q2531" t="s">
        <v>996</v>
      </c>
      <c r="R2531" t="s">
        <v>997</v>
      </c>
      <c r="S2531" t="s">
        <v>998</v>
      </c>
      <c r="T2531" t="s">
        <v>999</v>
      </c>
      <c r="U2531" t="s">
        <v>889</v>
      </c>
      <c r="V2531" t="s">
        <v>906</v>
      </c>
      <c r="W2531" t="s">
        <v>825</v>
      </c>
      <c r="X2531" t="s">
        <v>1000</v>
      </c>
      <c r="Y2531" t="s">
        <v>1001</v>
      </c>
      <c r="Z2531" t="s">
        <v>1002</v>
      </c>
      <c r="AA2531" t="s">
        <v>1003</v>
      </c>
      <c r="AB2531">
        <v>23</v>
      </c>
      <c r="AC2531">
        <v>98</v>
      </c>
      <c r="AD2531">
        <v>7</v>
      </c>
      <c r="AE2531">
        <v>13</v>
      </c>
      <c r="AF2531" t="s">
        <v>832</v>
      </c>
      <c r="AG2531" t="s">
        <v>1004</v>
      </c>
      <c r="AH2531" t="s">
        <v>1005</v>
      </c>
      <c r="AI2531" t="s">
        <v>1006</v>
      </c>
      <c r="AJ2531">
        <v>44526</v>
      </c>
      <c r="AL2531">
        <v>0.49158564814814815</v>
      </c>
    </row>
    <row r="2532" spans="1:38">
      <c r="A2532" s="29">
        <v>44529</v>
      </c>
      <c r="B2532" s="22" t="s">
        <v>81</v>
      </c>
      <c r="C2532" s="22" t="s">
        <v>57</v>
      </c>
      <c r="D2532" s="48" t="s">
        <v>5</v>
      </c>
      <c r="E2532" t="s">
        <v>159</v>
      </c>
      <c r="F2532">
        <v>2021</v>
      </c>
      <c r="G2532" t="s">
        <v>247</v>
      </c>
      <c r="H2532" s="42" t="s">
        <v>933</v>
      </c>
      <c r="J2532" t="s">
        <v>248</v>
      </c>
      <c r="L2532" s="34">
        <v>6</v>
      </c>
      <c r="M2532" s="38">
        <v>0.75</v>
      </c>
      <c r="N2532" s="38">
        <f t="shared" si="39"/>
        <v>4.5</v>
      </c>
    </row>
    <row r="2533" spans="1:38">
      <c r="A2533" s="29">
        <v>44529</v>
      </c>
      <c r="B2533" s="22" t="s">
        <v>109</v>
      </c>
      <c r="C2533" s="22" t="s">
        <v>57</v>
      </c>
      <c r="D2533" s="48" t="s">
        <v>8</v>
      </c>
      <c r="E2533" t="s">
        <v>993</v>
      </c>
      <c r="F2533">
        <v>2021</v>
      </c>
      <c r="G2533" t="s">
        <v>57</v>
      </c>
      <c r="H2533" s="42" t="s">
        <v>898</v>
      </c>
      <c r="J2533" t="s">
        <v>248</v>
      </c>
      <c r="K2533" t="s">
        <v>1007</v>
      </c>
      <c r="L2533" s="34">
        <v>4</v>
      </c>
      <c r="M2533" s="38">
        <v>0.75</v>
      </c>
      <c r="N2533" s="38">
        <f t="shared" si="39"/>
        <v>3</v>
      </c>
    </row>
    <row r="2534" spans="1:38">
      <c r="A2534" s="29">
        <v>44533</v>
      </c>
      <c r="B2534" s="22" t="s">
        <v>60</v>
      </c>
      <c r="C2534" s="22" t="s">
        <v>57</v>
      </c>
      <c r="D2534" s="48" t="s">
        <v>11</v>
      </c>
      <c r="E2534" t="s">
        <v>177</v>
      </c>
      <c r="F2534">
        <v>2021</v>
      </c>
      <c r="G2534" t="s">
        <v>57</v>
      </c>
      <c r="H2534" s="42" t="s">
        <v>853</v>
      </c>
      <c r="J2534" t="s">
        <v>248</v>
      </c>
      <c r="L2534" s="34">
        <v>2</v>
      </c>
      <c r="M2534" s="38">
        <v>0.75</v>
      </c>
      <c r="N2534" s="38">
        <f t="shared" si="39"/>
        <v>1.5</v>
      </c>
    </row>
    <row r="2535" spans="1:38">
      <c r="A2535" s="29">
        <v>44533</v>
      </c>
      <c r="B2535" s="22" t="s">
        <v>60</v>
      </c>
      <c r="C2535" s="22" t="s">
        <v>57</v>
      </c>
      <c r="D2535" s="48" t="s">
        <v>5</v>
      </c>
      <c r="E2535" t="s">
        <v>158</v>
      </c>
      <c r="F2535">
        <v>2021</v>
      </c>
      <c r="G2535" t="s">
        <v>57</v>
      </c>
      <c r="H2535" s="42" t="s">
        <v>1008</v>
      </c>
      <c r="J2535" t="s">
        <v>248</v>
      </c>
      <c r="L2535" s="34">
        <v>2</v>
      </c>
      <c r="M2535" s="38">
        <v>0.75</v>
      </c>
      <c r="N2535" s="38">
        <f t="shared" si="39"/>
        <v>1.5</v>
      </c>
    </row>
    <row r="2536" spans="1:38">
      <c r="A2536" s="29">
        <v>44536</v>
      </c>
      <c r="B2536" s="22" t="s">
        <v>63</v>
      </c>
      <c r="C2536" s="22" t="s">
        <v>57</v>
      </c>
      <c r="D2536" s="48" t="s">
        <v>5</v>
      </c>
      <c r="E2536" t="s">
        <v>159</v>
      </c>
      <c r="F2536">
        <v>2020</v>
      </c>
      <c r="G2536" t="s">
        <v>57</v>
      </c>
      <c r="H2536" s="42" t="s">
        <v>1009</v>
      </c>
      <c r="J2536" t="s">
        <v>248</v>
      </c>
      <c r="L2536" s="34">
        <v>2</v>
      </c>
      <c r="M2536" s="38">
        <v>0.75</v>
      </c>
      <c r="N2536" s="38">
        <f t="shared" si="39"/>
        <v>1.5</v>
      </c>
    </row>
    <row r="2537" spans="1:38">
      <c r="A2537" s="29">
        <v>44537</v>
      </c>
      <c r="B2537" s="22" t="s">
        <v>109</v>
      </c>
      <c r="C2537" s="22" t="s">
        <v>57</v>
      </c>
      <c r="D2537" s="48" t="s">
        <v>5</v>
      </c>
      <c r="E2537" t="s">
        <v>158</v>
      </c>
      <c r="F2537">
        <v>2021</v>
      </c>
      <c r="G2537" t="s">
        <v>57</v>
      </c>
      <c r="H2537" s="42" t="s">
        <v>1008</v>
      </c>
      <c r="J2537" t="s">
        <v>248</v>
      </c>
      <c r="L2537" s="34">
        <v>3</v>
      </c>
      <c r="M2537" s="38">
        <v>0.75</v>
      </c>
      <c r="N2537" s="38">
        <f t="shared" si="39"/>
        <v>2.25</v>
      </c>
    </row>
    <row r="2538" spans="1:38">
      <c r="A2538" s="29">
        <v>44537</v>
      </c>
      <c r="B2538" s="22" t="s">
        <v>50</v>
      </c>
      <c r="C2538" s="22" t="s">
        <v>57</v>
      </c>
      <c r="D2538" s="48" t="s">
        <v>5</v>
      </c>
      <c r="E2538" t="s">
        <v>307</v>
      </c>
      <c r="F2538">
        <v>2021</v>
      </c>
      <c r="G2538" t="s">
        <v>57</v>
      </c>
      <c r="H2538" s="42" t="s">
        <v>785</v>
      </c>
      <c r="J2538" t="s">
        <v>248</v>
      </c>
      <c r="L2538" s="34">
        <v>4</v>
      </c>
      <c r="M2538" s="38">
        <v>0.75</v>
      </c>
      <c r="N2538" s="38">
        <f t="shared" si="39"/>
        <v>3</v>
      </c>
    </row>
    <row r="2539" spans="1:38">
      <c r="A2539" s="29">
        <v>44538</v>
      </c>
      <c r="B2539" s="22" t="s">
        <v>63</v>
      </c>
      <c r="C2539" s="22" t="s">
        <v>57</v>
      </c>
      <c r="D2539" s="48" t="s">
        <v>5</v>
      </c>
      <c r="E2539" t="s">
        <v>307</v>
      </c>
      <c r="F2539">
        <v>2021</v>
      </c>
      <c r="G2539" t="s">
        <v>57</v>
      </c>
      <c r="H2539" s="42" t="s">
        <v>786</v>
      </c>
      <c r="J2539" t="s">
        <v>248</v>
      </c>
      <c r="L2539" s="34">
        <v>3</v>
      </c>
      <c r="M2539" s="38">
        <v>0.75</v>
      </c>
      <c r="N2539" s="38">
        <f t="shared" si="39"/>
        <v>2.25</v>
      </c>
    </row>
    <row r="2540" spans="1:38">
      <c r="A2540" s="29">
        <v>44543</v>
      </c>
      <c r="B2540" s="22" t="s">
        <v>1010</v>
      </c>
      <c r="C2540" s="22" t="s">
        <v>695</v>
      </c>
      <c r="D2540" s="48" t="s">
        <v>11</v>
      </c>
      <c r="E2540" t="s">
        <v>805</v>
      </c>
      <c r="F2540">
        <v>2021</v>
      </c>
      <c r="G2540" t="s">
        <v>57</v>
      </c>
      <c r="H2540" s="42" t="s">
        <v>1011</v>
      </c>
      <c r="J2540" t="s">
        <v>248</v>
      </c>
      <c r="K2540" t="s">
        <v>1012</v>
      </c>
      <c r="L2540" s="34">
        <v>3</v>
      </c>
      <c r="M2540" s="38">
        <v>0.75</v>
      </c>
      <c r="N2540" s="38">
        <f t="shared" si="39"/>
        <v>2.25</v>
      </c>
    </row>
    <row r="2541" spans="1:38">
      <c r="A2541" s="29">
        <v>44544</v>
      </c>
      <c r="B2541" s="22" t="s">
        <v>63</v>
      </c>
      <c r="C2541" s="22" t="s">
        <v>57</v>
      </c>
      <c r="D2541" s="48" t="s">
        <v>5</v>
      </c>
      <c r="E2541" t="s">
        <v>159</v>
      </c>
      <c r="F2541">
        <v>2020</v>
      </c>
      <c r="G2541" t="s">
        <v>57</v>
      </c>
      <c r="H2541" s="42" t="s">
        <v>1013</v>
      </c>
      <c r="J2541" t="s">
        <v>248</v>
      </c>
      <c r="L2541" s="34">
        <v>2</v>
      </c>
      <c r="M2541" s="38">
        <v>0.75</v>
      </c>
      <c r="N2541" s="38">
        <f t="shared" si="39"/>
        <v>1.5</v>
      </c>
    </row>
    <row r="2542" spans="1:38">
      <c r="A2542" s="29">
        <v>44544</v>
      </c>
      <c r="B2542" s="22" t="s">
        <v>63</v>
      </c>
      <c r="C2542" s="22" t="s">
        <v>57</v>
      </c>
      <c r="D2542" s="48" t="s">
        <v>5</v>
      </c>
      <c r="E2542" t="s">
        <v>157</v>
      </c>
      <c r="F2542">
        <v>2021</v>
      </c>
      <c r="G2542" t="s">
        <v>326</v>
      </c>
      <c r="H2542" s="42" t="s">
        <v>753</v>
      </c>
      <c r="J2542" t="s">
        <v>248</v>
      </c>
      <c r="L2542" s="34">
        <v>2</v>
      </c>
      <c r="M2542" s="38">
        <v>0.75</v>
      </c>
      <c r="N2542" s="38">
        <f t="shared" si="39"/>
        <v>1.5</v>
      </c>
    </row>
    <row r="2543" spans="1:38">
      <c r="A2543" s="29">
        <v>44544</v>
      </c>
      <c r="B2543" s="22" t="s">
        <v>63</v>
      </c>
      <c r="C2543" s="22" t="s">
        <v>57</v>
      </c>
      <c r="D2543" s="48" t="s">
        <v>5</v>
      </c>
      <c r="E2543" t="s">
        <v>157</v>
      </c>
      <c r="F2543">
        <v>2021</v>
      </c>
      <c r="G2543" t="s">
        <v>247</v>
      </c>
      <c r="H2543" s="42" t="s">
        <v>835</v>
      </c>
      <c r="J2543" t="s">
        <v>248</v>
      </c>
      <c r="L2543" s="34">
        <v>2</v>
      </c>
      <c r="M2543" s="38">
        <v>0.75</v>
      </c>
      <c r="N2543" s="38">
        <f t="shared" si="39"/>
        <v>1.5</v>
      </c>
    </row>
    <row r="2544" spans="1:38">
      <c r="A2544" s="29">
        <v>44544</v>
      </c>
      <c r="B2544" s="22" t="s">
        <v>109</v>
      </c>
      <c r="C2544" s="22" t="s">
        <v>57</v>
      </c>
      <c r="D2544" s="48" t="s">
        <v>8</v>
      </c>
      <c r="E2544" t="s">
        <v>502</v>
      </c>
      <c r="F2544">
        <v>2021</v>
      </c>
      <c r="G2544" t="s">
        <v>57</v>
      </c>
      <c r="H2544" s="42" t="s">
        <v>898</v>
      </c>
      <c r="J2544" t="s">
        <v>248</v>
      </c>
      <c r="L2544" s="34">
        <v>2</v>
      </c>
      <c r="M2544" s="38">
        <v>0.75</v>
      </c>
      <c r="N2544" s="38">
        <f t="shared" si="39"/>
        <v>1.5</v>
      </c>
    </row>
    <row r="2545" spans="1:14">
      <c r="A2545" s="29">
        <v>44544</v>
      </c>
      <c r="B2545" s="22" t="s">
        <v>109</v>
      </c>
      <c r="C2545" s="22" t="s">
        <v>57</v>
      </c>
      <c r="D2545" s="48" t="s">
        <v>5</v>
      </c>
      <c r="E2545" t="s">
        <v>494</v>
      </c>
      <c r="F2545">
        <v>2021</v>
      </c>
      <c r="G2545" t="s">
        <v>57</v>
      </c>
      <c r="H2545" s="42" t="s">
        <v>752</v>
      </c>
      <c r="J2545" t="s">
        <v>248</v>
      </c>
      <c r="L2545" s="34">
        <v>2</v>
      </c>
      <c r="M2545" s="38">
        <v>0.75</v>
      </c>
      <c r="N2545" s="38">
        <f t="shared" si="39"/>
        <v>1.5</v>
      </c>
    </row>
    <row r="2546" spans="1:14">
      <c r="A2546" s="29">
        <v>44544</v>
      </c>
      <c r="B2546" s="22" t="s">
        <v>109</v>
      </c>
      <c r="C2546" s="22" t="s">
        <v>57</v>
      </c>
      <c r="D2546" s="48" t="s">
        <v>5</v>
      </c>
      <c r="E2546" t="s">
        <v>157</v>
      </c>
      <c r="F2546">
        <v>2021</v>
      </c>
      <c r="G2546" t="s">
        <v>247</v>
      </c>
      <c r="H2546" s="42" t="s">
        <v>835</v>
      </c>
      <c r="J2546" t="s">
        <v>248</v>
      </c>
      <c r="L2546" s="34">
        <v>1</v>
      </c>
      <c r="M2546" s="38">
        <v>0.75</v>
      </c>
      <c r="N2546" s="38">
        <f t="shared" si="39"/>
        <v>0.75</v>
      </c>
    </row>
    <row r="2547" spans="1:14">
      <c r="A2547" s="29">
        <v>44544</v>
      </c>
      <c r="B2547" s="22" t="s">
        <v>109</v>
      </c>
      <c r="C2547" s="22" t="s">
        <v>57</v>
      </c>
      <c r="D2547" s="48" t="s">
        <v>5</v>
      </c>
      <c r="E2547" t="s">
        <v>158</v>
      </c>
      <c r="F2547">
        <v>2021</v>
      </c>
      <c r="G2547" t="s">
        <v>57</v>
      </c>
      <c r="H2547" s="42" t="s">
        <v>837</v>
      </c>
      <c r="J2547" t="s">
        <v>248</v>
      </c>
      <c r="L2547" s="34">
        <v>1</v>
      </c>
      <c r="M2547" s="38">
        <v>0.75</v>
      </c>
      <c r="N2547" s="38">
        <f t="shared" si="39"/>
        <v>0.75</v>
      </c>
    </row>
    <row r="2548" spans="1:14">
      <c r="A2548" s="29">
        <v>44544</v>
      </c>
      <c r="B2548" s="22" t="s">
        <v>109</v>
      </c>
      <c r="C2548" s="22" t="s">
        <v>57</v>
      </c>
      <c r="D2548" s="48" t="s">
        <v>5</v>
      </c>
      <c r="E2548" t="s">
        <v>159</v>
      </c>
      <c r="F2548">
        <v>2021</v>
      </c>
      <c r="G2548" t="s">
        <v>247</v>
      </c>
      <c r="H2548" s="42" t="s">
        <v>785</v>
      </c>
      <c r="J2548" t="s">
        <v>248</v>
      </c>
      <c r="L2548" s="34">
        <v>1</v>
      </c>
      <c r="M2548" s="38">
        <v>0.75</v>
      </c>
      <c r="N2548" s="38">
        <f t="shared" si="39"/>
        <v>0.75</v>
      </c>
    </row>
    <row r="2549" spans="1:14">
      <c r="A2549" s="29">
        <v>44544</v>
      </c>
      <c r="B2549" s="22" t="s">
        <v>60</v>
      </c>
      <c r="C2549" s="22" t="s">
        <v>1014</v>
      </c>
      <c r="D2549" s="48" t="s">
        <v>5</v>
      </c>
      <c r="E2549" t="s">
        <v>157</v>
      </c>
      <c r="F2549">
        <v>2021</v>
      </c>
      <c r="G2549" t="s">
        <v>247</v>
      </c>
      <c r="H2549" s="42" t="s">
        <v>835</v>
      </c>
      <c r="J2549" t="s">
        <v>248</v>
      </c>
      <c r="K2549" t="s">
        <v>1015</v>
      </c>
      <c r="L2549" s="34">
        <v>1</v>
      </c>
      <c r="M2549" s="38">
        <v>0.75</v>
      </c>
      <c r="N2549" s="38">
        <f t="shared" si="39"/>
        <v>0.75</v>
      </c>
    </row>
    <row r="2550" spans="1:14">
      <c r="A2550" s="29">
        <v>44544</v>
      </c>
      <c r="B2550" s="22" t="s">
        <v>60</v>
      </c>
      <c r="C2550" s="22" t="s">
        <v>1014</v>
      </c>
      <c r="D2550" s="48" t="s">
        <v>5</v>
      </c>
      <c r="E2550" t="s">
        <v>157</v>
      </c>
      <c r="F2550">
        <v>2021</v>
      </c>
      <c r="G2550" t="s">
        <v>338</v>
      </c>
      <c r="H2550" s="42" t="s">
        <v>1016</v>
      </c>
      <c r="J2550" t="s">
        <v>248</v>
      </c>
      <c r="K2550" t="s">
        <v>1015</v>
      </c>
      <c r="L2550" s="34">
        <v>1</v>
      </c>
      <c r="M2550" s="38">
        <v>0.75</v>
      </c>
      <c r="N2550" s="38">
        <f t="shared" si="39"/>
        <v>0.75</v>
      </c>
    </row>
    <row r="2551" spans="1:14">
      <c r="A2551" s="29">
        <v>44544</v>
      </c>
      <c r="B2551" s="22" t="s">
        <v>60</v>
      </c>
      <c r="C2551" s="22" t="s">
        <v>1014</v>
      </c>
      <c r="D2551" s="48" t="s">
        <v>5</v>
      </c>
      <c r="E2551" t="s">
        <v>157</v>
      </c>
      <c r="F2551">
        <v>2021</v>
      </c>
      <c r="G2551" t="s">
        <v>326</v>
      </c>
      <c r="H2551" s="42" t="s">
        <v>753</v>
      </c>
      <c r="J2551" t="s">
        <v>248</v>
      </c>
      <c r="K2551" t="s">
        <v>1015</v>
      </c>
      <c r="L2551" s="34">
        <v>1</v>
      </c>
      <c r="M2551" s="38">
        <v>0.75</v>
      </c>
      <c r="N2551" s="38">
        <f t="shared" si="39"/>
        <v>0.75</v>
      </c>
    </row>
    <row r="2552" spans="1:14">
      <c r="A2552" s="29">
        <v>44544</v>
      </c>
      <c r="B2552" s="22" t="s">
        <v>60</v>
      </c>
      <c r="C2552" s="22" t="s">
        <v>1014</v>
      </c>
      <c r="D2552" s="48" t="s">
        <v>8</v>
      </c>
      <c r="E2552" t="s">
        <v>183</v>
      </c>
      <c r="F2552">
        <v>2021</v>
      </c>
      <c r="H2552" s="42" t="s">
        <v>846</v>
      </c>
      <c r="J2552" t="s">
        <v>248</v>
      </c>
      <c r="K2552" t="s">
        <v>1017</v>
      </c>
      <c r="L2552" s="34">
        <v>1</v>
      </c>
      <c r="M2552" s="38">
        <v>0.75</v>
      </c>
      <c r="N2552" s="38">
        <f t="shared" si="39"/>
        <v>0.75</v>
      </c>
    </row>
    <row r="2553" spans="1:14">
      <c r="A2553" s="29">
        <v>44544</v>
      </c>
      <c r="B2553" s="22" t="s">
        <v>60</v>
      </c>
      <c r="C2553" s="22" t="s">
        <v>1014</v>
      </c>
      <c r="D2553" s="48" t="s">
        <v>8</v>
      </c>
      <c r="E2553" t="s">
        <v>1018</v>
      </c>
      <c r="F2553">
        <v>2021</v>
      </c>
      <c r="G2553" t="s">
        <v>502</v>
      </c>
      <c r="H2553" s="42" t="s">
        <v>764</v>
      </c>
      <c r="J2553" t="s">
        <v>248</v>
      </c>
      <c r="K2553" t="s">
        <v>1017</v>
      </c>
      <c r="L2553" s="34">
        <v>1</v>
      </c>
      <c r="M2553" s="38">
        <v>0.75</v>
      </c>
      <c r="N2553" s="38">
        <f t="shared" si="39"/>
        <v>0.75</v>
      </c>
    </row>
    <row r="2554" spans="1:14">
      <c r="A2554" s="29">
        <v>44544</v>
      </c>
      <c r="B2554" s="22" t="s">
        <v>60</v>
      </c>
      <c r="C2554" s="22" t="s">
        <v>1014</v>
      </c>
      <c r="D2554" s="48" t="s">
        <v>8</v>
      </c>
      <c r="E2554" t="s">
        <v>178</v>
      </c>
      <c r="F2554">
        <v>2021</v>
      </c>
      <c r="G2554" t="s">
        <v>338</v>
      </c>
      <c r="H2554" s="42" t="s">
        <v>1019</v>
      </c>
      <c r="J2554" t="s">
        <v>248</v>
      </c>
      <c r="K2554" t="s">
        <v>1020</v>
      </c>
      <c r="L2554" s="34">
        <v>1</v>
      </c>
      <c r="M2554" s="38">
        <v>0.75</v>
      </c>
      <c r="N2554" s="38">
        <f t="shared" si="39"/>
        <v>0.75</v>
      </c>
    </row>
    <row r="2555" spans="1:14">
      <c r="A2555" s="29">
        <v>44544</v>
      </c>
      <c r="B2555" s="22" t="s">
        <v>60</v>
      </c>
      <c r="C2555" s="22" t="s">
        <v>1014</v>
      </c>
      <c r="D2555" s="48" t="s">
        <v>8</v>
      </c>
      <c r="E2555" t="s">
        <v>178</v>
      </c>
      <c r="F2555">
        <v>2021</v>
      </c>
      <c r="G2555" t="s">
        <v>338</v>
      </c>
      <c r="H2555" s="42" t="s">
        <v>1019</v>
      </c>
      <c r="J2555" t="s">
        <v>248</v>
      </c>
      <c r="K2555" t="s">
        <v>1021</v>
      </c>
      <c r="L2555" s="34">
        <v>1</v>
      </c>
      <c r="M2555" s="38">
        <v>0.75</v>
      </c>
      <c r="N2555" s="38">
        <f t="shared" si="39"/>
        <v>0.75</v>
      </c>
    </row>
    <row r="2556" spans="1:14">
      <c r="A2556" s="29">
        <v>44544</v>
      </c>
      <c r="B2556" s="22" t="s">
        <v>60</v>
      </c>
      <c r="C2556" s="22" t="s">
        <v>1014</v>
      </c>
      <c r="D2556" s="48" t="s">
        <v>8</v>
      </c>
      <c r="E2556" t="s">
        <v>255</v>
      </c>
      <c r="F2556">
        <v>2021</v>
      </c>
      <c r="G2556" t="s">
        <v>618</v>
      </c>
      <c r="H2556" s="42" t="s">
        <v>1022</v>
      </c>
      <c r="J2556" t="s">
        <v>248</v>
      </c>
      <c r="K2556" t="s">
        <v>1023</v>
      </c>
      <c r="L2556" s="34">
        <v>1</v>
      </c>
      <c r="M2556" s="38">
        <v>0.75</v>
      </c>
      <c r="N2556" s="38">
        <f t="shared" si="39"/>
        <v>0.75</v>
      </c>
    </row>
    <row r="2557" spans="1:14">
      <c r="A2557" s="29">
        <v>44544</v>
      </c>
      <c r="B2557" s="22" t="s">
        <v>60</v>
      </c>
      <c r="C2557" s="22" t="s">
        <v>1014</v>
      </c>
      <c r="D2557" s="48" t="s">
        <v>8</v>
      </c>
      <c r="E2557" t="s">
        <v>255</v>
      </c>
      <c r="F2557">
        <v>2021</v>
      </c>
      <c r="G2557" t="s">
        <v>338</v>
      </c>
      <c r="H2557" s="42" t="s">
        <v>841</v>
      </c>
      <c r="J2557" t="s">
        <v>248</v>
      </c>
      <c r="K2557" t="s">
        <v>1023</v>
      </c>
      <c r="L2557" s="34">
        <v>1</v>
      </c>
      <c r="M2557" s="38">
        <v>0.75</v>
      </c>
      <c r="N2557" s="38">
        <f t="shared" si="39"/>
        <v>0.75</v>
      </c>
    </row>
    <row r="2558" spans="1:14">
      <c r="A2558" s="29">
        <v>44545</v>
      </c>
      <c r="B2558" s="22" t="s">
        <v>109</v>
      </c>
      <c r="C2558" s="22" t="s">
        <v>57</v>
      </c>
      <c r="D2558" s="48" t="s">
        <v>5</v>
      </c>
      <c r="E2558" t="s">
        <v>503</v>
      </c>
      <c r="F2558">
        <v>2021</v>
      </c>
      <c r="G2558" t="s">
        <v>338</v>
      </c>
      <c r="H2558" s="42" t="s">
        <v>1024</v>
      </c>
      <c r="J2558" t="s">
        <v>248</v>
      </c>
      <c r="K2558" t="s">
        <v>1025</v>
      </c>
      <c r="L2558" s="34">
        <v>1</v>
      </c>
      <c r="M2558" s="38">
        <v>0.75</v>
      </c>
      <c r="N2558" s="38">
        <f t="shared" si="39"/>
        <v>0.75</v>
      </c>
    </row>
    <row r="2559" spans="1:14">
      <c r="A2559" s="29">
        <v>44546</v>
      </c>
      <c r="B2559" s="22" t="s">
        <v>60</v>
      </c>
      <c r="C2559" s="22" t="s">
        <v>1014</v>
      </c>
      <c r="D2559" s="48" t="s">
        <v>5</v>
      </c>
      <c r="E2559" t="s">
        <v>157</v>
      </c>
      <c r="F2559">
        <v>2021</v>
      </c>
      <c r="G2559" t="s">
        <v>500</v>
      </c>
      <c r="H2559" s="42" t="s">
        <v>1016</v>
      </c>
      <c r="J2559" t="s">
        <v>248</v>
      </c>
      <c r="K2559" t="s">
        <v>1015</v>
      </c>
      <c r="L2559" s="34">
        <v>2</v>
      </c>
      <c r="M2559" s="38">
        <v>0.75</v>
      </c>
      <c r="N2559" s="38">
        <f t="shared" si="39"/>
        <v>1.5</v>
      </c>
    </row>
    <row r="2560" spans="1:14">
      <c r="A2560" s="29">
        <v>44546</v>
      </c>
      <c r="B2560" s="22" t="s">
        <v>60</v>
      </c>
      <c r="C2560" s="22" t="s">
        <v>1014</v>
      </c>
      <c r="D2560" s="48" t="s">
        <v>5</v>
      </c>
      <c r="E2560" t="s">
        <v>157</v>
      </c>
      <c r="F2560">
        <v>2021</v>
      </c>
      <c r="G2560" t="s">
        <v>326</v>
      </c>
      <c r="H2560" s="42" t="s">
        <v>753</v>
      </c>
      <c r="J2560" t="s">
        <v>248</v>
      </c>
      <c r="K2560" t="s">
        <v>1015</v>
      </c>
      <c r="L2560" s="34">
        <v>2</v>
      </c>
      <c r="M2560" s="38">
        <v>0.75</v>
      </c>
      <c r="N2560" s="38">
        <f t="shared" si="39"/>
        <v>1.5</v>
      </c>
    </row>
    <row r="2561" spans="1:14">
      <c r="A2561" s="29">
        <v>44546</v>
      </c>
      <c r="B2561" s="22" t="s">
        <v>60</v>
      </c>
      <c r="C2561" s="22" t="s">
        <v>1014</v>
      </c>
      <c r="D2561" s="48" t="s">
        <v>5</v>
      </c>
      <c r="E2561" t="s">
        <v>157</v>
      </c>
      <c r="F2561">
        <v>2021</v>
      </c>
      <c r="G2561" t="s">
        <v>247</v>
      </c>
      <c r="H2561" s="42" t="s">
        <v>874</v>
      </c>
      <c r="J2561" t="s">
        <v>248</v>
      </c>
      <c r="K2561" t="s">
        <v>1015</v>
      </c>
      <c r="L2561" s="34">
        <v>2</v>
      </c>
      <c r="M2561" s="38">
        <v>0.75</v>
      </c>
      <c r="N2561" s="38">
        <f t="shared" si="39"/>
        <v>1.5</v>
      </c>
    </row>
    <row r="2562" spans="1:14">
      <c r="A2562" s="29">
        <v>44546</v>
      </c>
      <c r="B2562" s="22" t="s">
        <v>60</v>
      </c>
      <c r="C2562" s="22" t="s">
        <v>1014</v>
      </c>
      <c r="D2562" s="48" t="s">
        <v>8</v>
      </c>
      <c r="E2562" t="s">
        <v>183</v>
      </c>
      <c r="F2562">
        <v>2021</v>
      </c>
      <c r="G2562" t="s">
        <v>679</v>
      </c>
      <c r="H2562" s="42" t="s">
        <v>744</v>
      </c>
      <c r="J2562" t="s">
        <v>248</v>
      </c>
      <c r="K2562" t="s">
        <v>1017</v>
      </c>
      <c r="L2562" s="34">
        <v>2</v>
      </c>
      <c r="M2562" s="38">
        <v>0.75</v>
      </c>
      <c r="N2562" s="38">
        <f t="shared" si="39"/>
        <v>1.5</v>
      </c>
    </row>
    <row r="2563" spans="1:14">
      <c r="A2563" s="29">
        <v>44546</v>
      </c>
      <c r="B2563" s="22" t="s">
        <v>60</v>
      </c>
      <c r="C2563" s="22" t="s">
        <v>1014</v>
      </c>
      <c r="D2563" s="48" t="s">
        <v>8</v>
      </c>
      <c r="E2563" t="s">
        <v>183</v>
      </c>
      <c r="F2563">
        <v>2021</v>
      </c>
      <c r="G2563" t="s">
        <v>618</v>
      </c>
      <c r="H2563" s="42" t="s">
        <v>745</v>
      </c>
      <c r="J2563" t="s">
        <v>248</v>
      </c>
      <c r="K2563" t="s">
        <v>1017</v>
      </c>
      <c r="L2563" s="34">
        <v>2</v>
      </c>
      <c r="M2563" s="38">
        <v>0.75</v>
      </c>
      <c r="N2563" s="38">
        <f t="shared" ref="N2563:N2626" si="40">M2563*L2563</f>
        <v>1.5</v>
      </c>
    </row>
    <row r="2564" spans="1:14">
      <c r="A2564" s="29">
        <v>44546</v>
      </c>
      <c r="B2564" s="22" t="s">
        <v>60</v>
      </c>
      <c r="C2564" s="22" t="s">
        <v>1014</v>
      </c>
      <c r="D2564" s="48" t="s">
        <v>8</v>
      </c>
      <c r="E2564" t="s">
        <v>178</v>
      </c>
      <c r="F2564">
        <v>2021</v>
      </c>
      <c r="G2564" t="s">
        <v>338</v>
      </c>
      <c r="H2564" s="42" t="s">
        <v>1019</v>
      </c>
      <c r="J2564" t="s">
        <v>248</v>
      </c>
      <c r="K2564" t="s">
        <v>1020</v>
      </c>
      <c r="L2564" s="34">
        <v>2</v>
      </c>
      <c r="M2564" s="38">
        <v>0.75</v>
      </c>
      <c r="N2564" s="38">
        <f t="shared" si="40"/>
        <v>1.5</v>
      </c>
    </row>
    <row r="2565" spans="1:14">
      <c r="A2565" s="29">
        <v>44546</v>
      </c>
      <c r="B2565" s="22" t="s">
        <v>60</v>
      </c>
      <c r="C2565" s="22" t="s">
        <v>1014</v>
      </c>
      <c r="D2565" s="48" t="s">
        <v>8</v>
      </c>
      <c r="E2565" t="s">
        <v>178</v>
      </c>
      <c r="F2565">
        <v>2021</v>
      </c>
      <c r="G2565" t="s">
        <v>679</v>
      </c>
      <c r="H2565" s="42" t="s">
        <v>744</v>
      </c>
      <c r="J2565" t="s">
        <v>248</v>
      </c>
      <c r="K2565" t="s">
        <v>1026</v>
      </c>
      <c r="L2565" s="34">
        <v>3</v>
      </c>
      <c r="M2565" s="38">
        <v>0.75</v>
      </c>
      <c r="N2565" s="38">
        <f t="shared" si="40"/>
        <v>2.25</v>
      </c>
    </row>
    <row r="2566" spans="1:14">
      <c r="A2566" s="29">
        <v>44546</v>
      </c>
      <c r="B2566" s="22" t="s">
        <v>60</v>
      </c>
      <c r="C2566" s="22" t="s">
        <v>1014</v>
      </c>
      <c r="D2566" s="48" t="s">
        <v>8</v>
      </c>
      <c r="E2566" t="s">
        <v>182</v>
      </c>
      <c r="F2566">
        <v>2021</v>
      </c>
      <c r="G2566" t="s">
        <v>500</v>
      </c>
      <c r="H2566" s="42" t="s">
        <v>1027</v>
      </c>
      <c r="J2566" t="s">
        <v>248</v>
      </c>
      <c r="K2566" t="s">
        <v>1028</v>
      </c>
      <c r="L2566" s="34">
        <v>2</v>
      </c>
      <c r="M2566" s="38">
        <v>0.75</v>
      </c>
      <c r="N2566" s="38">
        <f t="shared" si="40"/>
        <v>1.5</v>
      </c>
    </row>
    <row r="2567" spans="1:14">
      <c r="A2567" s="29">
        <v>44546</v>
      </c>
      <c r="B2567" s="22" t="s">
        <v>60</v>
      </c>
      <c r="C2567" s="22" t="s">
        <v>1014</v>
      </c>
      <c r="D2567" s="48" t="s">
        <v>8</v>
      </c>
      <c r="E2567" t="s">
        <v>178</v>
      </c>
      <c r="F2567">
        <v>2021</v>
      </c>
      <c r="G2567" t="s">
        <v>338</v>
      </c>
      <c r="H2567" s="42" t="s">
        <v>1019</v>
      </c>
      <c r="J2567" t="s">
        <v>248</v>
      </c>
      <c r="K2567" t="s">
        <v>1029</v>
      </c>
      <c r="L2567" s="34">
        <v>2</v>
      </c>
      <c r="M2567" s="38">
        <v>0.75</v>
      </c>
      <c r="N2567" s="38">
        <f t="shared" si="40"/>
        <v>1.5</v>
      </c>
    </row>
    <row r="2568" spans="1:14">
      <c r="A2568" s="29">
        <v>44546</v>
      </c>
      <c r="B2568" s="22" t="s">
        <v>60</v>
      </c>
      <c r="C2568" s="22" t="s">
        <v>1014</v>
      </c>
      <c r="D2568" s="48" t="s">
        <v>8</v>
      </c>
      <c r="E2568" t="s">
        <v>255</v>
      </c>
      <c r="F2568">
        <v>2021</v>
      </c>
      <c r="G2568" t="s">
        <v>338</v>
      </c>
      <c r="H2568" s="42" t="s">
        <v>841</v>
      </c>
      <c r="J2568" t="s">
        <v>248</v>
      </c>
      <c r="K2568" t="s">
        <v>1023</v>
      </c>
      <c r="L2568" s="34">
        <v>2</v>
      </c>
      <c r="M2568" s="38">
        <v>0.75</v>
      </c>
      <c r="N2568" s="38">
        <f t="shared" si="40"/>
        <v>1.5</v>
      </c>
    </row>
    <row r="2569" spans="1:14">
      <c r="A2569" s="29">
        <v>44546</v>
      </c>
      <c r="B2569" s="22" t="s">
        <v>60</v>
      </c>
      <c r="C2569" s="22" t="s">
        <v>1014</v>
      </c>
      <c r="D2569" s="48" t="s">
        <v>8</v>
      </c>
      <c r="E2569" t="s">
        <v>255</v>
      </c>
      <c r="F2569">
        <v>2021</v>
      </c>
      <c r="G2569" t="s">
        <v>618</v>
      </c>
      <c r="H2569" s="42" t="s">
        <v>1022</v>
      </c>
      <c r="J2569" t="s">
        <v>248</v>
      </c>
      <c r="K2569" t="s">
        <v>1023</v>
      </c>
      <c r="L2569" s="34">
        <v>2</v>
      </c>
      <c r="M2569" s="38">
        <v>0.75</v>
      </c>
      <c r="N2569" s="38">
        <f t="shared" si="40"/>
        <v>1.5</v>
      </c>
    </row>
    <row r="2570" spans="1:14">
      <c r="A2570" s="29">
        <v>44546</v>
      </c>
      <c r="B2570" s="22" t="s">
        <v>1030</v>
      </c>
      <c r="C2570" s="22" t="s">
        <v>695</v>
      </c>
      <c r="D2570" s="48" t="s">
        <v>5</v>
      </c>
      <c r="E2570" t="s">
        <v>310</v>
      </c>
      <c r="F2570">
        <v>2021</v>
      </c>
      <c r="G2570" t="s">
        <v>338</v>
      </c>
      <c r="H2570" s="42" t="s">
        <v>1031</v>
      </c>
      <c r="J2570" t="s">
        <v>248</v>
      </c>
      <c r="K2570" t="s">
        <v>1032</v>
      </c>
      <c r="L2570" s="34">
        <v>1</v>
      </c>
      <c r="M2570" s="38">
        <v>0.75</v>
      </c>
      <c r="N2570" s="38">
        <f t="shared" si="40"/>
        <v>0.75</v>
      </c>
    </row>
    <row r="2571" spans="1:14">
      <c r="A2571" s="29">
        <v>44546</v>
      </c>
      <c r="B2571" s="22" t="s">
        <v>1030</v>
      </c>
      <c r="C2571" s="22" t="s">
        <v>695</v>
      </c>
      <c r="D2571" s="48" t="s">
        <v>5</v>
      </c>
      <c r="E2571" t="s">
        <v>310</v>
      </c>
      <c r="F2571">
        <v>2021</v>
      </c>
      <c r="G2571" t="s">
        <v>338</v>
      </c>
      <c r="H2571" s="42" t="s">
        <v>1031</v>
      </c>
      <c r="J2571" t="s">
        <v>248</v>
      </c>
      <c r="K2571" t="s">
        <v>1033</v>
      </c>
      <c r="L2571" s="34">
        <v>1</v>
      </c>
      <c r="M2571" s="38">
        <v>0.75</v>
      </c>
      <c r="N2571" s="38">
        <f t="shared" si="40"/>
        <v>0.75</v>
      </c>
    </row>
    <row r="2572" spans="1:14">
      <c r="A2572" s="29">
        <v>44546</v>
      </c>
      <c r="B2572" s="22" t="s">
        <v>1030</v>
      </c>
      <c r="C2572" s="22" t="s">
        <v>695</v>
      </c>
      <c r="D2572" s="48" t="s">
        <v>5</v>
      </c>
      <c r="E2572" t="s">
        <v>157</v>
      </c>
      <c r="F2572">
        <v>2021</v>
      </c>
      <c r="G2572" t="s">
        <v>326</v>
      </c>
      <c r="H2572" s="42" t="s">
        <v>753</v>
      </c>
      <c r="J2572" t="s">
        <v>248</v>
      </c>
      <c r="K2572" t="s">
        <v>1034</v>
      </c>
      <c r="L2572" s="34">
        <v>1</v>
      </c>
      <c r="M2572" s="38">
        <v>0.75</v>
      </c>
      <c r="N2572" s="38">
        <f t="shared" si="40"/>
        <v>0.75</v>
      </c>
    </row>
    <row r="2573" spans="1:14">
      <c r="A2573" s="29">
        <v>44546</v>
      </c>
      <c r="B2573" s="22" t="s">
        <v>1030</v>
      </c>
      <c r="C2573" s="22" t="s">
        <v>695</v>
      </c>
      <c r="D2573" s="48" t="s">
        <v>5</v>
      </c>
      <c r="E2573" t="s">
        <v>157</v>
      </c>
      <c r="F2573">
        <v>2021</v>
      </c>
      <c r="G2573" t="s">
        <v>326</v>
      </c>
      <c r="H2573" s="42" t="s">
        <v>753</v>
      </c>
      <c r="J2573" t="s">
        <v>248</v>
      </c>
      <c r="K2573" t="s">
        <v>1035</v>
      </c>
      <c r="L2573" s="34">
        <v>1</v>
      </c>
      <c r="M2573" s="38">
        <v>0.75</v>
      </c>
      <c r="N2573" s="38">
        <f t="shared" si="40"/>
        <v>0.75</v>
      </c>
    </row>
    <row r="2574" spans="1:14">
      <c r="A2574" s="29">
        <v>44546</v>
      </c>
      <c r="B2574" s="22" t="s">
        <v>1030</v>
      </c>
      <c r="C2574" s="22" t="s">
        <v>695</v>
      </c>
      <c r="D2574" s="48" t="s">
        <v>5</v>
      </c>
      <c r="E2574" t="s">
        <v>157</v>
      </c>
      <c r="F2574">
        <v>2021</v>
      </c>
      <c r="G2574" t="s">
        <v>57</v>
      </c>
      <c r="H2574" s="42" t="s">
        <v>57</v>
      </c>
      <c r="J2574" t="s">
        <v>248</v>
      </c>
      <c r="K2574" t="s">
        <v>1036</v>
      </c>
      <c r="L2574" s="34">
        <v>1</v>
      </c>
      <c r="M2574" s="38">
        <v>0.75</v>
      </c>
      <c r="N2574" s="38">
        <f t="shared" si="40"/>
        <v>0.75</v>
      </c>
    </row>
    <row r="2575" spans="1:14">
      <c r="A2575" s="29">
        <v>44546</v>
      </c>
      <c r="B2575" s="22" t="s">
        <v>1030</v>
      </c>
      <c r="C2575" s="22" t="s">
        <v>695</v>
      </c>
      <c r="D2575" s="48" t="s">
        <v>5</v>
      </c>
      <c r="E2575" t="s">
        <v>157</v>
      </c>
      <c r="F2575">
        <v>2021</v>
      </c>
      <c r="G2575" t="s">
        <v>57</v>
      </c>
      <c r="H2575" s="42" t="s">
        <v>57</v>
      </c>
      <c r="J2575" t="s">
        <v>248</v>
      </c>
      <c r="K2575" t="s">
        <v>1037</v>
      </c>
      <c r="L2575" s="34">
        <v>1</v>
      </c>
      <c r="M2575" s="38">
        <v>0.75</v>
      </c>
      <c r="N2575" s="38">
        <f t="shared" si="40"/>
        <v>0.75</v>
      </c>
    </row>
    <row r="2576" spans="1:14">
      <c r="A2576" s="29">
        <v>44550</v>
      </c>
      <c r="B2576" s="22" t="s">
        <v>109</v>
      </c>
      <c r="C2576" s="22" t="s">
        <v>57</v>
      </c>
      <c r="D2576" s="48" t="s">
        <v>5</v>
      </c>
      <c r="E2576" t="s">
        <v>1038</v>
      </c>
      <c r="F2576">
        <v>2021</v>
      </c>
      <c r="G2576" t="s">
        <v>57</v>
      </c>
      <c r="H2576" s="42" t="s">
        <v>1039</v>
      </c>
      <c r="J2576" t="s">
        <v>248</v>
      </c>
      <c r="K2576" t="s">
        <v>1040</v>
      </c>
      <c r="L2576" s="34">
        <v>1</v>
      </c>
      <c r="M2576" s="38">
        <v>0.75</v>
      </c>
      <c r="N2576" s="38">
        <f t="shared" si="40"/>
        <v>0.75</v>
      </c>
    </row>
    <row r="2577" spans="1:14">
      <c r="A2577" s="29">
        <v>44564</v>
      </c>
      <c r="B2577" s="22" t="s">
        <v>109</v>
      </c>
      <c r="C2577" s="22" t="s">
        <v>57</v>
      </c>
      <c r="D2577" s="48" t="s">
        <v>8</v>
      </c>
      <c r="E2577" t="s">
        <v>57</v>
      </c>
      <c r="F2577">
        <v>2021</v>
      </c>
      <c r="G2577" t="s">
        <v>502</v>
      </c>
      <c r="H2577" s="42" t="s">
        <v>763</v>
      </c>
      <c r="J2577" t="s">
        <v>248</v>
      </c>
      <c r="K2577" t="s">
        <v>57</v>
      </c>
      <c r="L2577" s="34">
        <v>3</v>
      </c>
      <c r="M2577" s="38">
        <v>0.75</v>
      </c>
      <c r="N2577" s="38">
        <f t="shared" si="40"/>
        <v>2.25</v>
      </c>
    </row>
    <row r="2578" spans="1:14">
      <c r="A2578" s="29">
        <v>44565</v>
      </c>
      <c r="B2578" s="22" t="s">
        <v>28</v>
      </c>
      <c r="C2578" s="22" t="s">
        <v>57</v>
      </c>
      <c r="D2578" s="48" t="s">
        <v>5</v>
      </c>
      <c r="E2578" t="s">
        <v>157</v>
      </c>
      <c r="F2578">
        <v>2021</v>
      </c>
      <c r="G2578" t="s">
        <v>247</v>
      </c>
      <c r="H2578" s="42" t="s">
        <v>1041</v>
      </c>
      <c r="J2578" t="s">
        <v>248</v>
      </c>
      <c r="K2578" t="s">
        <v>57</v>
      </c>
      <c r="L2578" s="34">
        <v>3</v>
      </c>
      <c r="M2578" s="38">
        <v>0.75</v>
      </c>
      <c r="N2578" s="38">
        <f t="shared" si="40"/>
        <v>2.25</v>
      </c>
    </row>
    <row r="2579" spans="1:14">
      <c r="A2579" s="29">
        <v>44565</v>
      </c>
      <c r="B2579" s="22" t="s">
        <v>28</v>
      </c>
      <c r="C2579" s="22" t="s">
        <v>57</v>
      </c>
      <c r="D2579" s="48" t="s">
        <v>5</v>
      </c>
      <c r="E2579" t="s">
        <v>159</v>
      </c>
      <c r="F2579">
        <v>2021</v>
      </c>
      <c r="G2579" t="s">
        <v>326</v>
      </c>
      <c r="H2579" s="42" t="s">
        <v>878</v>
      </c>
      <c r="J2579" t="s">
        <v>248</v>
      </c>
      <c r="K2579" t="s">
        <v>57</v>
      </c>
      <c r="L2579" s="34">
        <v>3</v>
      </c>
      <c r="M2579" s="38">
        <v>0.75</v>
      </c>
      <c r="N2579" s="38">
        <f t="shared" si="40"/>
        <v>2.25</v>
      </c>
    </row>
    <row r="2580" spans="1:14">
      <c r="A2580" s="29">
        <v>44565</v>
      </c>
      <c r="B2580" s="22" t="s">
        <v>63</v>
      </c>
      <c r="C2580" s="22" t="s">
        <v>57</v>
      </c>
      <c r="D2580" s="48" t="s">
        <v>5</v>
      </c>
      <c r="E2580" t="s">
        <v>157</v>
      </c>
      <c r="F2580">
        <v>2021</v>
      </c>
      <c r="G2580" t="s">
        <v>247</v>
      </c>
      <c r="H2580" s="42" t="s">
        <v>1041</v>
      </c>
      <c r="J2580" t="s">
        <v>248</v>
      </c>
      <c r="K2580" t="s">
        <v>57</v>
      </c>
      <c r="L2580" s="34">
        <v>2</v>
      </c>
      <c r="M2580" s="38">
        <v>0.75</v>
      </c>
      <c r="N2580" s="38">
        <f t="shared" si="40"/>
        <v>1.5</v>
      </c>
    </row>
    <row r="2581" spans="1:14">
      <c r="A2581" s="29">
        <v>44565</v>
      </c>
      <c r="B2581" s="22" t="s">
        <v>63</v>
      </c>
      <c r="C2581" s="22" t="s">
        <v>57</v>
      </c>
      <c r="D2581" s="48" t="s">
        <v>5</v>
      </c>
      <c r="E2581" t="s">
        <v>159</v>
      </c>
      <c r="F2581">
        <v>2021</v>
      </c>
      <c r="G2581" t="s">
        <v>326</v>
      </c>
      <c r="H2581" s="42" t="s">
        <v>878</v>
      </c>
      <c r="J2581" t="s">
        <v>248</v>
      </c>
      <c r="K2581" t="s">
        <v>57</v>
      </c>
      <c r="L2581" s="34">
        <v>2</v>
      </c>
      <c r="M2581" s="38">
        <v>0.75</v>
      </c>
      <c r="N2581" s="38">
        <f t="shared" si="40"/>
        <v>1.5</v>
      </c>
    </row>
    <row r="2582" spans="1:14">
      <c r="A2582" s="29">
        <v>44565</v>
      </c>
      <c r="B2582" s="22" t="s">
        <v>63</v>
      </c>
      <c r="C2582" s="22" t="s">
        <v>57</v>
      </c>
      <c r="D2582" s="48" t="s">
        <v>5</v>
      </c>
      <c r="E2582" t="s">
        <v>159</v>
      </c>
      <c r="F2582">
        <v>2021</v>
      </c>
      <c r="G2582" t="s">
        <v>247</v>
      </c>
      <c r="H2582" s="42" t="s">
        <v>785</v>
      </c>
      <c r="J2582" t="s">
        <v>248</v>
      </c>
      <c r="K2582" t="s">
        <v>57</v>
      </c>
      <c r="L2582" s="34">
        <v>2</v>
      </c>
      <c r="M2582" s="38">
        <v>0.75</v>
      </c>
      <c r="N2582" s="38">
        <f t="shared" si="40"/>
        <v>1.5</v>
      </c>
    </row>
    <row r="2583" spans="1:14">
      <c r="A2583" s="29">
        <v>44565</v>
      </c>
      <c r="B2583" s="22" t="s">
        <v>63</v>
      </c>
      <c r="C2583" s="22" t="s">
        <v>57</v>
      </c>
      <c r="D2583" s="48" t="s">
        <v>5</v>
      </c>
      <c r="E2583" t="s">
        <v>157</v>
      </c>
      <c r="F2583">
        <v>2021</v>
      </c>
      <c r="G2583" t="s">
        <v>326</v>
      </c>
      <c r="H2583" s="42" t="s">
        <v>1042</v>
      </c>
      <c r="J2583" t="s">
        <v>248</v>
      </c>
      <c r="K2583" t="s">
        <v>57</v>
      </c>
      <c r="L2583" s="34">
        <v>2</v>
      </c>
      <c r="M2583" s="38">
        <v>0.75</v>
      </c>
      <c r="N2583" s="38">
        <f t="shared" si="40"/>
        <v>1.5</v>
      </c>
    </row>
    <row r="2584" spans="1:14">
      <c r="A2584" s="29">
        <v>44568</v>
      </c>
      <c r="B2584" s="22" t="s">
        <v>1043</v>
      </c>
      <c r="C2584" s="22" t="s">
        <v>13</v>
      </c>
      <c r="D2584" s="48" t="s">
        <v>5</v>
      </c>
      <c r="E2584" t="s">
        <v>157</v>
      </c>
      <c r="F2584">
        <v>2021</v>
      </c>
      <c r="G2584" t="s">
        <v>326</v>
      </c>
      <c r="H2584" s="42" t="s">
        <v>1044</v>
      </c>
      <c r="J2584" t="s">
        <v>248</v>
      </c>
      <c r="K2584" t="s">
        <v>1045</v>
      </c>
      <c r="L2584" s="34">
        <v>3</v>
      </c>
      <c r="M2584" s="38">
        <v>0.75</v>
      </c>
      <c r="N2584" s="38">
        <f t="shared" si="40"/>
        <v>2.25</v>
      </c>
    </row>
    <row r="2585" spans="1:14">
      <c r="A2585" s="29">
        <v>44568</v>
      </c>
      <c r="B2585" s="22" t="s">
        <v>1043</v>
      </c>
      <c r="C2585" s="22" t="s">
        <v>13</v>
      </c>
      <c r="D2585" s="48" t="s">
        <v>5</v>
      </c>
      <c r="E2585" t="s">
        <v>157</v>
      </c>
      <c r="F2585">
        <v>2021</v>
      </c>
      <c r="G2585" t="s">
        <v>326</v>
      </c>
      <c r="H2585" s="42" t="s">
        <v>1046</v>
      </c>
      <c r="J2585" t="s">
        <v>248</v>
      </c>
      <c r="K2585" t="s">
        <v>1047</v>
      </c>
      <c r="L2585" s="34">
        <v>3</v>
      </c>
      <c r="M2585" s="38">
        <v>0.75</v>
      </c>
      <c r="N2585" s="38">
        <f t="shared" si="40"/>
        <v>2.25</v>
      </c>
    </row>
    <row r="2586" spans="1:14">
      <c r="A2586" s="29">
        <v>44568</v>
      </c>
      <c r="B2586" s="22" t="s">
        <v>1048</v>
      </c>
      <c r="C2586" s="22" t="s">
        <v>57</v>
      </c>
      <c r="D2586" s="48" t="s">
        <v>5</v>
      </c>
      <c r="E2586" t="s">
        <v>1038</v>
      </c>
      <c r="F2586">
        <v>2021</v>
      </c>
      <c r="G2586" t="s">
        <v>57</v>
      </c>
      <c r="H2586" s="42" t="s">
        <v>1049</v>
      </c>
      <c r="J2586" t="s">
        <v>248</v>
      </c>
      <c r="K2586" t="s">
        <v>1050</v>
      </c>
      <c r="L2586" s="34">
        <v>1</v>
      </c>
      <c r="M2586" s="38">
        <v>0.75</v>
      </c>
      <c r="N2586" s="38">
        <f t="shared" si="40"/>
        <v>0.75</v>
      </c>
    </row>
    <row r="2587" spans="1:14">
      <c r="A2587" s="29">
        <v>44571</v>
      </c>
      <c r="B2587" s="22" t="s">
        <v>1043</v>
      </c>
      <c r="C2587" s="22" t="s">
        <v>13</v>
      </c>
      <c r="D2587" s="48" t="s">
        <v>8</v>
      </c>
      <c r="E2587" t="s">
        <v>57</v>
      </c>
      <c r="F2587">
        <v>2021</v>
      </c>
      <c r="G2587" t="s">
        <v>1051</v>
      </c>
      <c r="H2587" s="42" t="s">
        <v>1052</v>
      </c>
      <c r="J2587" t="s">
        <v>248</v>
      </c>
      <c r="K2587" t="s">
        <v>1053</v>
      </c>
      <c r="L2587" s="34">
        <v>3</v>
      </c>
      <c r="M2587" s="38">
        <v>0.75</v>
      </c>
      <c r="N2587" s="38">
        <f t="shared" si="40"/>
        <v>2.25</v>
      </c>
    </row>
    <row r="2588" spans="1:14">
      <c r="A2588" s="29">
        <v>44571</v>
      </c>
      <c r="B2588" s="22" t="s">
        <v>1043</v>
      </c>
      <c r="C2588" s="22" t="s">
        <v>13</v>
      </c>
      <c r="D2588" s="48" t="s">
        <v>8</v>
      </c>
      <c r="E2588" t="s">
        <v>57</v>
      </c>
      <c r="F2588">
        <v>2021</v>
      </c>
      <c r="G2588" t="s">
        <v>1051</v>
      </c>
      <c r="H2588" s="42" t="s">
        <v>1052</v>
      </c>
      <c r="J2588" t="s">
        <v>248</v>
      </c>
      <c r="K2588" t="s">
        <v>1054</v>
      </c>
      <c r="L2588" s="34">
        <v>3</v>
      </c>
      <c r="M2588" s="38">
        <v>0.75</v>
      </c>
      <c r="N2588" s="38">
        <f t="shared" si="40"/>
        <v>2.25</v>
      </c>
    </row>
    <row r="2589" spans="1:14">
      <c r="A2589" s="29">
        <v>44571</v>
      </c>
      <c r="B2589" s="22" t="s">
        <v>1030</v>
      </c>
      <c r="C2589" s="22" t="s">
        <v>695</v>
      </c>
      <c r="D2589" s="48" t="s">
        <v>5</v>
      </c>
      <c r="E2589" t="s">
        <v>157</v>
      </c>
      <c r="F2589">
        <v>2021</v>
      </c>
      <c r="G2589" t="s">
        <v>326</v>
      </c>
      <c r="H2589" s="42" t="s">
        <v>753</v>
      </c>
      <c r="J2589" t="s">
        <v>248</v>
      </c>
      <c r="K2589" t="s">
        <v>1055</v>
      </c>
      <c r="L2589" s="34">
        <v>2</v>
      </c>
      <c r="M2589" s="38">
        <v>0.75</v>
      </c>
      <c r="N2589" s="38">
        <f t="shared" si="40"/>
        <v>1.5</v>
      </c>
    </row>
    <row r="2590" spans="1:14">
      <c r="A2590" s="29">
        <v>44571</v>
      </c>
      <c r="B2590" s="22" t="s">
        <v>1030</v>
      </c>
      <c r="C2590" s="22" t="s">
        <v>695</v>
      </c>
      <c r="D2590" s="48" t="s">
        <v>5</v>
      </c>
      <c r="E2590" t="s">
        <v>157</v>
      </c>
      <c r="F2590">
        <v>2021</v>
      </c>
      <c r="G2590" t="s">
        <v>326</v>
      </c>
      <c r="H2590" s="42" t="s">
        <v>753</v>
      </c>
      <c r="J2590" t="s">
        <v>248</v>
      </c>
      <c r="K2590" t="s">
        <v>1056</v>
      </c>
      <c r="L2590" s="34">
        <v>2</v>
      </c>
      <c r="M2590" s="38">
        <v>0.75</v>
      </c>
      <c r="N2590" s="38">
        <f t="shared" si="40"/>
        <v>1.5</v>
      </c>
    </row>
    <row r="2591" spans="1:14">
      <c r="A2591" s="29">
        <v>44572</v>
      </c>
      <c r="B2591" s="22" t="s">
        <v>109</v>
      </c>
      <c r="C2591" s="22" t="s">
        <v>57</v>
      </c>
      <c r="D2591" s="48" t="s">
        <v>5</v>
      </c>
      <c r="E2591" t="s">
        <v>262</v>
      </c>
      <c r="F2591">
        <v>2021</v>
      </c>
      <c r="G2591" t="s">
        <v>57</v>
      </c>
      <c r="H2591" s="42" t="s">
        <v>756</v>
      </c>
      <c r="J2591" t="s">
        <v>248</v>
      </c>
      <c r="L2591" s="34">
        <v>18</v>
      </c>
      <c r="M2591" s="38">
        <v>0.75</v>
      </c>
      <c r="N2591" s="38">
        <f t="shared" si="40"/>
        <v>13.5</v>
      </c>
    </row>
    <row r="2592" spans="1:14">
      <c r="A2592" s="29">
        <v>44572</v>
      </c>
      <c r="B2592" s="22" t="s">
        <v>109</v>
      </c>
      <c r="C2592" s="22" t="s">
        <v>57</v>
      </c>
      <c r="D2592" s="48" t="s">
        <v>8</v>
      </c>
      <c r="E2592" t="s">
        <v>57</v>
      </c>
      <c r="F2592">
        <v>2021</v>
      </c>
      <c r="G2592" t="s">
        <v>502</v>
      </c>
      <c r="H2592" s="42" t="s">
        <v>898</v>
      </c>
      <c r="J2592" t="s">
        <v>248</v>
      </c>
      <c r="L2592" s="34">
        <v>23</v>
      </c>
      <c r="M2592" s="38">
        <v>0.75</v>
      </c>
      <c r="N2592" s="38">
        <f t="shared" si="40"/>
        <v>17.25</v>
      </c>
    </row>
    <row r="2593" spans="1:14">
      <c r="A2593" s="29">
        <v>44572</v>
      </c>
      <c r="B2593" s="22" t="s">
        <v>109</v>
      </c>
      <c r="C2593" s="22" t="s">
        <v>57</v>
      </c>
      <c r="D2593" s="48" t="s">
        <v>5</v>
      </c>
      <c r="E2593" t="s">
        <v>157</v>
      </c>
      <c r="F2593">
        <v>2021</v>
      </c>
      <c r="G2593" t="s">
        <v>247</v>
      </c>
      <c r="H2593" s="42" t="s">
        <v>846</v>
      </c>
      <c r="J2593" t="s">
        <v>248</v>
      </c>
      <c r="L2593" s="34">
        <v>2</v>
      </c>
      <c r="M2593" s="38">
        <v>0.75</v>
      </c>
      <c r="N2593" s="38">
        <f t="shared" si="40"/>
        <v>1.5</v>
      </c>
    </row>
    <row r="2594" spans="1:14">
      <c r="A2594" s="29">
        <v>44573</v>
      </c>
      <c r="B2594" s="22" t="s">
        <v>1057</v>
      </c>
      <c r="C2594" s="22" t="s">
        <v>695</v>
      </c>
      <c r="D2594" s="48" t="s">
        <v>5</v>
      </c>
      <c r="E2594" t="s">
        <v>161</v>
      </c>
      <c r="F2594">
        <v>2021</v>
      </c>
      <c r="G2594" t="s">
        <v>57</v>
      </c>
      <c r="H2594" s="42" t="s">
        <v>861</v>
      </c>
      <c r="J2594" t="s">
        <v>248</v>
      </c>
      <c r="K2594" t="s">
        <v>1058</v>
      </c>
      <c r="L2594" s="34">
        <v>1</v>
      </c>
      <c r="M2594" s="38">
        <v>0.75</v>
      </c>
      <c r="N2594" s="38">
        <f t="shared" si="40"/>
        <v>0.75</v>
      </c>
    </row>
    <row r="2595" spans="1:14">
      <c r="A2595" s="29">
        <v>44573</v>
      </c>
      <c r="B2595" s="22" t="s">
        <v>1057</v>
      </c>
      <c r="C2595" s="22" t="s">
        <v>695</v>
      </c>
      <c r="D2595" s="48" t="s">
        <v>5</v>
      </c>
      <c r="E2595" t="s">
        <v>1059</v>
      </c>
      <c r="F2595">
        <v>2021</v>
      </c>
      <c r="G2595" t="s">
        <v>511</v>
      </c>
      <c r="H2595" s="42" t="s">
        <v>839</v>
      </c>
      <c r="J2595" t="s">
        <v>248</v>
      </c>
      <c r="K2595" t="s">
        <v>1058</v>
      </c>
      <c r="L2595" s="34">
        <v>1</v>
      </c>
      <c r="M2595" s="38">
        <v>0.75</v>
      </c>
      <c r="N2595" s="38">
        <f t="shared" si="40"/>
        <v>0.75</v>
      </c>
    </row>
    <row r="2596" spans="1:14">
      <c r="A2596" s="29">
        <v>44573</v>
      </c>
      <c r="B2596" s="22" t="s">
        <v>1057</v>
      </c>
      <c r="C2596" s="22" t="s">
        <v>695</v>
      </c>
      <c r="D2596" s="48" t="s">
        <v>5</v>
      </c>
      <c r="E2596" t="s">
        <v>701</v>
      </c>
      <c r="F2596">
        <v>2021</v>
      </c>
      <c r="G2596">
        <v>2</v>
      </c>
      <c r="H2596" s="42" t="s">
        <v>57</v>
      </c>
      <c r="J2596" t="s">
        <v>248</v>
      </c>
      <c r="K2596" t="s">
        <v>1060</v>
      </c>
      <c r="L2596" s="34">
        <v>1</v>
      </c>
      <c r="M2596" s="38">
        <v>0.75</v>
      </c>
      <c r="N2596" s="38">
        <f t="shared" si="40"/>
        <v>0.75</v>
      </c>
    </row>
    <row r="2597" spans="1:14">
      <c r="A2597" s="29">
        <v>44573</v>
      </c>
      <c r="B2597" s="22" t="s">
        <v>1057</v>
      </c>
      <c r="C2597" s="22" t="s">
        <v>695</v>
      </c>
      <c r="D2597" s="48" t="s">
        <v>5</v>
      </c>
      <c r="E2597" t="s">
        <v>657</v>
      </c>
      <c r="F2597">
        <v>2021</v>
      </c>
      <c r="G2597" t="s">
        <v>57</v>
      </c>
      <c r="H2597" s="42" t="s">
        <v>57</v>
      </c>
      <c r="J2597" t="s">
        <v>248</v>
      </c>
      <c r="K2597" t="s">
        <v>1061</v>
      </c>
      <c r="L2597" s="34">
        <v>1</v>
      </c>
      <c r="M2597" s="38">
        <v>0.75</v>
      </c>
      <c r="N2597" s="38">
        <f t="shared" si="40"/>
        <v>0.75</v>
      </c>
    </row>
    <row r="2598" spans="1:14">
      <c r="A2598" s="29">
        <v>44573</v>
      </c>
      <c r="B2598" s="22" t="s">
        <v>81</v>
      </c>
      <c r="C2598" s="22" t="s">
        <v>57</v>
      </c>
      <c r="D2598" s="48" t="s">
        <v>5</v>
      </c>
      <c r="E2598" t="s">
        <v>159</v>
      </c>
      <c r="F2598">
        <v>2021</v>
      </c>
      <c r="G2598" t="s">
        <v>253</v>
      </c>
      <c r="H2598" s="42" t="s">
        <v>785</v>
      </c>
      <c r="J2598" t="s">
        <v>248</v>
      </c>
      <c r="L2598" s="34">
        <v>8</v>
      </c>
      <c r="M2598" s="38">
        <v>0.75</v>
      </c>
      <c r="N2598" s="38">
        <f t="shared" si="40"/>
        <v>6</v>
      </c>
    </row>
    <row r="2599" spans="1:14">
      <c r="A2599" s="29">
        <v>44574</v>
      </c>
      <c r="B2599" s="22" t="s">
        <v>63</v>
      </c>
      <c r="C2599" s="22" t="s">
        <v>57</v>
      </c>
      <c r="D2599" s="48" t="s">
        <v>5</v>
      </c>
      <c r="E2599" t="s">
        <v>159</v>
      </c>
      <c r="F2599">
        <v>2021</v>
      </c>
      <c r="G2599" t="s">
        <v>253</v>
      </c>
      <c r="H2599" s="42" t="s">
        <v>785</v>
      </c>
      <c r="J2599" t="s">
        <v>248</v>
      </c>
      <c r="L2599" s="34">
        <v>2</v>
      </c>
      <c r="M2599" s="38">
        <v>0.75</v>
      </c>
      <c r="N2599" s="38">
        <f t="shared" si="40"/>
        <v>1.5</v>
      </c>
    </row>
    <row r="2600" spans="1:14">
      <c r="A2600" s="29">
        <v>44580</v>
      </c>
      <c r="B2600" s="22" t="s">
        <v>63</v>
      </c>
      <c r="C2600" s="22" t="s">
        <v>57</v>
      </c>
      <c r="D2600" s="48" t="s">
        <v>5</v>
      </c>
      <c r="E2600" t="s">
        <v>157</v>
      </c>
      <c r="F2600">
        <v>2021</v>
      </c>
      <c r="G2600" t="s">
        <v>247</v>
      </c>
      <c r="H2600" s="42" t="s">
        <v>874</v>
      </c>
      <c r="J2600" t="s">
        <v>248</v>
      </c>
      <c r="L2600" s="34">
        <v>10</v>
      </c>
      <c r="M2600" s="38">
        <v>0.75</v>
      </c>
      <c r="N2600" s="38">
        <f t="shared" si="40"/>
        <v>7.5</v>
      </c>
    </row>
    <row r="2601" spans="1:14">
      <c r="A2601" s="29">
        <v>44581</v>
      </c>
      <c r="B2601" s="22" t="s">
        <v>63</v>
      </c>
      <c r="C2601" s="22" t="s">
        <v>57</v>
      </c>
      <c r="D2601" s="48" t="s">
        <v>11</v>
      </c>
      <c r="E2601" t="s">
        <v>177</v>
      </c>
      <c r="F2601">
        <v>2021</v>
      </c>
      <c r="G2601" t="s">
        <v>618</v>
      </c>
      <c r="H2601" s="42" t="s">
        <v>853</v>
      </c>
      <c r="J2601" t="s">
        <v>248</v>
      </c>
      <c r="L2601" s="34">
        <v>2</v>
      </c>
      <c r="M2601" s="38">
        <v>0.75</v>
      </c>
      <c r="N2601" s="38">
        <f t="shared" si="40"/>
        <v>1.5</v>
      </c>
    </row>
    <row r="2602" spans="1:14">
      <c r="A2602" s="29">
        <v>44581</v>
      </c>
      <c r="B2602" s="22" t="s">
        <v>63</v>
      </c>
      <c r="C2602" s="22" t="s">
        <v>57</v>
      </c>
      <c r="D2602" s="48" t="s">
        <v>5</v>
      </c>
      <c r="E2602" t="s">
        <v>262</v>
      </c>
      <c r="F2602">
        <v>2021</v>
      </c>
      <c r="G2602" t="s">
        <v>307</v>
      </c>
      <c r="H2602" s="42" t="s">
        <v>860</v>
      </c>
      <c r="J2602" t="s">
        <v>248</v>
      </c>
      <c r="L2602" s="34">
        <v>6</v>
      </c>
      <c r="M2602" s="38">
        <v>0.75</v>
      </c>
      <c r="N2602" s="38">
        <f t="shared" si="40"/>
        <v>4.5</v>
      </c>
    </row>
    <row r="2603" spans="1:14">
      <c r="A2603" s="29">
        <v>44581</v>
      </c>
      <c r="B2603" s="22" t="s">
        <v>109</v>
      </c>
      <c r="C2603" s="22" t="s">
        <v>57</v>
      </c>
      <c r="D2603" s="48" t="s">
        <v>5</v>
      </c>
      <c r="E2603" t="s">
        <v>157</v>
      </c>
      <c r="F2603">
        <v>2021</v>
      </c>
      <c r="G2603" t="s">
        <v>247</v>
      </c>
      <c r="H2603" s="42" t="s">
        <v>874</v>
      </c>
      <c r="J2603" t="s">
        <v>248</v>
      </c>
      <c r="L2603" s="34">
        <v>4</v>
      </c>
      <c r="M2603" s="38">
        <v>0.75</v>
      </c>
      <c r="N2603" s="38">
        <f t="shared" si="40"/>
        <v>3</v>
      </c>
    </row>
    <row r="2604" spans="1:14">
      <c r="A2604" s="29">
        <v>44585</v>
      </c>
      <c r="B2604" s="22" t="s">
        <v>23</v>
      </c>
      <c r="C2604" s="22" t="s">
        <v>695</v>
      </c>
      <c r="D2604" s="48" t="s">
        <v>5</v>
      </c>
      <c r="E2604" t="s">
        <v>157</v>
      </c>
      <c r="F2604">
        <v>2021</v>
      </c>
      <c r="G2604" t="s">
        <v>257</v>
      </c>
      <c r="H2604" s="42" t="s">
        <v>814</v>
      </c>
      <c r="J2604" t="s">
        <v>248</v>
      </c>
      <c r="L2604" s="34">
        <v>1</v>
      </c>
      <c r="M2604" s="38">
        <v>0.75</v>
      </c>
      <c r="N2604" s="38">
        <f t="shared" si="40"/>
        <v>0.75</v>
      </c>
    </row>
    <row r="2605" spans="1:14">
      <c r="A2605" s="29">
        <v>44585</v>
      </c>
      <c r="B2605" s="22" t="s">
        <v>63</v>
      </c>
      <c r="C2605" s="22" t="s">
        <v>57</v>
      </c>
      <c r="D2605" s="48" t="s">
        <v>5</v>
      </c>
      <c r="E2605" t="s">
        <v>157</v>
      </c>
      <c r="F2605">
        <v>2021</v>
      </c>
      <c r="G2605" t="s">
        <v>326</v>
      </c>
      <c r="H2605" s="42" t="s">
        <v>753</v>
      </c>
      <c r="J2605" t="s">
        <v>248</v>
      </c>
      <c r="L2605" s="34">
        <v>4</v>
      </c>
      <c r="M2605" s="38">
        <v>0.75</v>
      </c>
      <c r="N2605" s="38">
        <f t="shared" si="40"/>
        <v>3</v>
      </c>
    </row>
    <row r="2606" spans="1:14">
      <c r="A2606" s="29">
        <v>44585</v>
      </c>
      <c r="B2606" s="22" t="s">
        <v>63</v>
      </c>
      <c r="C2606" s="22" t="s">
        <v>57</v>
      </c>
      <c r="D2606" s="48" t="s">
        <v>5</v>
      </c>
      <c r="E2606" t="s">
        <v>157</v>
      </c>
      <c r="F2606">
        <v>2020</v>
      </c>
      <c r="H2606" s="42" t="s">
        <v>914</v>
      </c>
      <c r="J2606" t="s">
        <v>248</v>
      </c>
      <c r="L2606" s="34">
        <v>2</v>
      </c>
      <c r="M2606" s="38">
        <v>0.75</v>
      </c>
      <c r="N2606" s="38">
        <f t="shared" si="40"/>
        <v>1.5</v>
      </c>
    </row>
    <row r="2607" spans="1:14">
      <c r="A2607" s="29">
        <v>44585</v>
      </c>
      <c r="B2607" s="22" t="s">
        <v>1062</v>
      </c>
      <c r="C2607" s="22" t="s">
        <v>695</v>
      </c>
      <c r="D2607" s="48" t="s">
        <v>5</v>
      </c>
      <c r="E2607" t="s">
        <v>157</v>
      </c>
      <c r="F2607">
        <v>2021</v>
      </c>
      <c r="G2607" t="s">
        <v>741</v>
      </c>
      <c r="H2607" s="42" t="s">
        <v>1016</v>
      </c>
      <c r="J2607" t="s">
        <v>248</v>
      </c>
      <c r="L2607" s="34">
        <v>1</v>
      </c>
      <c r="M2607" s="38">
        <v>0.75</v>
      </c>
      <c r="N2607" s="38">
        <f t="shared" si="40"/>
        <v>0.75</v>
      </c>
    </row>
    <row r="2608" spans="1:14">
      <c r="A2608" s="29">
        <v>44585</v>
      </c>
      <c r="B2608" s="22" t="s">
        <v>1062</v>
      </c>
      <c r="C2608" s="22" t="s">
        <v>695</v>
      </c>
      <c r="D2608" s="48" t="s">
        <v>8</v>
      </c>
      <c r="E2608" t="s">
        <v>180</v>
      </c>
      <c r="F2608">
        <v>2021</v>
      </c>
      <c r="G2608" t="s">
        <v>741</v>
      </c>
      <c r="H2608" s="42" t="s">
        <v>845</v>
      </c>
      <c r="J2608" t="s">
        <v>248</v>
      </c>
      <c r="L2608" s="34">
        <v>1</v>
      </c>
      <c r="M2608" s="38">
        <v>0.75</v>
      </c>
      <c r="N2608" s="38">
        <f t="shared" si="40"/>
        <v>0.75</v>
      </c>
    </row>
    <row r="2609" spans="1:14">
      <c r="A2609" s="29">
        <v>44585</v>
      </c>
      <c r="B2609" s="22" t="s">
        <v>1062</v>
      </c>
      <c r="C2609" s="22" t="s">
        <v>695</v>
      </c>
      <c r="D2609" s="48" t="s">
        <v>5</v>
      </c>
      <c r="E2609" t="s">
        <v>1063</v>
      </c>
      <c r="F2609">
        <v>2021</v>
      </c>
      <c r="G2609" t="s">
        <v>741</v>
      </c>
      <c r="H2609" s="42" t="s">
        <v>1064</v>
      </c>
      <c r="J2609" t="s">
        <v>248</v>
      </c>
      <c r="L2609" s="34">
        <v>1</v>
      </c>
      <c r="M2609" s="38">
        <v>0.75</v>
      </c>
      <c r="N2609" s="38">
        <f t="shared" si="40"/>
        <v>0.75</v>
      </c>
    </row>
    <row r="2610" spans="1:14">
      <c r="A2610" s="29">
        <v>44585</v>
      </c>
      <c r="B2610" s="22" t="s">
        <v>1062</v>
      </c>
      <c r="C2610" s="22" t="s">
        <v>695</v>
      </c>
      <c r="D2610" s="48" t="s">
        <v>11</v>
      </c>
      <c r="E2610" t="s">
        <v>179</v>
      </c>
      <c r="F2610">
        <v>2021</v>
      </c>
      <c r="G2610" t="s">
        <v>741</v>
      </c>
      <c r="H2610" s="42" t="s">
        <v>1065</v>
      </c>
      <c r="J2610" t="s">
        <v>248</v>
      </c>
      <c r="L2610" s="34">
        <v>1</v>
      </c>
      <c r="M2610" s="38">
        <v>0.75</v>
      </c>
      <c r="N2610" s="38">
        <f t="shared" si="40"/>
        <v>0.75</v>
      </c>
    </row>
    <row r="2611" spans="1:14">
      <c r="A2611" s="29">
        <v>44585</v>
      </c>
      <c r="B2611" s="22" t="s">
        <v>1062</v>
      </c>
      <c r="C2611" s="22" t="s">
        <v>695</v>
      </c>
      <c r="D2611" s="48" t="s">
        <v>5</v>
      </c>
      <c r="E2611" t="s">
        <v>310</v>
      </c>
      <c r="F2611">
        <v>2021</v>
      </c>
      <c r="G2611" t="s">
        <v>741</v>
      </c>
      <c r="H2611" s="42" t="s">
        <v>1066</v>
      </c>
      <c r="J2611" t="s">
        <v>248</v>
      </c>
      <c r="L2611" s="34">
        <v>1</v>
      </c>
      <c r="M2611" s="38">
        <v>0.75</v>
      </c>
      <c r="N2611" s="38">
        <f t="shared" si="40"/>
        <v>0.75</v>
      </c>
    </row>
    <row r="2612" spans="1:14">
      <c r="A2612" s="29">
        <v>44592</v>
      </c>
      <c r="B2612" s="22" t="s">
        <v>1043</v>
      </c>
      <c r="C2612" s="22" t="s">
        <v>57</v>
      </c>
      <c r="D2612" s="48" t="s">
        <v>5</v>
      </c>
      <c r="E2612" t="s">
        <v>157</v>
      </c>
      <c r="F2612">
        <v>2021</v>
      </c>
      <c r="H2612" s="42" t="s">
        <v>1067</v>
      </c>
      <c r="J2612" t="s">
        <v>248</v>
      </c>
      <c r="K2612" t="s">
        <v>1068</v>
      </c>
      <c r="L2612" s="34">
        <v>24</v>
      </c>
      <c r="M2612" s="38">
        <v>0.75</v>
      </c>
      <c r="N2612" s="38">
        <f t="shared" si="40"/>
        <v>18</v>
      </c>
    </row>
    <row r="2613" spans="1:14">
      <c r="A2613" s="29">
        <v>44592</v>
      </c>
      <c r="B2613" s="22" t="s">
        <v>63</v>
      </c>
      <c r="C2613" s="22" t="s">
        <v>57</v>
      </c>
      <c r="D2613" s="48" t="s">
        <v>5</v>
      </c>
      <c r="E2613" t="s">
        <v>157</v>
      </c>
      <c r="F2613">
        <v>2021</v>
      </c>
      <c r="G2613" t="s">
        <v>326</v>
      </c>
      <c r="H2613" s="42" t="s">
        <v>753</v>
      </c>
      <c r="J2613" t="s">
        <v>248</v>
      </c>
      <c r="L2613" s="34">
        <v>6</v>
      </c>
      <c r="M2613" s="38">
        <v>0.75</v>
      </c>
      <c r="N2613" s="38">
        <f t="shared" si="40"/>
        <v>4.5</v>
      </c>
    </row>
    <row r="2614" spans="1:14">
      <c r="A2614" s="29">
        <v>44592</v>
      </c>
      <c r="B2614" s="22" t="s">
        <v>63</v>
      </c>
      <c r="C2614" s="22" t="s">
        <v>57</v>
      </c>
      <c r="D2614" s="48" t="s">
        <v>5</v>
      </c>
      <c r="E2614" t="s">
        <v>157</v>
      </c>
      <c r="F2614">
        <v>2021</v>
      </c>
      <c r="G2614" t="s">
        <v>247</v>
      </c>
      <c r="H2614" s="42" t="s">
        <v>874</v>
      </c>
      <c r="J2614" t="s">
        <v>248</v>
      </c>
      <c r="L2614" s="34">
        <v>6</v>
      </c>
      <c r="M2614" s="38">
        <v>0.75</v>
      </c>
      <c r="N2614" s="38">
        <f t="shared" si="40"/>
        <v>4.5</v>
      </c>
    </row>
    <row r="2615" spans="1:14">
      <c r="A2615" s="29">
        <v>44592</v>
      </c>
      <c r="B2615" s="22" t="s">
        <v>63</v>
      </c>
      <c r="C2615" s="22" t="s">
        <v>57</v>
      </c>
      <c r="D2615" s="48" t="s">
        <v>5</v>
      </c>
      <c r="E2615" t="s">
        <v>159</v>
      </c>
      <c r="F2615">
        <v>2021</v>
      </c>
      <c r="G2615" t="s">
        <v>247</v>
      </c>
      <c r="H2615" s="42" t="s">
        <v>1069</v>
      </c>
      <c r="J2615" t="s">
        <v>248</v>
      </c>
      <c r="L2615" s="34">
        <v>1</v>
      </c>
      <c r="M2615" s="38">
        <v>0.75</v>
      </c>
      <c r="N2615" s="38">
        <f t="shared" si="40"/>
        <v>0.75</v>
      </c>
    </row>
    <row r="2616" spans="1:14">
      <c r="A2616" s="29">
        <v>44594</v>
      </c>
      <c r="B2616" s="22" t="s">
        <v>64</v>
      </c>
      <c r="C2616" s="22" t="s">
        <v>695</v>
      </c>
      <c r="D2616" s="48" t="s">
        <v>11</v>
      </c>
      <c r="E2616" t="s">
        <v>57</v>
      </c>
      <c r="F2616">
        <v>2021</v>
      </c>
      <c r="G2616" t="s">
        <v>1070</v>
      </c>
      <c r="H2616" s="42" t="s">
        <v>788</v>
      </c>
      <c r="J2616" t="s">
        <v>248</v>
      </c>
      <c r="L2616" s="34">
        <v>2</v>
      </c>
      <c r="M2616" s="38">
        <v>0.75</v>
      </c>
      <c r="N2616" s="38">
        <f t="shared" si="40"/>
        <v>1.5</v>
      </c>
    </row>
    <row r="2617" spans="1:14">
      <c r="A2617" s="29">
        <v>44596</v>
      </c>
      <c r="B2617" s="22" t="s">
        <v>109</v>
      </c>
      <c r="C2617" s="22" t="s">
        <v>57</v>
      </c>
      <c r="D2617" s="48" t="s">
        <v>5</v>
      </c>
      <c r="E2617" t="s">
        <v>262</v>
      </c>
      <c r="F2617">
        <v>2021</v>
      </c>
      <c r="G2617" t="s">
        <v>1018</v>
      </c>
      <c r="H2617" s="42" t="s">
        <v>752</v>
      </c>
      <c r="J2617" t="s">
        <v>248</v>
      </c>
      <c r="L2617" s="34">
        <v>6</v>
      </c>
      <c r="M2617" s="38">
        <v>0.75</v>
      </c>
      <c r="N2617" s="38">
        <f t="shared" si="40"/>
        <v>4.5</v>
      </c>
    </row>
    <row r="2618" spans="1:14">
      <c r="A2618" s="29">
        <v>44596</v>
      </c>
      <c r="B2618" s="22" t="s">
        <v>109</v>
      </c>
      <c r="C2618" s="22" t="s">
        <v>57</v>
      </c>
      <c r="D2618" s="48" t="s">
        <v>5</v>
      </c>
      <c r="E2618" t="s">
        <v>503</v>
      </c>
      <c r="F2618">
        <v>2021</v>
      </c>
      <c r="G2618" t="s">
        <v>57</v>
      </c>
      <c r="H2618" s="42" t="s">
        <v>1071</v>
      </c>
      <c r="J2618" t="s">
        <v>248</v>
      </c>
      <c r="L2618" s="34">
        <v>2</v>
      </c>
      <c r="M2618" s="38">
        <v>0.75</v>
      </c>
      <c r="N2618" s="38">
        <f t="shared" si="40"/>
        <v>1.5</v>
      </c>
    </row>
    <row r="2619" spans="1:14">
      <c r="A2619" s="29">
        <v>44599</v>
      </c>
      <c r="B2619" s="22" t="s">
        <v>1072</v>
      </c>
      <c r="C2619" s="22" t="s">
        <v>695</v>
      </c>
      <c r="D2619" s="48" t="s">
        <v>5</v>
      </c>
      <c r="E2619" t="s">
        <v>158</v>
      </c>
      <c r="F2619">
        <v>2021</v>
      </c>
      <c r="G2619" t="s">
        <v>338</v>
      </c>
      <c r="H2619" s="42" t="s">
        <v>1073</v>
      </c>
      <c r="J2619" t="s">
        <v>248</v>
      </c>
      <c r="K2619" t="s">
        <v>1074</v>
      </c>
      <c r="L2619" s="34">
        <v>1</v>
      </c>
      <c r="M2619" s="38">
        <v>0.75</v>
      </c>
      <c r="N2619" s="38">
        <f t="shared" si="40"/>
        <v>0.75</v>
      </c>
    </row>
    <row r="2620" spans="1:14">
      <c r="A2620" s="29">
        <v>44599</v>
      </c>
      <c r="B2620" s="22" t="s">
        <v>1072</v>
      </c>
      <c r="C2620" s="22" t="s">
        <v>695</v>
      </c>
      <c r="D2620" s="48" t="s">
        <v>5</v>
      </c>
      <c r="E2620" t="s">
        <v>1075</v>
      </c>
      <c r="F2620">
        <v>2021</v>
      </c>
      <c r="G2620" t="s">
        <v>338</v>
      </c>
      <c r="H2620" s="42" t="s">
        <v>1076</v>
      </c>
      <c r="J2620" t="s">
        <v>248</v>
      </c>
      <c r="K2620" t="s">
        <v>1077</v>
      </c>
      <c r="L2620" s="34">
        <v>1</v>
      </c>
      <c r="M2620" s="38">
        <v>0.75</v>
      </c>
      <c r="N2620" s="38">
        <f t="shared" si="40"/>
        <v>0.75</v>
      </c>
    </row>
    <row r="2621" spans="1:14">
      <c r="A2621" s="29">
        <v>44600</v>
      </c>
      <c r="B2621" s="22" t="s">
        <v>63</v>
      </c>
      <c r="C2621" s="22" t="s">
        <v>57</v>
      </c>
      <c r="D2621" s="48" t="s">
        <v>5</v>
      </c>
      <c r="E2621" t="s">
        <v>159</v>
      </c>
      <c r="F2621">
        <v>2021</v>
      </c>
      <c r="G2621" t="s">
        <v>252</v>
      </c>
      <c r="H2621" s="42" t="s">
        <v>1069</v>
      </c>
      <c r="J2621" t="s">
        <v>248</v>
      </c>
      <c r="L2621" s="34">
        <v>1</v>
      </c>
      <c r="M2621" s="38">
        <v>0.75</v>
      </c>
      <c r="N2621" s="38">
        <f t="shared" si="40"/>
        <v>0.75</v>
      </c>
    </row>
    <row r="2622" spans="1:14">
      <c r="A2622" s="29">
        <v>44601</v>
      </c>
      <c r="B2622" s="22" t="s">
        <v>13</v>
      </c>
      <c r="C2622" s="22" t="s">
        <v>57</v>
      </c>
      <c r="D2622" s="48" t="s">
        <v>5</v>
      </c>
      <c r="E2622" t="s">
        <v>157</v>
      </c>
      <c r="F2622">
        <v>2021</v>
      </c>
      <c r="G2622" t="s">
        <v>338</v>
      </c>
      <c r="H2622" s="42" t="s">
        <v>1016</v>
      </c>
      <c r="J2622" t="s">
        <v>248</v>
      </c>
      <c r="L2622" s="34">
        <v>1</v>
      </c>
      <c r="M2622" s="38">
        <v>0.75</v>
      </c>
      <c r="N2622" s="38">
        <f t="shared" si="40"/>
        <v>0.75</v>
      </c>
    </row>
    <row r="2623" spans="1:14">
      <c r="A2623" s="29">
        <v>44601</v>
      </c>
      <c r="B2623" s="22" t="s">
        <v>13</v>
      </c>
      <c r="C2623" s="22" t="s">
        <v>57</v>
      </c>
      <c r="D2623" s="48" t="s">
        <v>5</v>
      </c>
      <c r="E2623" t="s">
        <v>255</v>
      </c>
      <c r="F2623">
        <v>2021</v>
      </c>
      <c r="G2623" t="s">
        <v>338</v>
      </c>
      <c r="H2623" s="42" t="s">
        <v>1078</v>
      </c>
      <c r="J2623" t="s">
        <v>248</v>
      </c>
      <c r="L2623" s="34">
        <v>2</v>
      </c>
      <c r="M2623" s="38">
        <v>0.75</v>
      </c>
      <c r="N2623" s="38">
        <f t="shared" si="40"/>
        <v>1.5</v>
      </c>
    </row>
    <row r="2624" spans="1:14">
      <c r="A2624" s="29">
        <v>44601</v>
      </c>
      <c r="B2624" s="22" t="s">
        <v>13</v>
      </c>
      <c r="C2624" s="22" t="s">
        <v>57</v>
      </c>
      <c r="D2624" s="48" t="s">
        <v>8</v>
      </c>
      <c r="E2624" t="s">
        <v>57</v>
      </c>
      <c r="F2624">
        <v>2021</v>
      </c>
      <c r="G2624" t="s">
        <v>664</v>
      </c>
      <c r="H2624" s="42" t="s">
        <v>1079</v>
      </c>
      <c r="J2624" t="s">
        <v>248</v>
      </c>
      <c r="L2624" s="34">
        <v>1</v>
      </c>
      <c r="M2624" s="38">
        <v>0.75</v>
      </c>
      <c r="N2624" s="38">
        <f t="shared" si="40"/>
        <v>0.75</v>
      </c>
    </row>
    <row r="2625" spans="1:14">
      <c r="A2625" s="29">
        <v>44601</v>
      </c>
      <c r="B2625" s="22" t="s">
        <v>13</v>
      </c>
      <c r="C2625" s="22" t="s">
        <v>57</v>
      </c>
      <c r="D2625" s="48" t="s">
        <v>8</v>
      </c>
      <c r="E2625" t="s">
        <v>513</v>
      </c>
      <c r="F2625">
        <v>2021</v>
      </c>
      <c r="G2625" t="s">
        <v>338</v>
      </c>
      <c r="H2625" s="42" t="s">
        <v>1080</v>
      </c>
      <c r="J2625" t="s">
        <v>248</v>
      </c>
      <c r="L2625" s="34">
        <v>1</v>
      </c>
      <c r="M2625" s="38">
        <v>0.75</v>
      </c>
      <c r="N2625" s="38">
        <f t="shared" si="40"/>
        <v>0.75</v>
      </c>
    </row>
    <row r="2626" spans="1:14">
      <c r="A2626" s="29">
        <v>44601</v>
      </c>
      <c r="B2626" s="22" t="s">
        <v>13</v>
      </c>
      <c r="C2626" s="22" t="s">
        <v>57</v>
      </c>
      <c r="D2626" s="48" t="s">
        <v>11</v>
      </c>
      <c r="E2626" t="s">
        <v>180</v>
      </c>
      <c r="F2626">
        <v>2021</v>
      </c>
      <c r="G2626" t="s">
        <v>338</v>
      </c>
      <c r="H2626" s="42" t="s">
        <v>841</v>
      </c>
      <c r="J2626" t="s">
        <v>248</v>
      </c>
      <c r="L2626" s="34">
        <v>1</v>
      </c>
      <c r="M2626" s="38">
        <v>0.75</v>
      </c>
      <c r="N2626" s="38">
        <f t="shared" si="40"/>
        <v>0.75</v>
      </c>
    </row>
    <row r="2627" spans="1:14">
      <c r="A2627" s="29">
        <v>44601</v>
      </c>
      <c r="B2627" s="22" t="s">
        <v>13</v>
      </c>
      <c r="C2627" s="22" t="s">
        <v>57</v>
      </c>
      <c r="D2627" s="48" t="s">
        <v>11</v>
      </c>
      <c r="E2627" t="s">
        <v>179</v>
      </c>
      <c r="F2627">
        <v>2021</v>
      </c>
      <c r="G2627" t="s">
        <v>338</v>
      </c>
      <c r="H2627" s="42" t="s">
        <v>756</v>
      </c>
      <c r="J2627" t="s">
        <v>248</v>
      </c>
      <c r="L2627" s="34">
        <v>1</v>
      </c>
      <c r="M2627" s="38">
        <v>0.75</v>
      </c>
      <c r="N2627" s="38">
        <f t="shared" ref="N2627:N2668" si="41">M2627*L2627</f>
        <v>0.75</v>
      </c>
    </row>
    <row r="2628" spans="1:14">
      <c r="A2628" s="29">
        <v>44601</v>
      </c>
      <c r="B2628" s="22" t="s">
        <v>13</v>
      </c>
      <c r="C2628" s="22" t="s">
        <v>57</v>
      </c>
      <c r="D2628" s="48" t="s">
        <v>5</v>
      </c>
      <c r="E2628" t="s">
        <v>262</v>
      </c>
      <c r="F2628">
        <v>2021</v>
      </c>
      <c r="G2628" t="s">
        <v>338</v>
      </c>
      <c r="H2628" s="42" t="s">
        <v>1081</v>
      </c>
      <c r="J2628" t="s">
        <v>248</v>
      </c>
      <c r="L2628" s="34">
        <v>1</v>
      </c>
      <c r="M2628" s="38">
        <v>0.75</v>
      </c>
      <c r="N2628" s="38">
        <f t="shared" si="41"/>
        <v>0.75</v>
      </c>
    </row>
    <row r="2629" spans="1:14">
      <c r="A2629" s="29">
        <v>44602</v>
      </c>
      <c r="B2629" s="22" t="s">
        <v>23</v>
      </c>
      <c r="C2629" s="22" t="s">
        <v>695</v>
      </c>
      <c r="D2629" s="48" t="s">
        <v>5</v>
      </c>
      <c r="E2629" t="s">
        <v>157</v>
      </c>
      <c r="F2629">
        <v>2021</v>
      </c>
      <c r="G2629" t="s">
        <v>257</v>
      </c>
      <c r="H2629" s="42" t="s">
        <v>1082</v>
      </c>
      <c r="J2629" t="s">
        <v>248</v>
      </c>
      <c r="K2629" t="s">
        <v>1083</v>
      </c>
      <c r="L2629" s="34">
        <v>2</v>
      </c>
      <c r="M2629" s="38">
        <v>0.75</v>
      </c>
      <c r="N2629" s="38">
        <f t="shared" si="41"/>
        <v>1.5</v>
      </c>
    </row>
    <row r="2630" spans="1:14">
      <c r="A2630" s="29">
        <v>44613</v>
      </c>
      <c r="B2630" s="22" t="s">
        <v>63</v>
      </c>
      <c r="C2630" s="22" t="s">
        <v>57</v>
      </c>
      <c r="D2630" s="48" t="s">
        <v>8</v>
      </c>
      <c r="E2630" t="s">
        <v>57</v>
      </c>
      <c r="F2630">
        <v>2021</v>
      </c>
      <c r="G2630" t="s">
        <v>1084</v>
      </c>
      <c r="H2630" s="42" t="s">
        <v>837</v>
      </c>
      <c r="J2630" t="s">
        <v>248</v>
      </c>
      <c r="L2630" s="34">
        <v>2</v>
      </c>
      <c r="M2630" s="38">
        <v>0.75</v>
      </c>
      <c r="N2630" s="38">
        <f t="shared" si="41"/>
        <v>1.5</v>
      </c>
    </row>
    <row r="2631" spans="1:14">
      <c r="A2631" s="29">
        <v>44616</v>
      </c>
      <c r="B2631" s="22" t="s">
        <v>109</v>
      </c>
      <c r="C2631" s="22" t="s">
        <v>57</v>
      </c>
      <c r="D2631" s="48" t="s">
        <v>5</v>
      </c>
      <c r="E2631" t="s">
        <v>262</v>
      </c>
      <c r="F2631">
        <v>2021</v>
      </c>
      <c r="G2631" t="s">
        <v>1084</v>
      </c>
      <c r="H2631" s="42" t="s">
        <v>1085</v>
      </c>
      <c r="J2631" t="s">
        <v>248</v>
      </c>
      <c r="L2631" s="34">
        <v>2</v>
      </c>
      <c r="M2631" s="38">
        <v>0.75</v>
      </c>
      <c r="N2631" s="38">
        <f t="shared" si="41"/>
        <v>1.5</v>
      </c>
    </row>
    <row r="2632" spans="1:14">
      <c r="A2632" s="29">
        <v>44620</v>
      </c>
      <c r="B2632" s="22" t="s">
        <v>63</v>
      </c>
      <c r="C2632" s="22" t="s">
        <v>57</v>
      </c>
      <c r="D2632" s="48" t="s">
        <v>5</v>
      </c>
      <c r="E2632" t="s">
        <v>157</v>
      </c>
      <c r="F2632">
        <v>2021</v>
      </c>
      <c r="G2632" t="s">
        <v>326</v>
      </c>
      <c r="H2632" s="42" t="s">
        <v>860</v>
      </c>
      <c r="J2632" t="s">
        <v>248</v>
      </c>
      <c r="L2632" s="34">
        <v>2</v>
      </c>
      <c r="M2632" s="38">
        <v>0.75</v>
      </c>
      <c r="N2632" s="38">
        <f t="shared" si="41"/>
        <v>1.5</v>
      </c>
    </row>
    <row r="2633" spans="1:14">
      <c r="A2633" s="29">
        <v>44620</v>
      </c>
      <c r="B2633" s="22" t="s">
        <v>63</v>
      </c>
      <c r="C2633" s="22" t="s">
        <v>57</v>
      </c>
      <c r="D2633" s="48" t="s">
        <v>8</v>
      </c>
      <c r="E2633" t="s">
        <v>57</v>
      </c>
      <c r="F2633">
        <v>2021</v>
      </c>
      <c r="G2633" t="s">
        <v>1051</v>
      </c>
      <c r="H2633" s="42" t="s">
        <v>837</v>
      </c>
      <c r="J2633" t="s">
        <v>248</v>
      </c>
      <c r="L2633" s="34">
        <v>2</v>
      </c>
      <c r="M2633" s="38">
        <v>0.75</v>
      </c>
      <c r="N2633" s="38">
        <f t="shared" si="41"/>
        <v>1.5</v>
      </c>
    </row>
    <row r="2634" spans="1:14">
      <c r="A2634" s="29">
        <v>44621</v>
      </c>
      <c r="B2634" s="22" t="s">
        <v>60</v>
      </c>
      <c r="C2634" s="22" t="s">
        <v>57</v>
      </c>
      <c r="D2634" s="48" t="s">
        <v>11</v>
      </c>
      <c r="E2634" t="s">
        <v>1086</v>
      </c>
      <c r="F2634">
        <v>2021</v>
      </c>
      <c r="G2634" t="s">
        <v>618</v>
      </c>
      <c r="H2634" s="42" t="s">
        <v>853</v>
      </c>
      <c r="J2634" t="s">
        <v>248</v>
      </c>
      <c r="L2634" s="34">
        <v>2</v>
      </c>
      <c r="M2634" s="38">
        <v>0.75</v>
      </c>
      <c r="N2634" s="38">
        <f t="shared" si="41"/>
        <v>1.5</v>
      </c>
    </row>
    <row r="2635" spans="1:14">
      <c r="A2635" s="29">
        <v>44627</v>
      </c>
      <c r="B2635" s="22" t="s">
        <v>96</v>
      </c>
      <c r="C2635" s="22" t="s">
        <v>695</v>
      </c>
      <c r="D2635" s="48" t="s">
        <v>5</v>
      </c>
      <c r="E2635" t="s">
        <v>657</v>
      </c>
      <c r="F2635">
        <v>2021</v>
      </c>
      <c r="G2635" t="s">
        <v>57</v>
      </c>
      <c r="H2635" s="42" t="s">
        <v>1087</v>
      </c>
      <c r="J2635" t="s">
        <v>248</v>
      </c>
      <c r="K2635" t="s">
        <v>1088</v>
      </c>
      <c r="L2635" s="34">
        <v>1</v>
      </c>
      <c r="M2635" s="38">
        <v>0.75</v>
      </c>
      <c r="N2635" s="38">
        <f t="shared" si="41"/>
        <v>0.75</v>
      </c>
    </row>
    <row r="2636" spans="1:14">
      <c r="A2636" s="29">
        <v>44627</v>
      </c>
      <c r="B2636" s="22" t="s">
        <v>96</v>
      </c>
      <c r="C2636" s="22" t="s">
        <v>695</v>
      </c>
      <c r="D2636" s="48" t="s">
        <v>8</v>
      </c>
      <c r="E2636" t="s">
        <v>1089</v>
      </c>
      <c r="F2636">
        <v>2021</v>
      </c>
      <c r="G2636" t="s">
        <v>338</v>
      </c>
      <c r="H2636" s="42" t="s">
        <v>816</v>
      </c>
      <c r="J2636" t="s">
        <v>248</v>
      </c>
      <c r="L2636" s="34">
        <v>1</v>
      </c>
      <c r="M2636" s="38">
        <v>0.75</v>
      </c>
      <c r="N2636" s="38">
        <f t="shared" si="41"/>
        <v>0.75</v>
      </c>
    </row>
    <row r="2637" spans="1:14">
      <c r="A2637" s="29">
        <v>44627</v>
      </c>
      <c r="B2637" s="22" t="s">
        <v>96</v>
      </c>
      <c r="C2637" s="22" t="s">
        <v>695</v>
      </c>
      <c r="D2637" s="48" t="s">
        <v>11</v>
      </c>
      <c r="E2637" t="s">
        <v>179</v>
      </c>
      <c r="F2637">
        <v>2021</v>
      </c>
      <c r="G2637" t="s">
        <v>338</v>
      </c>
      <c r="H2637" s="42" t="s">
        <v>1090</v>
      </c>
      <c r="J2637" t="s">
        <v>248</v>
      </c>
      <c r="L2637" s="34">
        <v>1</v>
      </c>
      <c r="M2637" s="38">
        <v>0.75</v>
      </c>
      <c r="N2637" s="38">
        <f t="shared" si="41"/>
        <v>0.75</v>
      </c>
    </row>
    <row r="2638" spans="1:14">
      <c r="A2638" s="29">
        <v>44634</v>
      </c>
      <c r="B2638" s="22" t="s">
        <v>63</v>
      </c>
      <c r="C2638" s="22" t="s">
        <v>57</v>
      </c>
      <c r="D2638" s="48" t="s">
        <v>11</v>
      </c>
      <c r="E2638" t="s">
        <v>177</v>
      </c>
      <c r="F2638">
        <v>2021</v>
      </c>
      <c r="G2638" t="s">
        <v>618</v>
      </c>
      <c r="H2638" s="42" t="s">
        <v>1091</v>
      </c>
      <c r="J2638" t="s">
        <v>248</v>
      </c>
      <c r="K2638" t="s">
        <v>1092</v>
      </c>
      <c r="L2638" s="34">
        <v>2</v>
      </c>
      <c r="M2638" s="38">
        <v>0.75</v>
      </c>
      <c r="N2638" s="38">
        <f t="shared" si="41"/>
        <v>1.5</v>
      </c>
    </row>
    <row r="2639" spans="1:14">
      <c r="A2639" s="29">
        <v>44650</v>
      </c>
      <c r="B2639" s="22" t="s">
        <v>63</v>
      </c>
      <c r="C2639" s="22" t="s">
        <v>57</v>
      </c>
      <c r="D2639" s="48" t="s">
        <v>5</v>
      </c>
      <c r="E2639" t="s">
        <v>1018</v>
      </c>
      <c r="F2639">
        <v>2021</v>
      </c>
      <c r="G2639" t="s">
        <v>618</v>
      </c>
      <c r="H2639" s="42" t="s">
        <v>1085</v>
      </c>
      <c r="J2639" t="s">
        <v>248</v>
      </c>
      <c r="L2639" s="34">
        <v>1</v>
      </c>
      <c r="M2639" s="38">
        <v>0.75</v>
      </c>
      <c r="N2639" s="38">
        <f t="shared" si="41"/>
        <v>0.75</v>
      </c>
    </row>
    <row r="2640" spans="1:14">
      <c r="A2640" s="29">
        <v>44650</v>
      </c>
      <c r="B2640" s="22" t="s">
        <v>63</v>
      </c>
      <c r="C2640" s="22" t="s">
        <v>57</v>
      </c>
      <c r="D2640" s="48" t="s">
        <v>8</v>
      </c>
      <c r="E2640" t="s">
        <v>1018</v>
      </c>
      <c r="F2640">
        <v>2021</v>
      </c>
      <c r="G2640" t="s">
        <v>618</v>
      </c>
      <c r="H2640" s="42" t="s">
        <v>1093</v>
      </c>
      <c r="J2640" t="s">
        <v>248</v>
      </c>
      <c r="L2640" s="34">
        <v>1</v>
      </c>
      <c r="M2640" s="38">
        <v>0.75</v>
      </c>
      <c r="N2640" s="38">
        <f t="shared" si="41"/>
        <v>0.75</v>
      </c>
    </row>
    <row r="2641" spans="1:14">
      <c r="A2641" s="29">
        <v>44652</v>
      </c>
      <c r="B2641" s="22" t="s">
        <v>1030</v>
      </c>
      <c r="C2641" s="22" t="s">
        <v>695</v>
      </c>
      <c r="D2641" s="48" t="s">
        <v>5</v>
      </c>
      <c r="E2641" t="s">
        <v>657</v>
      </c>
      <c r="F2641">
        <v>2021</v>
      </c>
      <c r="G2641" t="s">
        <v>57</v>
      </c>
      <c r="H2641" s="42" t="s">
        <v>1094</v>
      </c>
      <c r="J2641" t="s">
        <v>248</v>
      </c>
      <c r="K2641" t="s">
        <v>1095</v>
      </c>
      <c r="L2641" s="34">
        <v>6</v>
      </c>
      <c r="M2641" s="38">
        <v>0.75</v>
      </c>
      <c r="N2641" s="38">
        <f t="shared" si="41"/>
        <v>4.5</v>
      </c>
    </row>
    <row r="2642" spans="1:14">
      <c r="A2642" s="29">
        <v>44652</v>
      </c>
      <c r="B2642" s="22" t="s">
        <v>1030</v>
      </c>
      <c r="C2642" s="22" t="s">
        <v>695</v>
      </c>
      <c r="D2642" s="48" t="s">
        <v>5</v>
      </c>
      <c r="E2642" t="s">
        <v>310</v>
      </c>
      <c r="F2642">
        <v>2021</v>
      </c>
      <c r="G2642" t="s">
        <v>57</v>
      </c>
      <c r="H2642" s="42" t="s">
        <v>1096</v>
      </c>
      <c r="J2642" t="s">
        <v>248</v>
      </c>
      <c r="K2642" t="s">
        <v>1097</v>
      </c>
      <c r="L2642" s="34">
        <v>6</v>
      </c>
      <c r="M2642" s="38">
        <v>0.75</v>
      </c>
      <c r="N2642" s="38">
        <f t="shared" si="41"/>
        <v>4.5</v>
      </c>
    </row>
    <row r="2643" spans="1:14">
      <c r="A2643" s="29">
        <v>44652</v>
      </c>
      <c r="B2643" s="22" t="s">
        <v>1030</v>
      </c>
      <c r="C2643" s="22" t="s">
        <v>695</v>
      </c>
      <c r="D2643" s="48" t="s">
        <v>5</v>
      </c>
      <c r="E2643" t="s">
        <v>657</v>
      </c>
      <c r="F2643">
        <v>2021</v>
      </c>
      <c r="G2643" t="s">
        <v>57</v>
      </c>
      <c r="H2643" s="42" t="s">
        <v>1094</v>
      </c>
      <c r="J2643" t="s">
        <v>248</v>
      </c>
      <c r="K2643" t="s">
        <v>1095</v>
      </c>
      <c r="L2643" s="34">
        <v>2</v>
      </c>
      <c r="M2643" s="38">
        <v>0.75</v>
      </c>
      <c r="N2643" s="38">
        <f t="shared" si="41"/>
        <v>1.5</v>
      </c>
    </row>
    <row r="2644" spans="1:14">
      <c r="A2644" s="29">
        <v>44652</v>
      </c>
      <c r="B2644" s="22" t="s">
        <v>109</v>
      </c>
      <c r="C2644" s="22" t="s">
        <v>57</v>
      </c>
      <c r="D2644" s="48" t="s">
        <v>5</v>
      </c>
      <c r="E2644" t="s">
        <v>1018</v>
      </c>
      <c r="F2644">
        <v>2021</v>
      </c>
      <c r="G2644" t="s">
        <v>618</v>
      </c>
      <c r="H2644" s="42" t="s">
        <v>1098</v>
      </c>
      <c r="J2644" t="s">
        <v>248</v>
      </c>
      <c r="L2644" s="34">
        <v>3</v>
      </c>
      <c r="M2644" s="38">
        <v>0.75</v>
      </c>
      <c r="N2644" s="38">
        <f t="shared" si="41"/>
        <v>2.25</v>
      </c>
    </row>
    <row r="2645" spans="1:14">
      <c r="A2645" s="29">
        <v>44652</v>
      </c>
      <c r="B2645" s="22" t="s">
        <v>109</v>
      </c>
      <c r="C2645" s="22" t="s">
        <v>57</v>
      </c>
      <c r="D2645" s="48" t="s">
        <v>5</v>
      </c>
      <c r="E2645" t="s">
        <v>1070</v>
      </c>
      <c r="F2645">
        <v>2021</v>
      </c>
      <c r="G2645" t="s">
        <v>618</v>
      </c>
      <c r="H2645" s="42" t="s">
        <v>756</v>
      </c>
      <c r="J2645" t="s">
        <v>248</v>
      </c>
      <c r="L2645" s="34">
        <v>1</v>
      </c>
      <c r="M2645" s="38">
        <v>0.75</v>
      </c>
      <c r="N2645" s="38">
        <f t="shared" si="41"/>
        <v>0.75</v>
      </c>
    </row>
    <row r="2646" spans="1:14">
      <c r="A2646" s="29">
        <v>44652</v>
      </c>
      <c r="B2646" s="22" t="s">
        <v>17</v>
      </c>
      <c r="C2646" s="22" t="s">
        <v>57</v>
      </c>
      <c r="D2646" s="48" t="s">
        <v>5</v>
      </c>
      <c r="E2646" t="s">
        <v>159</v>
      </c>
      <c r="F2646">
        <v>2021</v>
      </c>
      <c r="G2646" t="s">
        <v>247</v>
      </c>
      <c r="H2646" s="42" t="s">
        <v>791</v>
      </c>
      <c r="J2646" t="s">
        <v>248</v>
      </c>
      <c r="L2646" s="34">
        <v>2</v>
      </c>
      <c r="M2646" s="38">
        <v>0.75</v>
      </c>
      <c r="N2646" s="38">
        <f t="shared" si="41"/>
        <v>1.5</v>
      </c>
    </row>
    <row r="2647" spans="1:14">
      <c r="A2647" s="29">
        <v>44652</v>
      </c>
      <c r="B2647" s="22" t="s">
        <v>17</v>
      </c>
      <c r="C2647" s="22" t="s">
        <v>57</v>
      </c>
      <c r="D2647" s="48" t="s">
        <v>5</v>
      </c>
      <c r="E2647" t="s">
        <v>159</v>
      </c>
      <c r="F2647">
        <v>2021</v>
      </c>
      <c r="G2647" t="s">
        <v>326</v>
      </c>
      <c r="H2647" s="42" t="s">
        <v>874</v>
      </c>
      <c r="J2647" t="s">
        <v>248</v>
      </c>
      <c r="L2647" s="34">
        <v>2</v>
      </c>
      <c r="M2647" s="38">
        <v>0.75</v>
      </c>
      <c r="N2647" s="38">
        <f t="shared" si="41"/>
        <v>1.5</v>
      </c>
    </row>
    <row r="2648" spans="1:14">
      <c r="A2648" s="29">
        <v>44654</v>
      </c>
      <c r="B2648" s="22" t="s">
        <v>16</v>
      </c>
      <c r="C2648" s="22" t="s">
        <v>57</v>
      </c>
      <c r="D2648" s="48" t="s">
        <v>5</v>
      </c>
      <c r="E2648" t="s">
        <v>158</v>
      </c>
      <c r="F2648">
        <v>2022</v>
      </c>
      <c r="G2648" t="s">
        <v>618</v>
      </c>
      <c r="H2648" s="42" t="s">
        <v>788</v>
      </c>
      <c r="J2648" t="s">
        <v>248</v>
      </c>
      <c r="L2648" s="34">
        <v>2</v>
      </c>
      <c r="M2648" s="38">
        <v>0.75</v>
      </c>
      <c r="N2648" s="38">
        <f t="shared" si="41"/>
        <v>1.5</v>
      </c>
    </row>
    <row r="2649" spans="1:14">
      <c r="A2649" s="29">
        <v>44654</v>
      </c>
      <c r="B2649" s="22" t="s">
        <v>63</v>
      </c>
      <c r="C2649" s="22" t="s">
        <v>57</v>
      </c>
      <c r="D2649" s="48" t="s">
        <v>5</v>
      </c>
      <c r="E2649" t="s">
        <v>308</v>
      </c>
      <c r="F2649">
        <v>2022</v>
      </c>
      <c r="G2649" t="s">
        <v>618</v>
      </c>
      <c r="H2649" s="42" t="s">
        <v>1009</v>
      </c>
      <c r="J2649" t="s">
        <v>248</v>
      </c>
      <c r="K2649" t="s">
        <v>1099</v>
      </c>
      <c r="L2649" s="34">
        <v>2</v>
      </c>
      <c r="M2649" s="38">
        <v>0.75</v>
      </c>
      <c r="N2649" s="38">
        <f t="shared" si="41"/>
        <v>1.5</v>
      </c>
    </row>
    <row r="2650" spans="1:14">
      <c r="A2650" s="29">
        <v>44656</v>
      </c>
      <c r="B2650" s="22" t="s">
        <v>1100</v>
      </c>
      <c r="C2650" s="22" t="s">
        <v>695</v>
      </c>
      <c r="D2650" s="48" t="s">
        <v>5</v>
      </c>
      <c r="E2650" t="s">
        <v>657</v>
      </c>
      <c r="F2650">
        <v>2021</v>
      </c>
      <c r="G2650" t="s">
        <v>57</v>
      </c>
      <c r="H2650" s="42" t="s">
        <v>1101</v>
      </c>
      <c r="J2650" t="s">
        <v>248</v>
      </c>
      <c r="K2650" t="s">
        <v>1095</v>
      </c>
      <c r="L2650" s="34">
        <v>1</v>
      </c>
      <c r="M2650" s="38">
        <v>0.75</v>
      </c>
      <c r="N2650" s="38">
        <f t="shared" si="41"/>
        <v>0.75</v>
      </c>
    </row>
    <row r="2651" spans="1:14">
      <c r="A2651" s="29">
        <v>44657</v>
      </c>
      <c r="B2651" s="22" t="s">
        <v>37</v>
      </c>
      <c r="C2651" s="22" t="s">
        <v>57</v>
      </c>
      <c r="D2651" s="48" t="s">
        <v>8</v>
      </c>
      <c r="E2651" t="s">
        <v>1102</v>
      </c>
      <c r="F2651">
        <v>2021</v>
      </c>
      <c r="G2651" t="s">
        <v>57</v>
      </c>
      <c r="H2651" s="42" t="s">
        <v>756</v>
      </c>
      <c r="J2651" t="s">
        <v>248</v>
      </c>
      <c r="L2651" s="34">
        <v>1</v>
      </c>
      <c r="M2651" s="38">
        <v>0.75</v>
      </c>
      <c r="N2651" s="38">
        <f t="shared" si="41"/>
        <v>0.75</v>
      </c>
    </row>
    <row r="2652" spans="1:14">
      <c r="A2652" s="29">
        <v>44659</v>
      </c>
      <c r="B2652" s="22" t="s">
        <v>1103</v>
      </c>
      <c r="C2652" s="22" t="s">
        <v>695</v>
      </c>
      <c r="D2652" s="48" t="s">
        <v>11</v>
      </c>
      <c r="E2652" t="s">
        <v>805</v>
      </c>
      <c r="F2652">
        <v>2021</v>
      </c>
      <c r="G2652" t="s">
        <v>1104</v>
      </c>
      <c r="H2652" s="42" t="s">
        <v>1105</v>
      </c>
      <c r="J2652" t="s">
        <v>248</v>
      </c>
      <c r="K2652" t="s">
        <v>1106</v>
      </c>
      <c r="L2652" s="34">
        <v>3</v>
      </c>
      <c r="M2652" s="38">
        <v>0.75</v>
      </c>
      <c r="N2652" s="38">
        <f t="shared" si="41"/>
        <v>2.25</v>
      </c>
    </row>
    <row r="2653" spans="1:14">
      <c r="A2653" s="29">
        <v>44659</v>
      </c>
      <c r="B2653" s="22" t="s">
        <v>69</v>
      </c>
      <c r="C2653" s="22" t="s">
        <v>695</v>
      </c>
      <c r="D2653" s="48" t="s">
        <v>11</v>
      </c>
      <c r="E2653" t="s">
        <v>805</v>
      </c>
      <c r="F2653">
        <v>2021</v>
      </c>
      <c r="G2653" t="s">
        <v>1104</v>
      </c>
      <c r="H2653" s="42" t="s">
        <v>1105</v>
      </c>
      <c r="J2653" t="s">
        <v>248</v>
      </c>
      <c r="K2653" t="s">
        <v>1106</v>
      </c>
      <c r="L2653" s="34">
        <v>1</v>
      </c>
      <c r="M2653" s="38">
        <v>0.75</v>
      </c>
      <c r="N2653" s="38">
        <f t="shared" si="41"/>
        <v>0.75</v>
      </c>
    </row>
    <row r="2654" spans="1:14">
      <c r="A2654" s="29">
        <v>44659</v>
      </c>
      <c r="B2654" s="22" t="s">
        <v>69</v>
      </c>
      <c r="C2654" s="22" t="s">
        <v>695</v>
      </c>
      <c r="D2654" s="48" t="s">
        <v>11</v>
      </c>
      <c r="E2654" t="s">
        <v>805</v>
      </c>
      <c r="F2654">
        <v>2021</v>
      </c>
      <c r="G2654" t="s">
        <v>1107</v>
      </c>
      <c r="H2654" s="42" t="s">
        <v>1105</v>
      </c>
      <c r="J2654" t="s">
        <v>248</v>
      </c>
      <c r="K2654" t="s">
        <v>1108</v>
      </c>
      <c r="L2654" s="34">
        <v>1</v>
      </c>
      <c r="M2654" s="38">
        <v>0.75</v>
      </c>
      <c r="N2654" s="38">
        <f t="shared" si="41"/>
        <v>0.75</v>
      </c>
    </row>
    <row r="2655" spans="1:14">
      <c r="A2655" s="29">
        <v>44663</v>
      </c>
      <c r="B2655" s="22" t="s">
        <v>17</v>
      </c>
      <c r="C2655" s="22" t="s">
        <v>57</v>
      </c>
      <c r="D2655" s="48" t="s">
        <v>5</v>
      </c>
      <c r="E2655" t="s">
        <v>159</v>
      </c>
      <c r="F2655">
        <v>2021</v>
      </c>
      <c r="G2655" t="s">
        <v>247</v>
      </c>
      <c r="H2655" s="42" t="s">
        <v>844</v>
      </c>
      <c r="J2655" t="s">
        <v>248</v>
      </c>
      <c r="L2655" s="34">
        <v>12</v>
      </c>
      <c r="M2655" s="38">
        <v>0.75</v>
      </c>
      <c r="N2655" s="38">
        <f t="shared" si="41"/>
        <v>9</v>
      </c>
    </row>
    <row r="2656" spans="1:14">
      <c r="A2656" s="29">
        <v>44712</v>
      </c>
      <c r="B2656" s="22" t="s">
        <v>109</v>
      </c>
      <c r="C2656" s="22" t="s">
        <v>57</v>
      </c>
      <c r="D2656" s="48" t="s">
        <v>5</v>
      </c>
      <c r="E2656" t="s">
        <v>494</v>
      </c>
      <c r="F2656">
        <v>2021</v>
      </c>
      <c r="G2656" t="s">
        <v>494</v>
      </c>
      <c r="H2656" s="42" t="s">
        <v>860</v>
      </c>
      <c r="J2656" t="s">
        <v>248</v>
      </c>
      <c r="L2656" s="34">
        <v>4</v>
      </c>
      <c r="M2656" s="38">
        <v>0.75</v>
      </c>
      <c r="N2656" s="38">
        <f t="shared" si="41"/>
        <v>3</v>
      </c>
    </row>
    <row r="2657" spans="1:14">
      <c r="A2657" s="29">
        <v>44713</v>
      </c>
      <c r="B2657" s="22" t="s">
        <v>81</v>
      </c>
      <c r="C2657" s="22" t="s">
        <v>57</v>
      </c>
      <c r="D2657" s="48" t="s">
        <v>5</v>
      </c>
      <c r="E2657" t="s">
        <v>159</v>
      </c>
      <c r="F2657">
        <v>2021</v>
      </c>
      <c r="G2657" t="s">
        <v>247</v>
      </c>
      <c r="H2657" s="42" t="s">
        <v>1109</v>
      </c>
      <c r="J2657" t="s">
        <v>248</v>
      </c>
      <c r="L2657" s="34">
        <v>5</v>
      </c>
      <c r="M2657" s="38">
        <v>0.75</v>
      </c>
      <c r="N2657" s="38">
        <f t="shared" si="41"/>
        <v>3.75</v>
      </c>
    </row>
    <row r="2658" spans="1:14">
      <c r="A2658" s="29">
        <v>44714</v>
      </c>
      <c r="B2658" s="22" t="s">
        <v>17</v>
      </c>
      <c r="C2658" s="22" t="s">
        <v>57</v>
      </c>
      <c r="D2658" s="48" t="s">
        <v>5</v>
      </c>
      <c r="E2658" t="s">
        <v>159</v>
      </c>
      <c r="F2658">
        <v>2021</v>
      </c>
      <c r="G2658" t="s">
        <v>247</v>
      </c>
      <c r="H2658" s="42" t="s">
        <v>1109</v>
      </c>
      <c r="J2658" t="s">
        <v>248</v>
      </c>
      <c r="L2658" s="34">
        <v>4</v>
      </c>
      <c r="M2658" s="38">
        <v>0.75</v>
      </c>
      <c r="N2658" s="38">
        <f t="shared" si="41"/>
        <v>3</v>
      </c>
    </row>
    <row r="2659" spans="1:14">
      <c r="A2659" s="29">
        <v>44735</v>
      </c>
      <c r="B2659" s="22" t="s">
        <v>15</v>
      </c>
      <c r="C2659" s="22" t="s">
        <v>57</v>
      </c>
      <c r="D2659" s="48" t="s">
        <v>5</v>
      </c>
      <c r="E2659" t="s">
        <v>158</v>
      </c>
      <c r="F2659">
        <v>2021</v>
      </c>
      <c r="G2659" t="s">
        <v>158</v>
      </c>
      <c r="H2659" s="42" t="s">
        <v>1110</v>
      </c>
      <c r="J2659" t="s">
        <v>248</v>
      </c>
      <c r="L2659" s="34">
        <v>1</v>
      </c>
      <c r="M2659" s="38">
        <v>0.75</v>
      </c>
      <c r="N2659" s="38">
        <f t="shared" si="41"/>
        <v>0.75</v>
      </c>
    </row>
    <row r="2660" spans="1:14">
      <c r="A2660" s="29">
        <v>44735</v>
      </c>
      <c r="B2660" s="22" t="s">
        <v>15</v>
      </c>
      <c r="C2660" s="22" t="s">
        <v>57</v>
      </c>
      <c r="D2660" s="48" t="s">
        <v>8</v>
      </c>
      <c r="E2660" t="s">
        <v>272</v>
      </c>
      <c r="F2660">
        <v>2021</v>
      </c>
      <c r="G2660" t="s">
        <v>671</v>
      </c>
      <c r="H2660" s="42" t="s">
        <v>57</v>
      </c>
      <c r="J2660" t="s">
        <v>248</v>
      </c>
      <c r="K2660" t="s">
        <v>1111</v>
      </c>
      <c r="L2660" s="34">
        <v>1</v>
      </c>
      <c r="M2660" s="38">
        <v>0.75</v>
      </c>
      <c r="N2660" s="38">
        <f t="shared" si="41"/>
        <v>0.75</v>
      </c>
    </row>
    <row r="2661" spans="1:14">
      <c r="A2661" s="29">
        <v>44761</v>
      </c>
      <c r="B2661" s="22" t="s">
        <v>63</v>
      </c>
      <c r="C2661" s="22" t="s">
        <v>57</v>
      </c>
      <c r="D2661" s="48" t="s">
        <v>5</v>
      </c>
      <c r="E2661" t="s">
        <v>157</v>
      </c>
      <c r="F2661">
        <v>2021</v>
      </c>
      <c r="G2661" t="s">
        <v>247</v>
      </c>
      <c r="H2661" s="42" t="s">
        <v>1109</v>
      </c>
      <c r="J2661" t="s">
        <v>248</v>
      </c>
      <c r="L2661" s="34">
        <v>1</v>
      </c>
      <c r="M2661" s="38">
        <v>0.75</v>
      </c>
      <c r="N2661" s="38">
        <f t="shared" si="41"/>
        <v>0.75</v>
      </c>
    </row>
    <row r="2662" spans="1:14">
      <c r="A2662" s="29">
        <v>44762</v>
      </c>
      <c r="B2662" s="22" t="s">
        <v>17</v>
      </c>
      <c r="C2662" s="22" t="s">
        <v>57</v>
      </c>
      <c r="D2662" s="48" t="s">
        <v>5</v>
      </c>
      <c r="E2662" t="s">
        <v>159</v>
      </c>
      <c r="F2662">
        <v>2021</v>
      </c>
      <c r="G2662" t="s">
        <v>247</v>
      </c>
      <c r="H2662" s="42" t="s">
        <v>759</v>
      </c>
      <c r="J2662" t="s">
        <v>248</v>
      </c>
      <c r="L2662" s="34">
        <v>4</v>
      </c>
      <c r="M2662" s="38">
        <v>0.75</v>
      </c>
      <c r="N2662" s="38">
        <f t="shared" si="41"/>
        <v>3</v>
      </c>
    </row>
    <row r="2663" spans="1:14">
      <c r="A2663" s="29">
        <v>44783</v>
      </c>
      <c r="B2663" s="22" t="s">
        <v>109</v>
      </c>
      <c r="C2663" s="22" t="s">
        <v>57</v>
      </c>
      <c r="D2663" s="48" t="s">
        <v>5</v>
      </c>
      <c r="E2663" t="s">
        <v>494</v>
      </c>
      <c r="F2663">
        <v>2021</v>
      </c>
      <c r="G2663" t="s">
        <v>57</v>
      </c>
      <c r="H2663" s="42" t="s">
        <v>848</v>
      </c>
      <c r="J2663" t="s">
        <v>248</v>
      </c>
      <c r="L2663" s="34">
        <v>5</v>
      </c>
      <c r="M2663" s="38">
        <v>0.75</v>
      </c>
      <c r="N2663" s="38">
        <f t="shared" si="41"/>
        <v>3.75</v>
      </c>
    </row>
    <row r="2664" spans="1:14">
      <c r="A2664" s="29">
        <v>44834</v>
      </c>
      <c r="B2664" s="22" t="s">
        <v>19</v>
      </c>
      <c r="C2664" s="22" t="s">
        <v>47</v>
      </c>
      <c r="D2664" s="48" t="s">
        <v>5</v>
      </c>
      <c r="E2664" t="s">
        <v>161</v>
      </c>
      <c r="F2664">
        <v>2022</v>
      </c>
      <c r="G2664" t="s">
        <v>57</v>
      </c>
      <c r="H2664" s="42" t="s">
        <v>1112</v>
      </c>
      <c r="J2664" t="s">
        <v>248</v>
      </c>
      <c r="L2664" s="34">
        <v>3</v>
      </c>
      <c r="M2664" s="38">
        <v>0.75</v>
      </c>
      <c r="N2664" s="38">
        <f t="shared" si="41"/>
        <v>2.25</v>
      </c>
    </row>
    <row r="2665" spans="1:14">
      <c r="A2665" s="29">
        <v>44834</v>
      </c>
      <c r="B2665" s="22" t="s">
        <v>19</v>
      </c>
      <c r="C2665" s="22" t="s">
        <v>47</v>
      </c>
      <c r="D2665" s="48" t="s">
        <v>5</v>
      </c>
      <c r="E2665" t="s">
        <v>161</v>
      </c>
      <c r="F2665">
        <v>2022</v>
      </c>
      <c r="G2665" t="s">
        <v>57</v>
      </c>
      <c r="H2665" s="42" t="s">
        <v>1069</v>
      </c>
      <c r="J2665" t="s">
        <v>248</v>
      </c>
      <c r="L2665" s="34">
        <v>3</v>
      </c>
      <c r="M2665" s="38">
        <v>0.75</v>
      </c>
      <c r="N2665" s="38">
        <f t="shared" si="41"/>
        <v>2.25</v>
      </c>
    </row>
    <row r="2666" spans="1:14">
      <c r="A2666" s="29">
        <v>44834</v>
      </c>
      <c r="B2666" s="22" t="s">
        <v>19</v>
      </c>
      <c r="C2666" s="22" t="s">
        <v>47</v>
      </c>
      <c r="D2666" s="48" t="s">
        <v>5</v>
      </c>
      <c r="E2666" t="s">
        <v>255</v>
      </c>
      <c r="F2666">
        <v>2022</v>
      </c>
      <c r="G2666" t="s">
        <v>57</v>
      </c>
      <c r="H2666" s="42" t="s">
        <v>1110</v>
      </c>
      <c r="J2666" t="s">
        <v>248</v>
      </c>
      <c r="L2666" s="34">
        <v>3</v>
      </c>
      <c r="M2666" s="38">
        <v>0.75</v>
      </c>
      <c r="N2666" s="38">
        <f t="shared" si="41"/>
        <v>2.25</v>
      </c>
    </row>
    <row r="2667" spans="1:14">
      <c r="A2667" s="29">
        <v>44834</v>
      </c>
      <c r="B2667" s="22" t="s">
        <v>19</v>
      </c>
      <c r="C2667" s="22" t="s">
        <v>47</v>
      </c>
      <c r="D2667" s="48" t="s">
        <v>5</v>
      </c>
      <c r="E2667" t="s">
        <v>255</v>
      </c>
      <c r="F2667">
        <v>2022</v>
      </c>
      <c r="G2667" t="s">
        <v>57</v>
      </c>
      <c r="H2667" s="42" t="s">
        <v>788</v>
      </c>
      <c r="J2667" t="s">
        <v>248</v>
      </c>
      <c r="L2667" s="34">
        <v>3</v>
      </c>
      <c r="M2667" s="38">
        <v>0.75</v>
      </c>
      <c r="N2667" s="38">
        <f t="shared" si="41"/>
        <v>2.25</v>
      </c>
    </row>
    <row r="2668" spans="1:14">
      <c r="A2668" s="29">
        <v>44992</v>
      </c>
      <c r="B2668" s="22" t="s">
        <v>1113</v>
      </c>
      <c r="C2668" s="22" t="s">
        <v>57</v>
      </c>
      <c r="D2668" s="48" t="s">
        <v>8</v>
      </c>
      <c r="E2668" t="s">
        <v>679</v>
      </c>
      <c r="F2668">
        <v>2022</v>
      </c>
      <c r="G2668" t="s">
        <v>57</v>
      </c>
      <c r="H2668" s="42" t="s">
        <v>878</v>
      </c>
      <c r="J2668" t="s">
        <v>248</v>
      </c>
      <c r="K2668" t="s">
        <v>1114</v>
      </c>
      <c r="L2668" s="34">
        <v>2</v>
      </c>
      <c r="M2668" s="38">
        <v>0.75</v>
      </c>
      <c r="N2668" s="38">
        <f t="shared" si="41"/>
        <v>1.5</v>
      </c>
    </row>
    <row r="2669" spans="1:14">
      <c r="A2669" s="29">
        <v>44992</v>
      </c>
      <c r="B2669" s="22" t="s">
        <v>1113</v>
      </c>
      <c r="C2669" s="22" t="s">
        <v>57</v>
      </c>
      <c r="D2669" s="48" t="s">
        <v>5</v>
      </c>
      <c r="E2669" t="s">
        <v>157</v>
      </c>
      <c r="F2669">
        <v>2022</v>
      </c>
      <c r="G2669" t="s">
        <v>57</v>
      </c>
      <c r="H2669" s="42" t="s">
        <v>1115</v>
      </c>
      <c r="J2669" t="s">
        <v>248</v>
      </c>
      <c r="K2669" t="s">
        <v>1116</v>
      </c>
      <c r="L2669" s="34"/>
      <c r="M2669" s="38"/>
      <c r="N2669" s="38"/>
    </row>
    <row r="2670" spans="1:14">
      <c r="A2670" s="29">
        <v>44994</v>
      </c>
      <c r="B2670" s="22" t="s">
        <v>1117</v>
      </c>
      <c r="C2670" s="22" t="s">
        <v>57</v>
      </c>
      <c r="D2670" s="48" t="s">
        <v>5</v>
      </c>
      <c r="E2670" t="s">
        <v>306</v>
      </c>
      <c r="F2670">
        <v>2022</v>
      </c>
      <c r="G2670" t="s">
        <v>57</v>
      </c>
      <c r="H2670" s="42" t="s">
        <v>914</v>
      </c>
      <c r="J2670" t="s">
        <v>248</v>
      </c>
      <c r="K2670" t="s">
        <v>1118</v>
      </c>
      <c r="L2670" s="34">
        <v>1</v>
      </c>
      <c r="M2670" s="38">
        <v>0.75</v>
      </c>
      <c r="N2670" s="38">
        <f>M2670*L2670</f>
        <v>0.75</v>
      </c>
    </row>
    <row r="2671" spans="1:14">
      <c r="A2671" s="29">
        <v>44994</v>
      </c>
      <c r="B2671" s="22" t="s">
        <v>1117</v>
      </c>
      <c r="C2671" s="22" t="s">
        <v>57</v>
      </c>
      <c r="D2671" s="48" t="s">
        <v>11</v>
      </c>
      <c r="E2671" t="s">
        <v>1119</v>
      </c>
      <c r="F2671">
        <v>2022</v>
      </c>
      <c r="G2671" t="s">
        <v>57</v>
      </c>
      <c r="H2671" s="42" t="s">
        <v>1120</v>
      </c>
      <c r="J2671" t="s">
        <v>248</v>
      </c>
      <c r="K2671" t="s">
        <v>1121</v>
      </c>
      <c r="L2671" s="34">
        <v>1</v>
      </c>
      <c r="M2671" s="38">
        <v>0.75</v>
      </c>
      <c r="N2671" s="38">
        <f>M2672*L2672</f>
        <v>1.5</v>
      </c>
    </row>
    <row r="2672" spans="1:14">
      <c r="A2672" s="29">
        <v>44998</v>
      </c>
      <c r="B2672" s="22" t="s">
        <v>60</v>
      </c>
      <c r="C2672" s="22" t="s">
        <v>57</v>
      </c>
      <c r="D2672" s="48" t="s">
        <v>11</v>
      </c>
      <c r="E2672" t="s">
        <v>1086</v>
      </c>
      <c r="F2672">
        <v>2022</v>
      </c>
      <c r="G2672" t="s">
        <v>618</v>
      </c>
      <c r="H2672" s="42" t="s">
        <v>761</v>
      </c>
      <c r="J2672" t="s">
        <v>248</v>
      </c>
      <c r="L2672" s="34">
        <v>2</v>
      </c>
      <c r="M2672" s="38">
        <v>0.75</v>
      </c>
      <c r="N2672" s="38">
        <f>M2673*L2673</f>
        <v>0.75</v>
      </c>
    </row>
    <row r="2673" spans="1:14">
      <c r="A2673" s="29">
        <v>44998</v>
      </c>
      <c r="B2673" s="22" t="s">
        <v>60</v>
      </c>
      <c r="C2673" s="22" t="s">
        <v>57</v>
      </c>
      <c r="D2673" s="48" t="s">
        <v>11</v>
      </c>
      <c r="E2673" t="s">
        <v>1086</v>
      </c>
      <c r="F2673">
        <v>2022</v>
      </c>
      <c r="G2673" t="s">
        <v>618</v>
      </c>
      <c r="H2673" s="42" t="s">
        <v>1122</v>
      </c>
      <c r="J2673" t="s">
        <v>248</v>
      </c>
      <c r="K2673" t="s">
        <v>1123</v>
      </c>
      <c r="L2673" s="34">
        <v>1</v>
      </c>
      <c r="M2673" s="38">
        <v>0.75</v>
      </c>
      <c r="N2673" s="38">
        <f>M2674*L2674</f>
        <v>0.75</v>
      </c>
    </row>
    <row r="2674" spans="1:14">
      <c r="A2674" s="29">
        <v>44998</v>
      </c>
      <c r="B2674" s="22" t="s">
        <v>60</v>
      </c>
      <c r="C2674" s="22" t="s">
        <v>57</v>
      </c>
      <c r="D2674" s="48" t="s">
        <v>11</v>
      </c>
      <c r="E2674" t="s">
        <v>1086</v>
      </c>
      <c r="F2674">
        <v>2022</v>
      </c>
      <c r="G2674" t="s">
        <v>618</v>
      </c>
      <c r="H2674" s="42" t="s">
        <v>1124</v>
      </c>
      <c r="J2674" t="s">
        <v>248</v>
      </c>
      <c r="K2674" t="s">
        <v>1125</v>
      </c>
      <c r="L2674" s="34">
        <v>1</v>
      </c>
      <c r="M2674" s="38">
        <v>0.75</v>
      </c>
      <c r="N2674" s="38">
        <f t="shared" ref="N2674:N2737" si="42">M2674*L2674</f>
        <v>0.75</v>
      </c>
    </row>
    <row r="2675" spans="1:14">
      <c r="A2675" s="29">
        <v>44998</v>
      </c>
      <c r="B2675" s="22" t="s">
        <v>63</v>
      </c>
      <c r="C2675" s="22" t="s">
        <v>57</v>
      </c>
      <c r="D2675" s="48" t="s">
        <v>5</v>
      </c>
      <c r="E2675" t="s">
        <v>164</v>
      </c>
      <c r="F2675">
        <v>2022</v>
      </c>
      <c r="G2675" t="s">
        <v>618</v>
      </c>
      <c r="H2675" s="42" t="s">
        <v>804</v>
      </c>
      <c r="J2675" t="s">
        <v>248</v>
      </c>
      <c r="L2675" s="34">
        <v>3</v>
      </c>
      <c r="M2675" s="38">
        <v>0.75</v>
      </c>
      <c r="N2675" s="38">
        <f t="shared" si="42"/>
        <v>2.25</v>
      </c>
    </row>
    <row r="2676" spans="1:14">
      <c r="A2676" s="29">
        <v>44998</v>
      </c>
      <c r="B2676" s="22" t="s">
        <v>63</v>
      </c>
      <c r="C2676" s="22" t="s">
        <v>57</v>
      </c>
      <c r="D2676" s="48" t="s">
        <v>5</v>
      </c>
      <c r="E2676" t="s">
        <v>262</v>
      </c>
      <c r="F2676">
        <v>2022</v>
      </c>
      <c r="G2676" t="s">
        <v>618</v>
      </c>
      <c r="H2676" s="42" t="s">
        <v>933</v>
      </c>
      <c r="J2676" t="s">
        <v>248</v>
      </c>
      <c r="K2676" t="s">
        <v>1126</v>
      </c>
      <c r="L2676" s="34">
        <v>3</v>
      </c>
      <c r="M2676" s="38">
        <v>0.75</v>
      </c>
      <c r="N2676" s="38">
        <f t="shared" si="42"/>
        <v>2.25</v>
      </c>
    </row>
    <row r="2677" spans="1:14">
      <c r="A2677" s="29">
        <v>44998</v>
      </c>
      <c r="B2677" s="22" t="s">
        <v>63</v>
      </c>
      <c r="C2677" s="22" t="s">
        <v>57</v>
      </c>
      <c r="D2677" s="48" t="s">
        <v>5</v>
      </c>
      <c r="E2677" t="s">
        <v>159</v>
      </c>
      <c r="F2677">
        <v>2022</v>
      </c>
      <c r="G2677" t="s">
        <v>326</v>
      </c>
      <c r="H2677" s="42" t="s">
        <v>742</v>
      </c>
      <c r="J2677" t="s">
        <v>248</v>
      </c>
      <c r="L2677" s="34">
        <v>3</v>
      </c>
      <c r="M2677" s="38">
        <v>0.75</v>
      </c>
      <c r="N2677" s="38">
        <f t="shared" si="42"/>
        <v>2.25</v>
      </c>
    </row>
    <row r="2678" spans="1:14">
      <c r="A2678" s="29">
        <v>44998</v>
      </c>
      <c r="B2678" s="22" t="s">
        <v>63</v>
      </c>
      <c r="C2678" s="22" t="s">
        <v>57</v>
      </c>
      <c r="D2678" s="48" t="s">
        <v>11</v>
      </c>
      <c r="E2678" t="s">
        <v>1086</v>
      </c>
      <c r="F2678">
        <v>2022</v>
      </c>
      <c r="G2678" t="s">
        <v>618</v>
      </c>
      <c r="H2678" s="42" t="s">
        <v>855</v>
      </c>
      <c r="J2678" t="s">
        <v>248</v>
      </c>
      <c r="L2678" s="34">
        <v>2</v>
      </c>
      <c r="M2678" s="38">
        <v>0.75</v>
      </c>
      <c r="N2678" s="38">
        <f t="shared" si="42"/>
        <v>1.5</v>
      </c>
    </row>
    <row r="2679" spans="1:14">
      <c r="A2679" s="29">
        <v>45005</v>
      </c>
      <c r="B2679" s="22" t="s">
        <v>9</v>
      </c>
      <c r="C2679" s="22" t="s">
        <v>57</v>
      </c>
      <c r="D2679" s="48" t="s">
        <v>5</v>
      </c>
      <c r="E2679" t="s">
        <v>158</v>
      </c>
      <c r="F2679">
        <v>2022</v>
      </c>
      <c r="G2679" t="s">
        <v>1127</v>
      </c>
      <c r="H2679" s="42" t="s">
        <v>843</v>
      </c>
      <c r="J2679" t="s">
        <v>248</v>
      </c>
      <c r="L2679" s="34">
        <v>2</v>
      </c>
      <c r="M2679" s="38">
        <v>0.75</v>
      </c>
      <c r="N2679" s="38">
        <f t="shared" si="42"/>
        <v>1.5</v>
      </c>
    </row>
    <row r="2680" spans="1:14">
      <c r="A2680" s="29">
        <v>45005</v>
      </c>
      <c r="B2680" s="22" t="s">
        <v>9</v>
      </c>
      <c r="C2680" s="22" t="s">
        <v>57</v>
      </c>
      <c r="D2680" s="48" t="s">
        <v>5</v>
      </c>
      <c r="E2680" t="s">
        <v>158</v>
      </c>
      <c r="F2680">
        <v>2022</v>
      </c>
      <c r="G2680" t="s">
        <v>618</v>
      </c>
      <c r="H2680" s="42" t="s">
        <v>788</v>
      </c>
      <c r="J2680" t="s">
        <v>248</v>
      </c>
      <c r="L2680" s="34">
        <v>2</v>
      </c>
      <c r="M2680" s="38">
        <v>0.75</v>
      </c>
      <c r="N2680" s="38">
        <f t="shared" si="42"/>
        <v>1.5</v>
      </c>
    </row>
    <row r="2681" spans="1:14">
      <c r="A2681" s="29">
        <v>45006</v>
      </c>
      <c r="B2681" s="22" t="s">
        <v>79</v>
      </c>
      <c r="C2681" s="22" t="s">
        <v>57</v>
      </c>
      <c r="D2681" s="48" t="s">
        <v>11</v>
      </c>
      <c r="E2681" t="s">
        <v>1128</v>
      </c>
      <c r="F2681">
        <v>2022</v>
      </c>
      <c r="G2681" t="s">
        <v>618</v>
      </c>
      <c r="H2681" s="42" t="s">
        <v>1129</v>
      </c>
      <c r="J2681" t="s">
        <v>248</v>
      </c>
      <c r="L2681" s="34">
        <v>2</v>
      </c>
      <c r="M2681" s="38">
        <v>0.75</v>
      </c>
      <c r="N2681" s="38">
        <f t="shared" si="42"/>
        <v>1.5</v>
      </c>
    </row>
    <row r="2682" spans="1:14">
      <c r="A2682" s="29">
        <v>45006</v>
      </c>
      <c r="B2682" s="22" t="s">
        <v>79</v>
      </c>
      <c r="C2682" s="22" t="s">
        <v>57</v>
      </c>
      <c r="D2682" s="48" t="s">
        <v>11</v>
      </c>
      <c r="E2682" t="s">
        <v>1128</v>
      </c>
      <c r="F2682">
        <v>2022</v>
      </c>
      <c r="G2682" t="s">
        <v>618</v>
      </c>
      <c r="H2682" s="42" t="s">
        <v>802</v>
      </c>
      <c r="J2682" t="s">
        <v>248</v>
      </c>
      <c r="L2682" s="34">
        <v>2</v>
      </c>
      <c r="M2682" s="38">
        <v>0.75</v>
      </c>
      <c r="N2682" s="38">
        <f t="shared" si="42"/>
        <v>1.5</v>
      </c>
    </row>
    <row r="2683" spans="1:14">
      <c r="A2683" s="29">
        <v>45006</v>
      </c>
      <c r="B2683" s="22" t="s">
        <v>79</v>
      </c>
      <c r="C2683" s="22" t="s">
        <v>57</v>
      </c>
      <c r="D2683" s="48" t="s">
        <v>11</v>
      </c>
      <c r="E2683" t="s">
        <v>180</v>
      </c>
      <c r="F2683">
        <v>2022</v>
      </c>
      <c r="G2683" t="s">
        <v>618</v>
      </c>
      <c r="H2683" s="42" t="s">
        <v>853</v>
      </c>
      <c r="J2683" t="s">
        <v>248</v>
      </c>
      <c r="L2683" s="34">
        <v>2</v>
      </c>
      <c r="M2683" s="38">
        <v>0.75</v>
      </c>
      <c r="N2683" s="38">
        <f t="shared" si="42"/>
        <v>1.5</v>
      </c>
    </row>
    <row r="2684" spans="1:14">
      <c r="A2684" s="29">
        <v>45009</v>
      </c>
      <c r="B2684" s="22" t="s">
        <v>17</v>
      </c>
      <c r="C2684" s="22" t="s">
        <v>57</v>
      </c>
      <c r="D2684" s="48" t="s">
        <v>5</v>
      </c>
      <c r="E2684" t="s">
        <v>157</v>
      </c>
      <c r="F2684">
        <v>2022</v>
      </c>
      <c r="G2684" t="s">
        <v>326</v>
      </c>
      <c r="H2684" s="42" t="s">
        <v>809</v>
      </c>
      <c r="J2684" t="s">
        <v>248</v>
      </c>
      <c r="L2684" s="34">
        <v>4</v>
      </c>
      <c r="M2684" s="38">
        <v>0.75</v>
      </c>
      <c r="N2684" s="38">
        <f t="shared" si="42"/>
        <v>3</v>
      </c>
    </row>
    <row r="2685" spans="1:14">
      <c r="A2685" s="29">
        <v>45012</v>
      </c>
      <c r="B2685" s="22" t="s">
        <v>57</v>
      </c>
      <c r="C2685" s="22" t="s">
        <v>24</v>
      </c>
      <c r="D2685" s="48" t="s">
        <v>8</v>
      </c>
      <c r="E2685" t="s">
        <v>1130</v>
      </c>
      <c r="F2685">
        <v>2022</v>
      </c>
      <c r="G2685" t="s">
        <v>618</v>
      </c>
      <c r="H2685" s="42" t="s">
        <v>1131</v>
      </c>
      <c r="J2685" t="s">
        <v>248</v>
      </c>
      <c r="K2685" t="s">
        <v>1132</v>
      </c>
      <c r="L2685" s="34">
        <v>2</v>
      </c>
      <c r="M2685" s="38">
        <v>0.75</v>
      </c>
      <c r="N2685" s="38">
        <f t="shared" si="42"/>
        <v>1.5</v>
      </c>
    </row>
    <row r="2686" spans="1:14">
      <c r="A2686" s="29">
        <v>45012</v>
      </c>
      <c r="B2686" s="22" t="s">
        <v>57</v>
      </c>
      <c r="C2686" s="22" t="s">
        <v>24</v>
      </c>
      <c r="D2686" s="48" t="s">
        <v>8</v>
      </c>
      <c r="E2686" t="s">
        <v>186</v>
      </c>
      <c r="F2686">
        <v>2022</v>
      </c>
      <c r="G2686" t="s">
        <v>618</v>
      </c>
      <c r="H2686" s="42" t="s">
        <v>784</v>
      </c>
      <c r="J2686" t="s">
        <v>248</v>
      </c>
      <c r="L2686" s="34">
        <v>2</v>
      </c>
      <c r="M2686" s="38">
        <v>0.75</v>
      </c>
      <c r="N2686" s="38">
        <f t="shared" si="42"/>
        <v>1.5</v>
      </c>
    </row>
    <row r="2687" spans="1:14">
      <c r="A2687" s="29">
        <v>45012</v>
      </c>
      <c r="B2687" s="22" t="s">
        <v>57</v>
      </c>
      <c r="C2687" s="22" t="s">
        <v>24</v>
      </c>
      <c r="D2687" s="48" t="s">
        <v>11</v>
      </c>
      <c r="E2687" t="s">
        <v>1128</v>
      </c>
      <c r="F2687">
        <v>2022</v>
      </c>
      <c r="G2687" t="s">
        <v>618</v>
      </c>
      <c r="H2687" s="42" t="s">
        <v>759</v>
      </c>
      <c r="J2687" t="s">
        <v>248</v>
      </c>
      <c r="K2687" t="s">
        <v>1133</v>
      </c>
      <c r="L2687" s="34">
        <v>2</v>
      </c>
      <c r="M2687" s="38">
        <v>0.75</v>
      </c>
      <c r="N2687" s="38">
        <f t="shared" si="42"/>
        <v>1.5</v>
      </c>
    </row>
    <row r="2688" spans="1:14">
      <c r="A2688" s="29">
        <v>45012</v>
      </c>
      <c r="B2688" s="22" t="s">
        <v>3</v>
      </c>
      <c r="C2688" s="22" t="s">
        <v>57</v>
      </c>
      <c r="D2688" s="48" t="s">
        <v>8</v>
      </c>
      <c r="E2688" t="s">
        <v>180</v>
      </c>
      <c r="F2688">
        <v>2022</v>
      </c>
      <c r="G2688" t="s">
        <v>618</v>
      </c>
      <c r="H2688" s="42" t="s">
        <v>1071</v>
      </c>
      <c r="J2688" t="s">
        <v>248</v>
      </c>
      <c r="L2688" s="34">
        <v>2</v>
      </c>
      <c r="M2688" s="38">
        <v>0.75</v>
      </c>
      <c r="N2688" s="38">
        <f t="shared" si="42"/>
        <v>1.5</v>
      </c>
    </row>
    <row r="2689" spans="1:14">
      <c r="A2689" s="29">
        <v>45012</v>
      </c>
      <c r="B2689" s="22" t="s">
        <v>3</v>
      </c>
      <c r="C2689" s="22" t="s">
        <v>57</v>
      </c>
      <c r="D2689" s="48" t="s">
        <v>8</v>
      </c>
      <c r="E2689" t="s">
        <v>1134</v>
      </c>
      <c r="F2689">
        <v>2022</v>
      </c>
      <c r="G2689" t="s">
        <v>618</v>
      </c>
      <c r="H2689" s="42" t="s">
        <v>1131</v>
      </c>
      <c r="J2689" t="s">
        <v>248</v>
      </c>
      <c r="K2689" t="s">
        <v>1135</v>
      </c>
      <c r="L2689" s="34">
        <v>2</v>
      </c>
      <c r="M2689" s="38">
        <v>0.75</v>
      </c>
      <c r="N2689" s="38">
        <f t="shared" si="42"/>
        <v>1.5</v>
      </c>
    </row>
    <row r="2690" spans="1:14">
      <c r="A2690" s="29">
        <v>45012</v>
      </c>
      <c r="B2690" s="22" t="s">
        <v>3</v>
      </c>
      <c r="C2690" s="22" t="s">
        <v>57</v>
      </c>
      <c r="D2690" s="48" t="s">
        <v>8</v>
      </c>
      <c r="E2690" t="s">
        <v>186</v>
      </c>
      <c r="F2690">
        <v>2022</v>
      </c>
      <c r="G2690" t="s">
        <v>618</v>
      </c>
      <c r="H2690" s="42" t="s">
        <v>784</v>
      </c>
      <c r="J2690" t="s">
        <v>248</v>
      </c>
      <c r="K2690" t="s">
        <v>1136</v>
      </c>
      <c r="L2690" s="34">
        <v>2</v>
      </c>
      <c r="M2690" s="38">
        <v>0.75</v>
      </c>
      <c r="N2690" s="38">
        <f t="shared" si="42"/>
        <v>1.5</v>
      </c>
    </row>
    <row r="2691" spans="1:14">
      <c r="A2691" s="29">
        <v>45012</v>
      </c>
      <c r="B2691" s="22" t="s">
        <v>3</v>
      </c>
      <c r="C2691" s="22" t="s">
        <v>57</v>
      </c>
      <c r="D2691" s="48" t="s">
        <v>8</v>
      </c>
      <c r="E2691" t="s">
        <v>1137</v>
      </c>
      <c r="F2691">
        <v>2022</v>
      </c>
      <c r="G2691" t="s">
        <v>618</v>
      </c>
      <c r="H2691" s="42" t="s">
        <v>1138</v>
      </c>
      <c r="J2691" t="s">
        <v>248</v>
      </c>
      <c r="K2691" t="s">
        <v>1139</v>
      </c>
      <c r="L2691" s="34">
        <v>2</v>
      </c>
      <c r="M2691" s="38">
        <v>0.75</v>
      </c>
      <c r="N2691" s="38">
        <f t="shared" si="42"/>
        <v>1.5</v>
      </c>
    </row>
    <row r="2692" spans="1:14">
      <c r="A2692" s="29">
        <v>45012</v>
      </c>
      <c r="B2692" s="22" t="s">
        <v>1140</v>
      </c>
      <c r="C2692" s="22" t="s">
        <v>1141</v>
      </c>
      <c r="D2692" s="48" t="s">
        <v>5</v>
      </c>
      <c r="E2692" t="s">
        <v>159</v>
      </c>
      <c r="F2692">
        <v>2023</v>
      </c>
      <c r="G2692" t="s">
        <v>319</v>
      </c>
      <c r="H2692" s="42" t="s">
        <v>1142</v>
      </c>
      <c r="J2692" t="s">
        <v>248</v>
      </c>
      <c r="K2692" t="s">
        <v>1143</v>
      </c>
      <c r="L2692" s="34">
        <v>2</v>
      </c>
      <c r="M2692" s="38">
        <v>0.75</v>
      </c>
      <c r="N2692" s="38">
        <f t="shared" si="42"/>
        <v>1.5</v>
      </c>
    </row>
    <row r="2693" spans="1:14">
      <c r="A2693" s="29">
        <v>45016</v>
      </c>
      <c r="B2693" s="22" t="s">
        <v>1144</v>
      </c>
      <c r="C2693" s="22" t="s">
        <v>57</v>
      </c>
      <c r="D2693" s="48" t="s">
        <v>11</v>
      </c>
      <c r="E2693" t="s">
        <v>1086</v>
      </c>
      <c r="F2693">
        <v>2022</v>
      </c>
      <c r="G2693" t="s">
        <v>338</v>
      </c>
      <c r="H2693" s="42" t="s">
        <v>1145</v>
      </c>
      <c r="J2693" t="s">
        <v>248</v>
      </c>
      <c r="K2693" t="s">
        <v>1146</v>
      </c>
      <c r="L2693" s="34">
        <v>4</v>
      </c>
      <c r="M2693" s="38">
        <v>0.75</v>
      </c>
      <c r="N2693" s="38">
        <f t="shared" si="42"/>
        <v>3</v>
      </c>
    </row>
    <row r="2694" spans="1:14">
      <c r="A2694" s="29">
        <v>45016</v>
      </c>
      <c r="B2694" s="22" t="s">
        <v>79</v>
      </c>
      <c r="C2694" s="22" t="s">
        <v>57</v>
      </c>
      <c r="D2694" s="48" t="s">
        <v>11</v>
      </c>
      <c r="E2694" t="s">
        <v>180</v>
      </c>
      <c r="F2694">
        <v>2022</v>
      </c>
      <c r="G2694" t="s">
        <v>618</v>
      </c>
      <c r="H2694" s="42" t="s">
        <v>1147</v>
      </c>
      <c r="J2694" t="s">
        <v>248</v>
      </c>
      <c r="L2694" s="34">
        <v>2</v>
      </c>
      <c r="M2694" s="38">
        <v>0.75</v>
      </c>
      <c r="N2694" s="38">
        <f t="shared" si="42"/>
        <v>1.5</v>
      </c>
    </row>
    <row r="2695" spans="1:14">
      <c r="A2695" s="29">
        <v>45016</v>
      </c>
      <c r="B2695" s="22" t="s">
        <v>96</v>
      </c>
      <c r="C2695" s="22" t="s">
        <v>57</v>
      </c>
      <c r="D2695" s="48" t="s">
        <v>5</v>
      </c>
      <c r="E2695" t="s">
        <v>157</v>
      </c>
      <c r="F2695">
        <v>2022</v>
      </c>
      <c r="G2695" t="s">
        <v>247</v>
      </c>
      <c r="H2695" s="46" t="s">
        <v>860</v>
      </c>
      <c r="I2695" s="18"/>
      <c r="J2695" s="18" t="s">
        <v>965</v>
      </c>
      <c r="L2695" s="34">
        <v>2</v>
      </c>
      <c r="M2695" s="38">
        <v>0.75</v>
      </c>
      <c r="N2695" s="38">
        <f t="shared" si="42"/>
        <v>1.5</v>
      </c>
    </row>
    <row r="2696" spans="1:14">
      <c r="A2696" s="29">
        <v>45016</v>
      </c>
      <c r="B2696" s="22" t="s">
        <v>96</v>
      </c>
      <c r="C2696" s="22" t="s">
        <v>57</v>
      </c>
      <c r="D2696" s="48" t="s">
        <v>8</v>
      </c>
      <c r="E2696" t="s">
        <v>1148</v>
      </c>
      <c r="F2696">
        <v>2022</v>
      </c>
      <c r="G2696" t="s">
        <v>618</v>
      </c>
      <c r="H2696" s="42" t="s">
        <v>1041</v>
      </c>
      <c r="J2696" t="s">
        <v>965</v>
      </c>
      <c r="K2696" t="s">
        <v>1149</v>
      </c>
      <c r="L2696" s="34">
        <v>2</v>
      </c>
      <c r="M2696" s="38">
        <v>0.75</v>
      </c>
      <c r="N2696" s="38">
        <f t="shared" si="42"/>
        <v>1.5</v>
      </c>
    </row>
    <row r="2697" spans="1:14">
      <c r="A2697" s="29">
        <v>45016</v>
      </c>
      <c r="B2697" s="22" t="s">
        <v>96</v>
      </c>
      <c r="C2697" s="22" t="s">
        <v>57</v>
      </c>
      <c r="D2697" s="48" t="s">
        <v>5</v>
      </c>
      <c r="E2697" t="s">
        <v>159</v>
      </c>
      <c r="F2697">
        <v>2022</v>
      </c>
      <c r="G2697" t="s">
        <v>247</v>
      </c>
      <c r="H2697" s="42" t="s">
        <v>779</v>
      </c>
      <c r="J2697" t="s">
        <v>965</v>
      </c>
      <c r="L2697" s="34">
        <v>2</v>
      </c>
      <c r="M2697" s="38">
        <v>0.75</v>
      </c>
      <c r="N2697" s="38">
        <f t="shared" si="42"/>
        <v>1.5</v>
      </c>
    </row>
    <row r="2698" spans="1:14">
      <c r="A2698" s="29">
        <v>45016</v>
      </c>
      <c r="B2698" s="22" t="s">
        <v>96</v>
      </c>
      <c r="C2698" s="22" t="s">
        <v>57</v>
      </c>
      <c r="D2698" s="48" t="s">
        <v>5</v>
      </c>
      <c r="E2698" t="s">
        <v>159</v>
      </c>
      <c r="F2698">
        <v>2022</v>
      </c>
      <c r="G2698" t="s">
        <v>326</v>
      </c>
      <c r="H2698" s="42" t="s">
        <v>742</v>
      </c>
      <c r="J2698" t="s">
        <v>965</v>
      </c>
      <c r="L2698" s="34">
        <v>2</v>
      </c>
      <c r="M2698" s="38">
        <v>0.75</v>
      </c>
      <c r="N2698" s="38">
        <f t="shared" si="42"/>
        <v>1.5</v>
      </c>
    </row>
    <row r="2699" spans="1:14">
      <c r="A2699" s="29">
        <v>45019</v>
      </c>
      <c r="B2699" s="22" t="s">
        <v>16</v>
      </c>
      <c r="C2699" s="22" t="s">
        <v>57</v>
      </c>
      <c r="D2699" s="48" t="s">
        <v>5</v>
      </c>
      <c r="E2699" t="s">
        <v>158</v>
      </c>
      <c r="F2699">
        <v>2022</v>
      </c>
      <c r="G2699" t="s">
        <v>618</v>
      </c>
      <c r="H2699" s="42" t="s">
        <v>843</v>
      </c>
      <c r="J2699" t="s">
        <v>248</v>
      </c>
      <c r="L2699" s="34">
        <v>2</v>
      </c>
      <c r="M2699" s="38">
        <v>0.75</v>
      </c>
      <c r="N2699" s="38">
        <f t="shared" si="42"/>
        <v>1.5</v>
      </c>
    </row>
    <row r="2700" spans="1:14">
      <c r="A2700" s="29">
        <v>45020</v>
      </c>
      <c r="B2700" s="22" t="s">
        <v>1150</v>
      </c>
      <c r="C2700" s="22" t="s">
        <v>57</v>
      </c>
      <c r="D2700" s="48" t="s">
        <v>5</v>
      </c>
      <c r="E2700" t="s">
        <v>157</v>
      </c>
      <c r="F2700">
        <v>2022</v>
      </c>
      <c r="G2700" t="s">
        <v>326</v>
      </c>
      <c r="H2700" s="42" t="s">
        <v>812</v>
      </c>
      <c r="J2700" t="s">
        <v>248</v>
      </c>
      <c r="L2700" s="34">
        <v>1</v>
      </c>
      <c r="M2700" s="38">
        <v>0.75</v>
      </c>
      <c r="N2700" s="38">
        <f t="shared" si="42"/>
        <v>0.75</v>
      </c>
    </row>
    <row r="2701" spans="1:14">
      <c r="A2701" s="29">
        <v>45020</v>
      </c>
      <c r="B2701" s="22" t="s">
        <v>1150</v>
      </c>
      <c r="C2701" s="22" t="s">
        <v>57</v>
      </c>
      <c r="D2701" s="48" t="s">
        <v>5</v>
      </c>
      <c r="E2701" t="s">
        <v>1151</v>
      </c>
      <c r="F2701">
        <v>2022</v>
      </c>
      <c r="G2701" t="s">
        <v>618</v>
      </c>
      <c r="H2701" s="42" t="s">
        <v>1152</v>
      </c>
      <c r="J2701" t="s">
        <v>248</v>
      </c>
      <c r="K2701" t="s">
        <v>1153</v>
      </c>
      <c r="L2701" s="34">
        <v>1</v>
      </c>
      <c r="M2701" s="38">
        <v>0.75</v>
      </c>
      <c r="N2701" s="38">
        <f t="shared" si="42"/>
        <v>0.75</v>
      </c>
    </row>
    <row r="2702" spans="1:14">
      <c r="A2702" s="29">
        <v>45021</v>
      </c>
      <c r="B2702" s="22" t="s">
        <v>17</v>
      </c>
      <c r="C2702" s="22" t="s">
        <v>57</v>
      </c>
      <c r="D2702" s="48" t="s">
        <v>5</v>
      </c>
      <c r="E2702" t="s">
        <v>157</v>
      </c>
      <c r="F2702">
        <v>2022</v>
      </c>
      <c r="G2702" t="s">
        <v>326</v>
      </c>
      <c r="H2702" s="42" t="s">
        <v>803</v>
      </c>
      <c r="J2702" t="s">
        <v>1154</v>
      </c>
      <c r="L2702" s="34">
        <v>3</v>
      </c>
      <c r="M2702" s="38">
        <v>0.75</v>
      </c>
      <c r="N2702" s="38">
        <f t="shared" si="42"/>
        <v>2.25</v>
      </c>
    </row>
    <row r="2703" spans="1:14">
      <c r="A2703" s="29">
        <v>45022</v>
      </c>
      <c r="B2703" s="22" t="s">
        <v>154</v>
      </c>
      <c r="C2703" s="22" t="s">
        <v>57</v>
      </c>
      <c r="D2703" s="48" t="s">
        <v>5</v>
      </c>
      <c r="E2703" t="s">
        <v>1155</v>
      </c>
      <c r="F2703">
        <v>2022</v>
      </c>
      <c r="G2703" t="s">
        <v>618</v>
      </c>
      <c r="H2703" s="42" t="s">
        <v>1156</v>
      </c>
      <c r="J2703" t="s">
        <v>248</v>
      </c>
      <c r="K2703" t="s">
        <v>1157</v>
      </c>
      <c r="L2703" s="34">
        <v>2</v>
      </c>
      <c r="M2703" s="38">
        <v>0.75</v>
      </c>
      <c r="N2703" s="38">
        <f t="shared" si="42"/>
        <v>1.5</v>
      </c>
    </row>
    <row r="2704" spans="1:14">
      <c r="A2704" s="29">
        <v>45022</v>
      </c>
      <c r="B2704" s="22" t="s">
        <v>154</v>
      </c>
      <c r="C2704" s="22" t="s">
        <v>57</v>
      </c>
      <c r="D2704" s="48" t="s">
        <v>8</v>
      </c>
      <c r="E2704" t="s">
        <v>1158</v>
      </c>
      <c r="F2704">
        <v>2022</v>
      </c>
      <c r="G2704" t="s">
        <v>618</v>
      </c>
      <c r="H2704" s="42" t="s">
        <v>791</v>
      </c>
      <c r="J2704" t="s">
        <v>248</v>
      </c>
      <c r="L2704" s="34">
        <v>2</v>
      </c>
      <c r="M2704" s="38">
        <v>0.75</v>
      </c>
      <c r="N2704" s="38">
        <f t="shared" si="42"/>
        <v>1.5</v>
      </c>
    </row>
    <row r="2705" spans="1:14">
      <c r="A2705" s="29">
        <v>45027</v>
      </c>
      <c r="B2705" s="22" t="s">
        <v>96</v>
      </c>
      <c r="C2705" s="22" t="s">
        <v>57</v>
      </c>
      <c r="D2705" s="48" t="s">
        <v>5</v>
      </c>
      <c r="E2705" t="s">
        <v>1159</v>
      </c>
      <c r="F2705">
        <v>2022</v>
      </c>
      <c r="G2705" t="s">
        <v>618</v>
      </c>
      <c r="H2705" s="42" t="s">
        <v>746</v>
      </c>
      <c r="J2705" t="s">
        <v>1154</v>
      </c>
      <c r="L2705" s="34">
        <v>2</v>
      </c>
      <c r="M2705" s="38">
        <v>0.75</v>
      </c>
      <c r="N2705" s="38">
        <f t="shared" si="42"/>
        <v>1.5</v>
      </c>
    </row>
    <row r="2706" spans="1:14">
      <c r="A2706" s="29">
        <v>45027</v>
      </c>
      <c r="B2706" s="22" t="s">
        <v>96</v>
      </c>
      <c r="C2706" s="22" t="s">
        <v>57</v>
      </c>
      <c r="D2706" s="48" t="s">
        <v>5</v>
      </c>
      <c r="E2706" t="s">
        <v>1160</v>
      </c>
      <c r="F2706">
        <v>2022</v>
      </c>
      <c r="G2706" t="s">
        <v>618</v>
      </c>
      <c r="H2706" s="42" t="s">
        <v>742</v>
      </c>
      <c r="J2706" t="s">
        <v>1154</v>
      </c>
      <c r="L2706" s="34">
        <v>2</v>
      </c>
      <c r="M2706" s="38">
        <v>0.75</v>
      </c>
      <c r="N2706" s="38">
        <f t="shared" si="42"/>
        <v>1.5</v>
      </c>
    </row>
    <row r="2707" spans="1:14">
      <c r="A2707" s="29">
        <v>45027</v>
      </c>
      <c r="B2707" s="22" t="s">
        <v>96</v>
      </c>
      <c r="C2707" s="22" t="s">
        <v>57</v>
      </c>
      <c r="D2707" s="48" t="s">
        <v>5</v>
      </c>
      <c r="E2707" t="s">
        <v>1161</v>
      </c>
      <c r="F2707">
        <v>2022</v>
      </c>
      <c r="G2707" t="s">
        <v>618</v>
      </c>
      <c r="H2707" s="42" t="s">
        <v>860</v>
      </c>
      <c r="J2707" t="s">
        <v>1154</v>
      </c>
      <c r="L2707" s="34">
        <v>2</v>
      </c>
      <c r="M2707" s="38">
        <v>0.75</v>
      </c>
      <c r="N2707" s="38">
        <f t="shared" si="42"/>
        <v>1.5</v>
      </c>
    </row>
    <row r="2708" spans="1:14">
      <c r="A2708" s="29">
        <v>45027</v>
      </c>
      <c r="B2708" s="22" t="s">
        <v>96</v>
      </c>
      <c r="C2708" s="22" t="s">
        <v>57</v>
      </c>
      <c r="D2708" s="48" t="s">
        <v>8</v>
      </c>
      <c r="E2708" t="s">
        <v>1162</v>
      </c>
      <c r="F2708">
        <v>2022</v>
      </c>
      <c r="G2708" t="s">
        <v>618</v>
      </c>
      <c r="H2708" s="42" t="s">
        <v>839</v>
      </c>
      <c r="J2708" t="s">
        <v>1154</v>
      </c>
      <c r="K2708" t="s">
        <v>1149</v>
      </c>
      <c r="L2708" s="34">
        <v>2</v>
      </c>
      <c r="M2708" s="38">
        <v>0.75</v>
      </c>
      <c r="N2708" s="38">
        <f t="shared" si="42"/>
        <v>1.5</v>
      </c>
    </row>
    <row r="2709" spans="1:14">
      <c r="A2709" s="29">
        <v>45027</v>
      </c>
      <c r="B2709" s="22" t="s">
        <v>63</v>
      </c>
      <c r="C2709" s="22" t="s">
        <v>57</v>
      </c>
      <c r="D2709" s="48" t="s">
        <v>5</v>
      </c>
      <c r="E2709" t="s">
        <v>1161</v>
      </c>
      <c r="F2709">
        <v>2022</v>
      </c>
      <c r="G2709" t="s">
        <v>618</v>
      </c>
      <c r="H2709" s="42" t="s">
        <v>860</v>
      </c>
      <c r="J2709" t="s">
        <v>248</v>
      </c>
      <c r="L2709" s="34">
        <v>2</v>
      </c>
      <c r="M2709" s="38">
        <v>0.75</v>
      </c>
      <c r="N2709" s="38">
        <f t="shared" si="42"/>
        <v>1.5</v>
      </c>
    </row>
    <row r="2710" spans="1:14">
      <c r="A2710" s="29">
        <v>45029</v>
      </c>
      <c r="B2710" s="22" t="s">
        <v>1113</v>
      </c>
      <c r="C2710" s="22" t="s">
        <v>57</v>
      </c>
      <c r="D2710" s="48" t="s">
        <v>5</v>
      </c>
      <c r="E2710" t="s">
        <v>1163</v>
      </c>
      <c r="F2710">
        <v>2022</v>
      </c>
      <c r="G2710" t="s">
        <v>618</v>
      </c>
      <c r="H2710" s="42" t="s">
        <v>812</v>
      </c>
      <c r="J2710" t="s">
        <v>1154</v>
      </c>
      <c r="K2710" t="s">
        <v>1164</v>
      </c>
      <c r="L2710" s="34">
        <v>2</v>
      </c>
      <c r="M2710" s="38">
        <v>0.75</v>
      </c>
      <c r="N2710" s="38">
        <f t="shared" si="42"/>
        <v>1.5</v>
      </c>
    </row>
    <row r="2711" spans="1:14">
      <c r="A2711" s="29">
        <v>45029</v>
      </c>
      <c r="B2711" s="22" t="s">
        <v>16</v>
      </c>
      <c r="C2711" s="22" t="s">
        <v>57</v>
      </c>
      <c r="D2711" s="48" t="s">
        <v>8</v>
      </c>
      <c r="E2711" t="s">
        <v>1165</v>
      </c>
      <c r="F2711">
        <v>2022</v>
      </c>
      <c r="G2711" t="s">
        <v>618</v>
      </c>
      <c r="H2711" s="42" t="s">
        <v>855</v>
      </c>
      <c r="J2711" t="s">
        <v>248</v>
      </c>
      <c r="K2711" t="s">
        <v>1166</v>
      </c>
      <c r="L2711" s="34">
        <v>2</v>
      </c>
      <c r="M2711" s="38">
        <v>0.75</v>
      </c>
      <c r="N2711" s="38">
        <f t="shared" si="42"/>
        <v>1.5</v>
      </c>
    </row>
    <row r="2712" spans="1:14">
      <c r="A2712" s="29">
        <v>45029</v>
      </c>
      <c r="B2712" s="22" t="s">
        <v>16</v>
      </c>
      <c r="C2712" s="22" t="s">
        <v>57</v>
      </c>
      <c r="D2712" s="48" t="s">
        <v>8</v>
      </c>
      <c r="E2712" t="s">
        <v>1158</v>
      </c>
      <c r="F2712">
        <v>2022</v>
      </c>
      <c r="G2712" t="s">
        <v>618</v>
      </c>
      <c r="H2712" s="42" t="s">
        <v>784</v>
      </c>
      <c r="J2712" t="s">
        <v>248</v>
      </c>
      <c r="K2712" t="s">
        <v>1167</v>
      </c>
      <c r="L2712" s="34">
        <v>2</v>
      </c>
      <c r="M2712" s="38">
        <v>0.75</v>
      </c>
      <c r="N2712" s="38">
        <f t="shared" si="42"/>
        <v>1.5</v>
      </c>
    </row>
    <row r="2713" spans="1:14">
      <c r="A2713" s="29">
        <v>45085</v>
      </c>
      <c r="B2713" s="22" t="s">
        <v>16</v>
      </c>
      <c r="C2713" s="22" t="s">
        <v>57</v>
      </c>
      <c r="D2713" s="48" t="s">
        <v>8</v>
      </c>
      <c r="E2713" t="s">
        <v>1165</v>
      </c>
      <c r="F2713">
        <v>2022</v>
      </c>
      <c r="G2713" t="s">
        <v>618</v>
      </c>
      <c r="H2713" s="42" t="s">
        <v>776</v>
      </c>
      <c r="J2713" t="s">
        <v>248</v>
      </c>
      <c r="K2713" t="s">
        <v>1166</v>
      </c>
      <c r="L2713" s="34">
        <v>4</v>
      </c>
      <c r="M2713" s="38">
        <v>0.75</v>
      </c>
      <c r="N2713" s="38">
        <f t="shared" si="42"/>
        <v>3</v>
      </c>
    </row>
    <row r="2714" spans="1:14">
      <c r="A2714" s="29">
        <v>45085</v>
      </c>
      <c r="B2714" s="22" t="s">
        <v>16</v>
      </c>
      <c r="C2714" s="22" t="s">
        <v>57</v>
      </c>
      <c r="D2714" s="48" t="s">
        <v>8</v>
      </c>
      <c r="E2714" t="s">
        <v>1158</v>
      </c>
      <c r="F2714">
        <v>2022</v>
      </c>
      <c r="G2714" t="s">
        <v>618</v>
      </c>
      <c r="H2714" s="42" t="s">
        <v>784</v>
      </c>
      <c r="J2714" t="s">
        <v>248</v>
      </c>
      <c r="K2714" t="s">
        <v>1167</v>
      </c>
      <c r="L2714" s="34">
        <v>4</v>
      </c>
      <c r="M2714" s="38">
        <v>0.75</v>
      </c>
      <c r="N2714" s="38">
        <f t="shared" si="42"/>
        <v>3</v>
      </c>
    </row>
    <row r="2715" spans="1:14">
      <c r="A2715" s="29">
        <v>45208</v>
      </c>
      <c r="B2715" s="22" t="s">
        <v>57</v>
      </c>
      <c r="C2715" s="22" t="s">
        <v>38</v>
      </c>
      <c r="D2715" s="48" t="s">
        <v>8</v>
      </c>
      <c r="E2715" t="s">
        <v>1168</v>
      </c>
      <c r="F2715">
        <v>2023</v>
      </c>
      <c r="G2715" t="s">
        <v>618</v>
      </c>
      <c r="H2715" s="42" t="s">
        <v>898</v>
      </c>
      <c r="J2715" t="s">
        <v>248</v>
      </c>
      <c r="K2715" s="3" t="s">
        <v>1169</v>
      </c>
      <c r="L2715" s="34">
        <v>3</v>
      </c>
      <c r="M2715" s="38">
        <v>0.75</v>
      </c>
      <c r="N2715" s="38">
        <f t="shared" si="42"/>
        <v>2.25</v>
      </c>
    </row>
    <row r="2716" spans="1:14">
      <c r="A2716" s="29">
        <v>45208</v>
      </c>
      <c r="B2716" s="22" t="s">
        <v>57</v>
      </c>
      <c r="C2716" s="22" t="s">
        <v>38</v>
      </c>
      <c r="D2716" s="48" t="s">
        <v>8</v>
      </c>
      <c r="E2716" t="s">
        <v>1168</v>
      </c>
      <c r="F2716">
        <v>2023</v>
      </c>
      <c r="G2716" t="s">
        <v>618</v>
      </c>
      <c r="H2716" s="42" t="s">
        <v>835</v>
      </c>
      <c r="J2716" t="s">
        <v>248</v>
      </c>
      <c r="K2716" t="s">
        <v>1136</v>
      </c>
      <c r="L2716" s="34">
        <v>3</v>
      </c>
      <c r="M2716" s="38">
        <v>0.75</v>
      </c>
      <c r="N2716" s="38">
        <f t="shared" si="42"/>
        <v>2.25</v>
      </c>
    </row>
    <row r="2717" spans="1:14">
      <c r="A2717" s="29">
        <v>45208</v>
      </c>
      <c r="B2717" s="22" t="s">
        <v>57</v>
      </c>
      <c r="C2717" s="22" t="s">
        <v>38</v>
      </c>
      <c r="D2717" s="48" t="s">
        <v>8</v>
      </c>
      <c r="E2717" t="s">
        <v>180</v>
      </c>
      <c r="F2717">
        <v>2023</v>
      </c>
      <c r="G2717" t="s">
        <v>618</v>
      </c>
      <c r="H2717" s="42" t="s">
        <v>846</v>
      </c>
      <c r="J2717" t="s">
        <v>248</v>
      </c>
      <c r="K2717" t="s">
        <v>1170</v>
      </c>
      <c r="L2717" s="34">
        <v>3</v>
      </c>
      <c r="M2717" s="38">
        <v>0.75</v>
      </c>
      <c r="N2717" s="38">
        <f t="shared" si="42"/>
        <v>2.25</v>
      </c>
    </row>
    <row r="2718" spans="1:14">
      <c r="A2718" s="29">
        <v>45208</v>
      </c>
      <c r="B2718" s="22" t="s">
        <v>57</v>
      </c>
      <c r="C2718" s="22" t="s">
        <v>38</v>
      </c>
      <c r="D2718" s="48" t="s">
        <v>5</v>
      </c>
      <c r="E2718" t="s">
        <v>255</v>
      </c>
      <c r="F2718">
        <v>2023</v>
      </c>
      <c r="G2718" t="s">
        <v>618</v>
      </c>
      <c r="H2718" s="42" t="s">
        <v>57</v>
      </c>
      <c r="J2718" t="s">
        <v>248</v>
      </c>
      <c r="L2718" s="34">
        <v>3</v>
      </c>
      <c r="M2718" s="38">
        <v>0.75</v>
      </c>
      <c r="N2718" s="38">
        <f t="shared" si="42"/>
        <v>2.25</v>
      </c>
    </row>
    <row r="2719" spans="1:14">
      <c r="A2719" s="29">
        <v>45208</v>
      </c>
      <c r="B2719" s="22" t="s">
        <v>96</v>
      </c>
      <c r="C2719" s="22" t="s">
        <v>57</v>
      </c>
      <c r="D2719" s="48" t="s">
        <v>8</v>
      </c>
      <c r="E2719" t="s">
        <v>178</v>
      </c>
      <c r="F2719">
        <v>2023</v>
      </c>
      <c r="G2719" t="s">
        <v>618</v>
      </c>
      <c r="H2719" s="42" t="s">
        <v>748</v>
      </c>
      <c r="I2719" s="2">
        <v>1200</v>
      </c>
      <c r="J2719" t="s">
        <v>248</v>
      </c>
      <c r="L2719" s="34">
        <v>2</v>
      </c>
      <c r="M2719" s="38">
        <v>0.75</v>
      </c>
      <c r="N2719" s="38">
        <f t="shared" si="42"/>
        <v>1.5</v>
      </c>
    </row>
    <row r="2720" spans="1:14">
      <c r="A2720" s="29">
        <v>45208</v>
      </c>
      <c r="B2720" s="22" t="s">
        <v>96</v>
      </c>
      <c r="C2720" s="22" t="s">
        <v>57</v>
      </c>
      <c r="D2720" s="48" t="s">
        <v>8</v>
      </c>
      <c r="E2720" t="s">
        <v>182</v>
      </c>
      <c r="F2720">
        <v>2023</v>
      </c>
      <c r="G2720" t="s">
        <v>618</v>
      </c>
      <c r="H2720" s="42" t="s">
        <v>835</v>
      </c>
      <c r="I2720" s="2">
        <v>1200</v>
      </c>
      <c r="J2720" t="s">
        <v>248</v>
      </c>
      <c r="L2720" s="34">
        <v>2</v>
      </c>
      <c r="M2720" s="38">
        <v>0.75</v>
      </c>
      <c r="N2720" s="38">
        <f t="shared" si="42"/>
        <v>1.5</v>
      </c>
    </row>
    <row r="2721" spans="1:14">
      <c r="A2721" s="29">
        <v>45208</v>
      </c>
      <c r="B2721" s="22" t="s">
        <v>96</v>
      </c>
      <c r="C2721" s="22" t="s">
        <v>57</v>
      </c>
      <c r="D2721" s="48" t="s">
        <v>8</v>
      </c>
      <c r="E2721" t="s">
        <v>182</v>
      </c>
      <c r="F2721">
        <v>2023</v>
      </c>
      <c r="G2721" t="s">
        <v>618</v>
      </c>
      <c r="H2721" s="42" t="s">
        <v>766</v>
      </c>
      <c r="I2721" s="2">
        <v>1200</v>
      </c>
      <c r="J2721" t="s">
        <v>248</v>
      </c>
      <c r="L2721" s="34">
        <v>2</v>
      </c>
      <c r="M2721" s="38">
        <v>0.75</v>
      </c>
      <c r="N2721" s="38">
        <f t="shared" si="42"/>
        <v>1.5</v>
      </c>
    </row>
    <row r="2722" spans="1:14">
      <c r="A2722" s="29">
        <v>45208</v>
      </c>
      <c r="B2722" s="22" t="s">
        <v>96</v>
      </c>
      <c r="C2722" s="22" t="s">
        <v>57</v>
      </c>
      <c r="D2722" s="48" t="s">
        <v>8</v>
      </c>
      <c r="E2722" t="s">
        <v>273</v>
      </c>
      <c r="F2722">
        <v>2023</v>
      </c>
      <c r="G2722" t="s">
        <v>618</v>
      </c>
      <c r="H2722" s="42" t="s">
        <v>752</v>
      </c>
      <c r="I2722" s="2">
        <v>4800</v>
      </c>
      <c r="J2722" t="s">
        <v>248</v>
      </c>
      <c r="L2722" s="34">
        <v>2</v>
      </c>
      <c r="M2722" s="38">
        <v>0.75</v>
      </c>
      <c r="N2722" s="38">
        <f t="shared" si="42"/>
        <v>1.5</v>
      </c>
    </row>
    <row r="2723" spans="1:14">
      <c r="A2723" s="29">
        <v>45208</v>
      </c>
      <c r="B2723" s="22" t="s">
        <v>63</v>
      </c>
      <c r="C2723" s="22" t="s">
        <v>57</v>
      </c>
      <c r="D2723" s="48" t="s">
        <v>5</v>
      </c>
      <c r="E2723" t="s">
        <v>159</v>
      </c>
      <c r="F2723">
        <v>2023</v>
      </c>
      <c r="G2723" t="s">
        <v>618</v>
      </c>
      <c r="H2723" s="42" t="s">
        <v>796</v>
      </c>
      <c r="J2723" t="s">
        <v>248</v>
      </c>
      <c r="L2723" s="34">
        <v>4</v>
      </c>
      <c r="M2723" s="38">
        <v>0.75</v>
      </c>
      <c r="N2723" s="38">
        <f t="shared" si="42"/>
        <v>3</v>
      </c>
    </row>
    <row r="2724" spans="1:14">
      <c r="A2724" s="29">
        <v>45208</v>
      </c>
      <c r="B2724" s="22" t="s">
        <v>63</v>
      </c>
      <c r="C2724" s="22" t="s">
        <v>57</v>
      </c>
      <c r="D2724" s="48" t="s">
        <v>5</v>
      </c>
      <c r="E2724" t="s">
        <v>159</v>
      </c>
      <c r="F2724">
        <v>2023</v>
      </c>
      <c r="G2724" t="s">
        <v>618</v>
      </c>
      <c r="H2724" s="42" t="s">
        <v>871</v>
      </c>
      <c r="J2724" t="s">
        <v>248</v>
      </c>
      <c r="L2724" s="34">
        <v>4</v>
      </c>
      <c r="M2724" s="38">
        <v>0.75</v>
      </c>
      <c r="N2724" s="38">
        <f t="shared" si="42"/>
        <v>3</v>
      </c>
    </row>
    <row r="2725" spans="1:14">
      <c r="A2725" s="29">
        <v>45208</v>
      </c>
      <c r="B2725" s="22" t="s">
        <v>63</v>
      </c>
      <c r="C2725" s="22" t="s">
        <v>57</v>
      </c>
      <c r="D2725" s="48" t="s">
        <v>5</v>
      </c>
      <c r="E2725" t="s">
        <v>255</v>
      </c>
      <c r="F2725">
        <v>2023</v>
      </c>
      <c r="G2725" t="s">
        <v>618</v>
      </c>
      <c r="H2725" s="42" t="s">
        <v>57</v>
      </c>
      <c r="J2725" t="s">
        <v>248</v>
      </c>
      <c r="L2725" s="34">
        <v>4</v>
      </c>
      <c r="M2725" s="38">
        <v>0.75</v>
      </c>
      <c r="N2725" s="38">
        <f t="shared" si="42"/>
        <v>3</v>
      </c>
    </row>
    <row r="2726" spans="1:14">
      <c r="A2726" s="29">
        <v>45208</v>
      </c>
      <c r="B2726" s="22" t="s">
        <v>57</v>
      </c>
      <c r="C2726" s="22" t="s">
        <v>41</v>
      </c>
      <c r="D2726" s="48" t="s">
        <v>5</v>
      </c>
      <c r="E2726" t="s">
        <v>183</v>
      </c>
      <c r="F2726">
        <v>2023</v>
      </c>
      <c r="G2726" t="s">
        <v>618</v>
      </c>
      <c r="H2726" s="42" t="s">
        <v>1171</v>
      </c>
      <c r="J2726" t="s">
        <v>248</v>
      </c>
      <c r="L2726" s="34">
        <v>3</v>
      </c>
      <c r="M2726" s="38">
        <v>0.75</v>
      </c>
      <c r="N2726" s="38">
        <f t="shared" si="42"/>
        <v>2.25</v>
      </c>
    </row>
    <row r="2727" spans="1:14">
      <c r="A2727" s="29">
        <v>45208</v>
      </c>
      <c r="B2727" s="22" t="s">
        <v>57</v>
      </c>
      <c r="C2727" s="22" t="s">
        <v>41</v>
      </c>
      <c r="D2727" s="48" t="s">
        <v>5</v>
      </c>
      <c r="E2727" t="s">
        <v>183</v>
      </c>
      <c r="F2727">
        <v>2023</v>
      </c>
      <c r="G2727" t="s">
        <v>618</v>
      </c>
      <c r="H2727" s="42" t="s">
        <v>803</v>
      </c>
      <c r="J2727" t="s">
        <v>248</v>
      </c>
      <c r="L2727" s="34">
        <v>3</v>
      </c>
      <c r="M2727" s="38">
        <v>0.75</v>
      </c>
      <c r="N2727" s="38">
        <f t="shared" si="42"/>
        <v>2.25</v>
      </c>
    </row>
    <row r="2728" spans="1:14">
      <c r="A2728" s="29">
        <v>45208</v>
      </c>
      <c r="B2728" s="22" t="s">
        <v>57</v>
      </c>
      <c r="C2728" s="22" t="s">
        <v>41</v>
      </c>
      <c r="D2728" s="48" t="s">
        <v>5</v>
      </c>
      <c r="E2728" t="s">
        <v>183</v>
      </c>
      <c r="F2728">
        <v>2023</v>
      </c>
      <c r="G2728" t="s">
        <v>618</v>
      </c>
      <c r="H2728" s="42" t="s">
        <v>767</v>
      </c>
      <c r="J2728" t="s">
        <v>248</v>
      </c>
      <c r="L2728" s="34">
        <v>3</v>
      </c>
      <c r="M2728" s="38">
        <v>0.75</v>
      </c>
      <c r="N2728" s="38">
        <f t="shared" si="42"/>
        <v>2.25</v>
      </c>
    </row>
    <row r="2729" spans="1:14">
      <c r="A2729" s="29">
        <v>45209</v>
      </c>
      <c r="B2729" s="22" t="s">
        <v>293</v>
      </c>
      <c r="C2729" s="22" t="s">
        <v>41</v>
      </c>
      <c r="D2729" s="48" t="s">
        <v>8</v>
      </c>
      <c r="E2729" t="s">
        <v>183</v>
      </c>
      <c r="F2729">
        <v>2023</v>
      </c>
      <c r="G2729" t="s">
        <v>618</v>
      </c>
      <c r="H2729" s="42" t="s">
        <v>752</v>
      </c>
      <c r="J2729" t="s">
        <v>248</v>
      </c>
      <c r="K2729" t="s">
        <v>1172</v>
      </c>
      <c r="L2729" s="34">
        <v>4</v>
      </c>
      <c r="M2729" s="38">
        <v>0.75</v>
      </c>
      <c r="N2729" s="38">
        <f t="shared" si="42"/>
        <v>3</v>
      </c>
    </row>
    <row r="2730" spans="1:14">
      <c r="A2730" s="29">
        <v>45209</v>
      </c>
      <c r="B2730" s="22" t="s">
        <v>293</v>
      </c>
      <c r="C2730" s="22" t="s">
        <v>41</v>
      </c>
      <c r="D2730" s="48" t="s">
        <v>8</v>
      </c>
      <c r="E2730" t="s">
        <v>183</v>
      </c>
      <c r="F2730">
        <v>2023</v>
      </c>
      <c r="G2730" t="s">
        <v>618</v>
      </c>
      <c r="H2730" s="42" t="s">
        <v>898</v>
      </c>
      <c r="J2730" t="s">
        <v>248</v>
      </c>
      <c r="K2730" t="s">
        <v>1172</v>
      </c>
      <c r="L2730" s="34">
        <v>4</v>
      </c>
      <c r="M2730" s="38">
        <v>0.75</v>
      </c>
      <c r="N2730" s="38">
        <f t="shared" si="42"/>
        <v>3</v>
      </c>
    </row>
    <row r="2731" spans="1:14">
      <c r="A2731" s="29">
        <v>45209</v>
      </c>
      <c r="B2731" s="22" t="s">
        <v>293</v>
      </c>
      <c r="C2731" s="22" t="s">
        <v>41</v>
      </c>
      <c r="D2731" s="48" t="s">
        <v>8</v>
      </c>
      <c r="E2731" t="s">
        <v>182</v>
      </c>
      <c r="F2731">
        <v>2023</v>
      </c>
      <c r="G2731" t="s">
        <v>618</v>
      </c>
      <c r="H2731" s="42" t="s">
        <v>835</v>
      </c>
      <c r="J2731" t="s">
        <v>248</v>
      </c>
      <c r="L2731" s="34">
        <v>4</v>
      </c>
      <c r="M2731" s="38">
        <v>0.75</v>
      </c>
      <c r="N2731" s="38">
        <f t="shared" si="42"/>
        <v>3</v>
      </c>
    </row>
    <row r="2732" spans="1:14">
      <c r="A2732" s="29">
        <v>45209</v>
      </c>
      <c r="B2732" s="22" t="s">
        <v>293</v>
      </c>
      <c r="C2732" s="22" t="s">
        <v>41</v>
      </c>
      <c r="D2732" s="48" t="s">
        <v>5</v>
      </c>
      <c r="E2732" t="s">
        <v>183</v>
      </c>
      <c r="F2732">
        <v>2023</v>
      </c>
      <c r="G2732" t="s">
        <v>618</v>
      </c>
      <c r="H2732" s="42" t="s">
        <v>1173</v>
      </c>
      <c r="J2732" t="s">
        <v>248</v>
      </c>
      <c r="L2732" s="34">
        <v>4</v>
      </c>
      <c r="M2732" s="38">
        <v>0.75</v>
      </c>
      <c r="N2732" s="38">
        <f t="shared" si="42"/>
        <v>3</v>
      </c>
    </row>
    <row r="2733" spans="1:14">
      <c r="A2733" s="29">
        <v>45209</v>
      </c>
      <c r="B2733" s="22" t="s">
        <v>16</v>
      </c>
      <c r="C2733" s="22" t="s">
        <v>57</v>
      </c>
      <c r="D2733" s="48" t="s">
        <v>8</v>
      </c>
      <c r="E2733" t="s">
        <v>183</v>
      </c>
      <c r="F2733">
        <v>2023</v>
      </c>
      <c r="G2733" t="s">
        <v>618</v>
      </c>
      <c r="H2733" s="42" t="s">
        <v>752</v>
      </c>
      <c r="J2733" t="s">
        <v>248</v>
      </c>
      <c r="K2733" t="s">
        <v>1172</v>
      </c>
      <c r="L2733" s="34">
        <v>4</v>
      </c>
      <c r="M2733" s="38">
        <v>0.75</v>
      </c>
      <c r="N2733" s="38">
        <f t="shared" si="42"/>
        <v>3</v>
      </c>
    </row>
    <row r="2734" spans="1:14">
      <c r="A2734" s="29">
        <v>45209</v>
      </c>
      <c r="B2734" s="22" t="s">
        <v>16</v>
      </c>
      <c r="C2734" s="22" t="s">
        <v>57</v>
      </c>
      <c r="D2734" s="48" t="s">
        <v>8</v>
      </c>
      <c r="E2734" t="s">
        <v>183</v>
      </c>
      <c r="F2734">
        <v>2023</v>
      </c>
      <c r="G2734" t="s">
        <v>618</v>
      </c>
      <c r="H2734" s="42" t="s">
        <v>898</v>
      </c>
      <c r="J2734" t="s">
        <v>248</v>
      </c>
      <c r="K2734" t="s">
        <v>1172</v>
      </c>
      <c r="L2734" s="34">
        <v>4</v>
      </c>
      <c r="M2734" s="38">
        <v>0.75</v>
      </c>
      <c r="N2734" s="38">
        <f t="shared" si="42"/>
        <v>3</v>
      </c>
    </row>
    <row r="2735" spans="1:14">
      <c r="A2735" s="29">
        <v>45209</v>
      </c>
      <c r="B2735" s="22" t="s">
        <v>16</v>
      </c>
      <c r="C2735" s="22" t="s">
        <v>57</v>
      </c>
      <c r="D2735" s="48" t="s">
        <v>8</v>
      </c>
      <c r="E2735" t="s">
        <v>182</v>
      </c>
      <c r="F2735">
        <v>2023</v>
      </c>
      <c r="G2735" t="s">
        <v>618</v>
      </c>
      <c r="H2735" s="42" t="s">
        <v>835</v>
      </c>
      <c r="J2735" t="s">
        <v>248</v>
      </c>
      <c r="L2735" s="34">
        <v>4</v>
      </c>
      <c r="M2735" s="38">
        <v>0.75</v>
      </c>
      <c r="N2735" s="38">
        <f t="shared" si="42"/>
        <v>3</v>
      </c>
    </row>
    <row r="2736" spans="1:14">
      <c r="A2736" s="29">
        <v>45209</v>
      </c>
      <c r="B2736" s="22" t="s">
        <v>16</v>
      </c>
      <c r="C2736" s="22" t="s">
        <v>57</v>
      </c>
      <c r="D2736" s="48" t="s">
        <v>5</v>
      </c>
      <c r="E2736" t="s">
        <v>255</v>
      </c>
      <c r="F2736">
        <v>2023</v>
      </c>
      <c r="G2736" t="s">
        <v>618</v>
      </c>
      <c r="H2736" s="42"/>
      <c r="J2736" t="s">
        <v>248</v>
      </c>
      <c r="L2736" s="34">
        <v>4</v>
      </c>
      <c r="M2736" s="38">
        <v>0.75</v>
      </c>
      <c r="N2736" s="38">
        <f t="shared" si="42"/>
        <v>3</v>
      </c>
    </row>
    <row r="2737" spans="1:14">
      <c r="A2737" s="29">
        <v>45209</v>
      </c>
      <c r="B2737" s="22" t="s">
        <v>16</v>
      </c>
      <c r="C2737" s="22" t="s">
        <v>57</v>
      </c>
      <c r="D2737" s="48" t="s">
        <v>5</v>
      </c>
      <c r="E2737" t="s">
        <v>1174</v>
      </c>
      <c r="F2737">
        <v>2023</v>
      </c>
      <c r="G2737" t="s">
        <v>57</v>
      </c>
      <c r="H2737" s="42" t="s">
        <v>1175</v>
      </c>
      <c r="J2737" t="s">
        <v>248</v>
      </c>
      <c r="L2737" s="34">
        <v>3</v>
      </c>
      <c r="M2737" s="38">
        <v>0.75</v>
      </c>
      <c r="N2737" s="38">
        <f t="shared" si="42"/>
        <v>2.25</v>
      </c>
    </row>
    <row r="2738" spans="1:14">
      <c r="A2738" s="29">
        <v>45209</v>
      </c>
      <c r="B2738" s="22" t="s">
        <v>16</v>
      </c>
      <c r="C2738" s="22" t="s">
        <v>57</v>
      </c>
      <c r="D2738" s="48" t="s">
        <v>5</v>
      </c>
      <c r="E2738" t="s">
        <v>1174</v>
      </c>
      <c r="F2738">
        <v>2023</v>
      </c>
      <c r="G2738" t="s">
        <v>57</v>
      </c>
      <c r="H2738" s="42" t="s">
        <v>840</v>
      </c>
      <c r="J2738" t="s">
        <v>248</v>
      </c>
      <c r="L2738" s="34">
        <v>3</v>
      </c>
      <c r="M2738" s="38">
        <v>0.75</v>
      </c>
      <c r="N2738" s="38">
        <f t="shared" ref="N2738:N2801" si="43">M2738*L2738</f>
        <v>2.25</v>
      </c>
    </row>
    <row r="2739" spans="1:14">
      <c r="A2739" s="29">
        <v>45209</v>
      </c>
      <c r="B2739" s="22" t="s">
        <v>16</v>
      </c>
      <c r="C2739" s="22" t="s">
        <v>57</v>
      </c>
      <c r="D2739" s="48" t="s">
        <v>5</v>
      </c>
      <c r="E2739" t="s">
        <v>158</v>
      </c>
      <c r="F2739">
        <v>2023</v>
      </c>
      <c r="G2739" t="s">
        <v>618</v>
      </c>
      <c r="H2739" s="42" t="s">
        <v>742</v>
      </c>
      <c r="J2739" t="s">
        <v>248</v>
      </c>
      <c r="L2739" s="34">
        <v>4</v>
      </c>
      <c r="M2739" s="38">
        <v>0.75</v>
      </c>
      <c r="N2739" s="38">
        <f t="shared" si="43"/>
        <v>3</v>
      </c>
    </row>
    <row r="2740" spans="1:14">
      <c r="A2740" s="29">
        <v>45209</v>
      </c>
      <c r="B2740" s="22" t="s">
        <v>96</v>
      </c>
      <c r="C2740" s="22" t="s">
        <v>57</v>
      </c>
      <c r="D2740" s="48" t="s">
        <v>5</v>
      </c>
      <c r="E2740" t="s">
        <v>157</v>
      </c>
      <c r="F2740">
        <v>2023</v>
      </c>
      <c r="G2740" t="s">
        <v>326</v>
      </c>
      <c r="H2740" s="42" t="s">
        <v>57</v>
      </c>
      <c r="J2740" t="s">
        <v>248</v>
      </c>
      <c r="L2740" s="34">
        <v>1</v>
      </c>
      <c r="M2740" s="38">
        <v>0.75</v>
      </c>
      <c r="N2740" s="38">
        <f t="shared" si="43"/>
        <v>0.75</v>
      </c>
    </row>
    <row r="2741" spans="1:14">
      <c r="A2741" s="29">
        <v>45209</v>
      </c>
      <c r="B2741" s="22" t="s">
        <v>96</v>
      </c>
      <c r="C2741" s="22" t="s">
        <v>57</v>
      </c>
      <c r="D2741" s="48" t="s">
        <v>5</v>
      </c>
      <c r="E2741" t="s">
        <v>157</v>
      </c>
      <c r="F2741">
        <v>2023</v>
      </c>
      <c r="G2741" t="s">
        <v>247</v>
      </c>
      <c r="H2741" s="42" t="s">
        <v>57</v>
      </c>
      <c r="J2741" t="s">
        <v>248</v>
      </c>
      <c r="L2741" s="34">
        <v>1</v>
      </c>
      <c r="M2741" s="38">
        <v>0.75</v>
      </c>
      <c r="N2741" s="38">
        <f t="shared" si="43"/>
        <v>0.75</v>
      </c>
    </row>
    <row r="2742" spans="1:14">
      <c r="A2742" s="29">
        <v>45209</v>
      </c>
      <c r="B2742" s="22" t="s">
        <v>96</v>
      </c>
      <c r="C2742" s="22" t="s">
        <v>57</v>
      </c>
      <c r="D2742" s="48" t="s">
        <v>5</v>
      </c>
      <c r="E2742" t="s">
        <v>159</v>
      </c>
      <c r="F2742">
        <v>2023</v>
      </c>
      <c r="G2742" t="s">
        <v>326</v>
      </c>
      <c r="H2742" s="42" t="s">
        <v>57</v>
      </c>
      <c r="J2742" t="s">
        <v>248</v>
      </c>
      <c r="L2742" s="34">
        <v>1</v>
      </c>
      <c r="M2742" s="38">
        <v>0.75</v>
      </c>
      <c r="N2742" s="38">
        <f t="shared" si="43"/>
        <v>0.75</v>
      </c>
    </row>
    <row r="2743" spans="1:14">
      <c r="A2743" s="29">
        <v>45209</v>
      </c>
      <c r="B2743" s="22" t="s">
        <v>96</v>
      </c>
      <c r="C2743" s="22" t="s">
        <v>57</v>
      </c>
      <c r="D2743" s="48" t="s">
        <v>5</v>
      </c>
      <c r="E2743" t="s">
        <v>159</v>
      </c>
      <c r="F2743">
        <v>2023</v>
      </c>
      <c r="G2743" t="s">
        <v>247</v>
      </c>
      <c r="H2743" s="42" t="s">
        <v>57</v>
      </c>
      <c r="J2743" t="s">
        <v>248</v>
      </c>
      <c r="L2743" s="34">
        <v>1</v>
      </c>
      <c r="M2743" s="38">
        <v>0.75</v>
      </c>
      <c r="N2743" s="38">
        <f t="shared" si="43"/>
        <v>0.75</v>
      </c>
    </row>
    <row r="2744" spans="1:14">
      <c r="A2744" s="29">
        <v>45215</v>
      </c>
      <c r="B2744" s="22" t="s">
        <v>96</v>
      </c>
      <c r="C2744" s="22" t="s">
        <v>57</v>
      </c>
      <c r="D2744" s="48" t="s">
        <v>5</v>
      </c>
      <c r="E2744" t="s">
        <v>157</v>
      </c>
      <c r="F2744">
        <v>2023</v>
      </c>
      <c r="G2744" t="s">
        <v>319</v>
      </c>
      <c r="H2744" s="42" t="s">
        <v>57</v>
      </c>
      <c r="J2744" t="s">
        <v>248</v>
      </c>
      <c r="L2744" s="34">
        <v>2</v>
      </c>
      <c r="M2744" s="38">
        <v>0.75</v>
      </c>
      <c r="N2744" s="38">
        <f t="shared" si="43"/>
        <v>1.5</v>
      </c>
    </row>
    <row r="2745" spans="1:14">
      <c r="A2745" s="29">
        <v>45215</v>
      </c>
      <c r="B2745" s="22" t="s">
        <v>96</v>
      </c>
      <c r="C2745" s="22" t="s">
        <v>57</v>
      </c>
      <c r="D2745" s="48" t="s">
        <v>5</v>
      </c>
      <c r="E2745" t="s">
        <v>157</v>
      </c>
      <c r="F2745">
        <v>2023</v>
      </c>
      <c r="G2745" t="s">
        <v>326</v>
      </c>
      <c r="H2745" s="42" t="s">
        <v>57</v>
      </c>
      <c r="J2745" t="s">
        <v>248</v>
      </c>
      <c r="L2745" s="34">
        <v>2</v>
      </c>
      <c r="M2745" s="38">
        <v>0.75</v>
      </c>
      <c r="N2745" s="38">
        <f t="shared" si="43"/>
        <v>1.5</v>
      </c>
    </row>
    <row r="2746" spans="1:14">
      <c r="A2746" s="29">
        <v>45215</v>
      </c>
      <c r="B2746" s="22" t="s">
        <v>96</v>
      </c>
      <c r="C2746" s="22" t="s">
        <v>57</v>
      </c>
      <c r="D2746" s="48" t="s">
        <v>5</v>
      </c>
      <c r="E2746" t="s">
        <v>157</v>
      </c>
      <c r="F2746">
        <v>2023</v>
      </c>
      <c r="G2746" t="s">
        <v>247</v>
      </c>
      <c r="H2746" s="42" t="s">
        <v>57</v>
      </c>
      <c r="J2746" t="s">
        <v>248</v>
      </c>
      <c r="L2746" s="34">
        <v>2</v>
      </c>
      <c r="M2746" s="38">
        <v>0.75</v>
      </c>
      <c r="N2746" s="38">
        <f t="shared" si="43"/>
        <v>1.5</v>
      </c>
    </row>
    <row r="2747" spans="1:14">
      <c r="A2747" s="29">
        <v>45215</v>
      </c>
      <c r="B2747" s="22" t="s">
        <v>96</v>
      </c>
      <c r="C2747" s="22" t="s">
        <v>57</v>
      </c>
      <c r="D2747" s="48" t="s">
        <v>5</v>
      </c>
      <c r="E2747" t="s">
        <v>159</v>
      </c>
      <c r="F2747">
        <v>2023</v>
      </c>
      <c r="G2747" t="s">
        <v>319</v>
      </c>
      <c r="H2747" s="42" t="s">
        <v>57</v>
      </c>
      <c r="J2747" t="s">
        <v>248</v>
      </c>
      <c r="L2747" s="34">
        <v>2</v>
      </c>
      <c r="M2747" s="38">
        <v>0.75</v>
      </c>
      <c r="N2747" s="38">
        <f t="shared" si="43"/>
        <v>1.5</v>
      </c>
    </row>
    <row r="2748" spans="1:14">
      <c r="A2748" s="29">
        <v>45215</v>
      </c>
      <c r="B2748" s="22" t="s">
        <v>96</v>
      </c>
      <c r="C2748" s="22" t="s">
        <v>57</v>
      </c>
      <c r="D2748" s="48" t="s">
        <v>5</v>
      </c>
      <c r="E2748" t="s">
        <v>159</v>
      </c>
      <c r="F2748">
        <v>2023</v>
      </c>
      <c r="G2748" t="s">
        <v>326</v>
      </c>
      <c r="H2748" s="42" t="s">
        <v>57</v>
      </c>
      <c r="J2748" t="s">
        <v>248</v>
      </c>
      <c r="L2748" s="34">
        <v>2</v>
      </c>
      <c r="M2748" s="38">
        <v>0.75</v>
      </c>
      <c r="N2748" s="38">
        <f t="shared" si="43"/>
        <v>1.5</v>
      </c>
    </row>
    <row r="2749" spans="1:14">
      <c r="A2749" s="29">
        <v>45215</v>
      </c>
      <c r="B2749" s="22" t="s">
        <v>96</v>
      </c>
      <c r="C2749" s="22" t="s">
        <v>57</v>
      </c>
      <c r="D2749" s="48" t="s">
        <v>5</v>
      </c>
      <c r="E2749" t="s">
        <v>159</v>
      </c>
      <c r="F2749">
        <v>2023</v>
      </c>
      <c r="G2749" t="s">
        <v>247</v>
      </c>
      <c r="H2749" s="42" t="s">
        <v>57</v>
      </c>
      <c r="J2749" t="s">
        <v>248</v>
      </c>
      <c r="L2749" s="34">
        <v>2</v>
      </c>
      <c r="M2749" s="38">
        <v>0.75</v>
      </c>
      <c r="N2749" s="38">
        <f t="shared" si="43"/>
        <v>1.5</v>
      </c>
    </row>
    <row r="2750" spans="1:14">
      <c r="A2750" s="29">
        <v>45215</v>
      </c>
      <c r="B2750" s="22" t="s">
        <v>96</v>
      </c>
      <c r="C2750" s="22" t="s">
        <v>57</v>
      </c>
      <c r="D2750" s="48" t="s">
        <v>5</v>
      </c>
      <c r="E2750" t="s">
        <v>158</v>
      </c>
      <c r="F2750">
        <v>2023</v>
      </c>
      <c r="G2750" t="s">
        <v>57</v>
      </c>
      <c r="H2750" s="42" t="s">
        <v>742</v>
      </c>
      <c r="J2750" t="s">
        <v>248</v>
      </c>
      <c r="L2750" s="34">
        <v>2</v>
      </c>
      <c r="M2750" s="38">
        <v>0.75</v>
      </c>
      <c r="N2750" s="38">
        <f t="shared" si="43"/>
        <v>1.5</v>
      </c>
    </row>
    <row r="2751" spans="1:14">
      <c r="A2751" s="29">
        <v>45215</v>
      </c>
      <c r="B2751" s="22" t="s">
        <v>109</v>
      </c>
      <c r="C2751" s="22" t="s">
        <v>57</v>
      </c>
      <c r="D2751" s="48" t="s">
        <v>8</v>
      </c>
      <c r="E2751" t="s">
        <v>187</v>
      </c>
      <c r="F2751">
        <v>2023</v>
      </c>
      <c r="G2751" t="s">
        <v>57</v>
      </c>
      <c r="H2751" s="42" t="s">
        <v>1176</v>
      </c>
      <c r="J2751" t="s">
        <v>248</v>
      </c>
      <c r="L2751" s="34">
        <v>2</v>
      </c>
      <c r="M2751" s="38">
        <v>0.75</v>
      </c>
      <c r="N2751" s="38">
        <f t="shared" si="43"/>
        <v>1.5</v>
      </c>
    </row>
    <row r="2752" spans="1:14">
      <c r="A2752" s="29">
        <v>45215</v>
      </c>
      <c r="B2752" s="22" t="s">
        <v>109</v>
      </c>
      <c r="C2752" s="22" t="s">
        <v>57</v>
      </c>
      <c r="D2752" s="48" t="s">
        <v>8</v>
      </c>
      <c r="E2752" t="s">
        <v>179</v>
      </c>
      <c r="F2752">
        <v>2023</v>
      </c>
      <c r="G2752" t="s">
        <v>57</v>
      </c>
      <c r="H2752" s="42" t="s">
        <v>898</v>
      </c>
      <c r="J2752" t="s">
        <v>248</v>
      </c>
      <c r="L2752" s="34">
        <v>2</v>
      </c>
      <c r="M2752" s="38">
        <v>0.75</v>
      </c>
      <c r="N2752" s="38">
        <f t="shared" si="43"/>
        <v>1.5</v>
      </c>
    </row>
    <row r="2753" spans="1:14">
      <c r="A2753" s="29">
        <v>45215</v>
      </c>
      <c r="B2753" s="22" t="s">
        <v>109</v>
      </c>
      <c r="C2753" s="22" t="s">
        <v>57</v>
      </c>
      <c r="D2753" s="48" t="s">
        <v>8</v>
      </c>
      <c r="E2753" t="s">
        <v>178</v>
      </c>
      <c r="F2753">
        <v>2023</v>
      </c>
      <c r="G2753" t="s">
        <v>257</v>
      </c>
      <c r="H2753" s="42" t="s">
        <v>1177</v>
      </c>
      <c r="J2753" t="s">
        <v>248</v>
      </c>
      <c r="L2753" s="34">
        <v>1</v>
      </c>
      <c r="M2753" s="38">
        <v>0.75</v>
      </c>
      <c r="N2753" s="38">
        <f t="shared" si="43"/>
        <v>0.75</v>
      </c>
    </row>
    <row r="2754" spans="1:14">
      <c r="A2754" s="29">
        <v>45215</v>
      </c>
      <c r="B2754" s="22" t="s">
        <v>109</v>
      </c>
      <c r="C2754" s="22" t="s">
        <v>57</v>
      </c>
      <c r="D2754" s="48" t="s">
        <v>8</v>
      </c>
      <c r="E2754" t="s">
        <v>182</v>
      </c>
      <c r="F2754">
        <v>2023</v>
      </c>
      <c r="G2754" t="s">
        <v>57</v>
      </c>
      <c r="H2754" s="42" t="s">
        <v>835</v>
      </c>
      <c r="J2754" t="s">
        <v>248</v>
      </c>
      <c r="L2754" s="34">
        <v>1</v>
      </c>
      <c r="M2754" s="38">
        <v>0.75</v>
      </c>
      <c r="N2754" s="38">
        <f t="shared" si="43"/>
        <v>0.75</v>
      </c>
    </row>
    <row r="2755" spans="1:14">
      <c r="A2755" s="29">
        <v>45215</v>
      </c>
      <c r="B2755" s="22" t="s">
        <v>109</v>
      </c>
      <c r="C2755" s="22" t="s">
        <v>57</v>
      </c>
      <c r="D2755" s="48" t="s">
        <v>8</v>
      </c>
      <c r="E2755" t="s">
        <v>178</v>
      </c>
      <c r="F2755">
        <v>2023</v>
      </c>
      <c r="G2755" t="s">
        <v>57</v>
      </c>
      <c r="H2755" s="42" t="s">
        <v>748</v>
      </c>
      <c r="J2755" t="s">
        <v>248</v>
      </c>
      <c r="L2755" s="34">
        <v>1</v>
      </c>
      <c r="M2755" s="38">
        <v>0.75</v>
      </c>
      <c r="N2755" s="38">
        <f t="shared" si="43"/>
        <v>0.75</v>
      </c>
    </row>
    <row r="2756" spans="1:14">
      <c r="A2756" s="29">
        <v>45215</v>
      </c>
      <c r="B2756" s="22" t="s">
        <v>109</v>
      </c>
      <c r="C2756" s="22" t="s">
        <v>57</v>
      </c>
      <c r="D2756" s="48" t="s">
        <v>5</v>
      </c>
      <c r="E2756" t="s">
        <v>160</v>
      </c>
      <c r="F2756">
        <v>2023</v>
      </c>
      <c r="G2756" t="s">
        <v>57</v>
      </c>
      <c r="H2756" s="42" t="s">
        <v>1112</v>
      </c>
      <c r="J2756" t="s">
        <v>248</v>
      </c>
      <c r="L2756" s="34">
        <v>1</v>
      </c>
      <c r="M2756" s="38">
        <v>0.75</v>
      </c>
      <c r="N2756" s="38">
        <f t="shared" si="43"/>
        <v>0.75</v>
      </c>
    </row>
    <row r="2757" spans="1:14">
      <c r="A2757" s="29">
        <v>45216</v>
      </c>
      <c r="B2757" s="22" t="s">
        <v>57</v>
      </c>
      <c r="C2757" s="22" t="s">
        <v>249</v>
      </c>
      <c r="D2757" s="48" t="s">
        <v>5</v>
      </c>
      <c r="E2757" t="s">
        <v>161</v>
      </c>
      <c r="F2757">
        <v>2023</v>
      </c>
      <c r="G2757" t="s">
        <v>57</v>
      </c>
      <c r="H2757" s="42" t="s">
        <v>804</v>
      </c>
      <c r="J2757" t="s">
        <v>248</v>
      </c>
      <c r="L2757" s="34">
        <v>2</v>
      </c>
      <c r="M2757" s="38">
        <v>0.75</v>
      </c>
      <c r="N2757" s="38">
        <f t="shared" si="43"/>
        <v>1.5</v>
      </c>
    </row>
    <row r="2758" spans="1:14">
      <c r="A2758" s="29">
        <v>45216</v>
      </c>
      <c r="B2758" s="22" t="s">
        <v>57</v>
      </c>
      <c r="C2758" s="22" t="s">
        <v>249</v>
      </c>
      <c r="D2758" s="48" t="s">
        <v>11</v>
      </c>
      <c r="E2758" t="s">
        <v>177</v>
      </c>
      <c r="F2758">
        <v>2023</v>
      </c>
      <c r="G2758" t="s">
        <v>1178</v>
      </c>
      <c r="H2758" s="42" t="s">
        <v>1179</v>
      </c>
      <c r="J2758" t="s">
        <v>248</v>
      </c>
      <c r="L2758" s="34">
        <v>2</v>
      </c>
      <c r="M2758" s="38">
        <v>0.75</v>
      </c>
      <c r="N2758" s="38">
        <f t="shared" si="43"/>
        <v>1.5</v>
      </c>
    </row>
    <row r="2759" spans="1:14">
      <c r="A2759" s="29">
        <v>45216</v>
      </c>
      <c r="B2759" s="22" t="s">
        <v>74</v>
      </c>
      <c r="C2759" s="22" t="s">
        <v>57</v>
      </c>
      <c r="D2759" s="48" t="s">
        <v>5</v>
      </c>
      <c r="E2759" t="s">
        <v>157</v>
      </c>
      <c r="F2759">
        <v>2023</v>
      </c>
      <c r="G2759" t="s">
        <v>326</v>
      </c>
      <c r="H2759" s="42" t="s">
        <v>57</v>
      </c>
      <c r="J2759" t="s">
        <v>248</v>
      </c>
      <c r="L2759" s="34">
        <v>1</v>
      </c>
      <c r="M2759" s="38">
        <v>0.75</v>
      </c>
      <c r="N2759" s="38">
        <f t="shared" si="43"/>
        <v>0.75</v>
      </c>
    </row>
    <row r="2760" spans="1:14">
      <c r="A2760" s="29">
        <v>45216</v>
      </c>
      <c r="B2760" s="22" t="s">
        <v>74</v>
      </c>
      <c r="C2760" s="22" t="s">
        <v>57</v>
      </c>
      <c r="D2760" s="48" t="s">
        <v>5</v>
      </c>
      <c r="E2760" t="s">
        <v>157</v>
      </c>
      <c r="F2760">
        <v>2023</v>
      </c>
      <c r="G2760" t="s">
        <v>257</v>
      </c>
      <c r="H2760" s="42" t="s">
        <v>57</v>
      </c>
      <c r="J2760" t="s">
        <v>248</v>
      </c>
      <c r="L2760" s="34">
        <v>1</v>
      </c>
      <c r="M2760" s="38">
        <v>0.75</v>
      </c>
      <c r="N2760" s="38">
        <f t="shared" si="43"/>
        <v>0.75</v>
      </c>
    </row>
    <row r="2761" spans="1:14">
      <c r="A2761" s="29">
        <v>45216</v>
      </c>
      <c r="B2761" s="22" t="s">
        <v>74</v>
      </c>
      <c r="C2761" s="22" t="s">
        <v>57</v>
      </c>
      <c r="D2761" s="48" t="s">
        <v>5</v>
      </c>
      <c r="E2761" t="s">
        <v>157</v>
      </c>
      <c r="F2761">
        <v>2023</v>
      </c>
      <c r="G2761" t="s">
        <v>57</v>
      </c>
      <c r="H2761" s="42" t="s">
        <v>814</v>
      </c>
      <c r="J2761" t="s">
        <v>248</v>
      </c>
      <c r="L2761" s="34">
        <v>1</v>
      </c>
      <c r="M2761" s="38">
        <v>0.75</v>
      </c>
      <c r="N2761" s="38">
        <f t="shared" si="43"/>
        <v>0.75</v>
      </c>
    </row>
    <row r="2762" spans="1:14">
      <c r="A2762" s="29">
        <v>45216</v>
      </c>
      <c r="B2762" s="22" t="s">
        <v>16</v>
      </c>
      <c r="C2762" s="22" t="s">
        <v>49</v>
      </c>
      <c r="D2762" s="48" t="s">
        <v>5</v>
      </c>
      <c r="E2762" t="s">
        <v>1174</v>
      </c>
      <c r="F2762">
        <v>2023</v>
      </c>
      <c r="G2762" t="s">
        <v>57</v>
      </c>
      <c r="H2762" s="42" t="s">
        <v>1175</v>
      </c>
      <c r="J2762" t="s">
        <v>248</v>
      </c>
      <c r="L2762" s="34">
        <v>2</v>
      </c>
      <c r="M2762" s="38">
        <v>0.75</v>
      </c>
      <c r="N2762" s="38">
        <f t="shared" si="43"/>
        <v>1.5</v>
      </c>
    </row>
    <row r="2763" spans="1:14">
      <c r="A2763" s="29">
        <v>45216</v>
      </c>
      <c r="B2763" s="22" t="s">
        <v>16</v>
      </c>
      <c r="C2763" s="22" t="s">
        <v>49</v>
      </c>
      <c r="D2763" s="48" t="s">
        <v>5</v>
      </c>
      <c r="E2763" t="s">
        <v>1174</v>
      </c>
      <c r="F2763">
        <v>2023</v>
      </c>
      <c r="G2763" t="s">
        <v>57</v>
      </c>
      <c r="H2763" s="42" t="s">
        <v>840</v>
      </c>
      <c r="J2763" t="s">
        <v>248</v>
      </c>
      <c r="L2763" s="34">
        <v>2</v>
      </c>
      <c r="M2763" s="38">
        <v>0.75</v>
      </c>
      <c r="N2763" s="38">
        <f t="shared" si="43"/>
        <v>1.5</v>
      </c>
    </row>
    <row r="2764" spans="1:14">
      <c r="A2764" s="29">
        <v>45216</v>
      </c>
      <c r="B2764" s="22" t="s">
        <v>16</v>
      </c>
      <c r="C2764" s="22" t="s">
        <v>49</v>
      </c>
      <c r="D2764" s="48" t="s">
        <v>5</v>
      </c>
      <c r="E2764" t="s">
        <v>158</v>
      </c>
      <c r="F2764">
        <v>2023</v>
      </c>
      <c r="G2764" t="s">
        <v>490</v>
      </c>
      <c r="H2764" s="42" t="s">
        <v>57</v>
      </c>
      <c r="J2764" t="s">
        <v>248</v>
      </c>
      <c r="L2764" s="34">
        <v>6</v>
      </c>
      <c r="M2764" s="38">
        <v>0.75</v>
      </c>
      <c r="N2764" s="38">
        <f t="shared" si="43"/>
        <v>4.5</v>
      </c>
    </row>
    <row r="2765" spans="1:14">
      <c r="A2765" s="29">
        <v>45216</v>
      </c>
      <c r="B2765" s="22" t="s">
        <v>16</v>
      </c>
      <c r="C2765" s="22" t="s">
        <v>49</v>
      </c>
      <c r="D2765" s="48" t="s">
        <v>5</v>
      </c>
      <c r="E2765" t="s">
        <v>255</v>
      </c>
      <c r="F2765">
        <v>2023</v>
      </c>
      <c r="G2765" t="s">
        <v>487</v>
      </c>
      <c r="H2765" s="42" t="s">
        <v>57</v>
      </c>
      <c r="J2765" t="s">
        <v>248</v>
      </c>
      <c r="L2765" s="34">
        <v>6</v>
      </c>
      <c r="M2765" s="38">
        <v>0.75</v>
      </c>
      <c r="N2765" s="38">
        <f t="shared" si="43"/>
        <v>4.5</v>
      </c>
    </row>
    <row r="2766" spans="1:14">
      <c r="A2766" s="29">
        <v>45216</v>
      </c>
      <c r="B2766" s="22" t="s">
        <v>16</v>
      </c>
      <c r="C2766" s="22" t="s">
        <v>49</v>
      </c>
      <c r="D2766" s="48" t="s">
        <v>5</v>
      </c>
      <c r="E2766" t="s">
        <v>182</v>
      </c>
      <c r="F2766">
        <v>2023</v>
      </c>
      <c r="G2766" t="s">
        <v>489</v>
      </c>
      <c r="H2766" s="42" t="s">
        <v>57</v>
      </c>
      <c r="J2766" t="s">
        <v>248</v>
      </c>
      <c r="K2766" t="s">
        <v>1180</v>
      </c>
      <c r="L2766" s="34">
        <v>6</v>
      </c>
      <c r="M2766" s="38">
        <v>0.75</v>
      </c>
      <c r="N2766" s="38">
        <f t="shared" si="43"/>
        <v>4.5</v>
      </c>
    </row>
    <row r="2767" spans="1:14">
      <c r="A2767" s="29">
        <v>45216</v>
      </c>
      <c r="B2767" s="22" t="s">
        <v>74</v>
      </c>
      <c r="C2767" s="22" t="s">
        <v>57</v>
      </c>
      <c r="D2767" s="48" t="s">
        <v>5</v>
      </c>
      <c r="E2767" t="s">
        <v>262</v>
      </c>
      <c r="F2767">
        <v>2023</v>
      </c>
      <c r="G2767" t="s">
        <v>1181</v>
      </c>
      <c r="H2767" s="42" t="s">
        <v>57</v>
      </c>
      <c r="J2767" t="s">
        <v>248</v>
      </c>
      <c r="L2767" s="34">
        <v>2</v>
      </c>
      <c r="M2767" s="38">
        <v>0.75</v>
      </c>
      <c r="N2767" s="38">
        <f t="shared" si="43"/>
        <v>1.5</v>
      </c>
    </row>
    <row r="2768" spans="1:14">
      <c r="A2768" s="29">
        <v>45217</v>
      </c>
      <c r="B2768" s="22" t="s">
        <v>52</v>
      </c>
      <c r="C2768" s="22" t="s">
        <v>1182</v>
      </c>
      <c r="D2768" s="48" t="s">
        <v>5</v>
      </c>
      <c r="E2768" t="s">
        <v>255</v>
      </c>
      <c r="F2768">
        <v>2023</v>
      </c>
      <c r="G2768" t="s">
        <v>487</v>
      </c>
      <c r="H2768" s="42" t="s">
        <v>57</v>
      </c>
      <c r="J2768" t="s">
        <v>248</v>
      </c>
      <c r="L2768" s="34">
        <v>2</v>
      </c>
      <c r="M2768" s="38">
        <v>0.75</v>
      </c>
      <c r="N2768" s="38">
        <f t="shared" si="43"/>
        <v>1.5</v>
      </c>
    </row>
    <row r="2769" spans="1:14">
      <c r="A2769" s="29">
        <v>45217</v>
      </c>
      <c r="B2769" s="22" t="s">
        <v>52</v>
      </c>
      <c r="C2769" s="22" t="s">
        <v>1182</v>
      </c>
      <c r="D2769" s="48" t="s">
        <v>5</v>
      </c>
      <c r="E2769" t="s">
        <v>158</v>
      </c>
      <c r="F2769">
        <v>2023</v>
      </c>
      <c r="G2769" t="s">
        <v>490</v>
      </c>
      <c r="H2769" s="42" t="s">
        <v>57</v>
      </c>
      <c r="J2769" t="s">
        <v>248</v>
      </c>
      <c r="L2769" s="34">
        <v>2</v>
      </c>
      <c r="M2769" s="38">
        <v>0.75</v>
      </c>
      <c r="N2769" s="38">
        <f t="shared" si="43"/>
        <v>1.5</v>
      </c>
    </row>
    <row r="2770" spans="1:14">
      <c r="A2770" s="29">
        <v>45217</v>
      </c>
      <c r="B2770" s="22" t="s">
        <v>52</v>
      </c>
      <c r="C2770" s="22" t="s">
        <v>1182</v>
      </c>
      <c r="D2770" s="48" t="s">
        <v>5</v>
      </c>
      <c r="E2770" t="s">
        <v>161</v>
      </c>
      <c r="F2770">
        <v>2023</v>
      </c>
      <c r="G2770" t="s">
        <v>57</v>
      </c>
      <c r="H2770" s="42" t="s">
        <v>804</v>
      </c>
      <c r="J2770" t="s">
        <v>248</v>
      </c>
      <c r="L2770" s="34">
        <v>2</v>
      </c>
      <c r="M2770" s="38">
        <v>0.75</v>
      </c>
      <c r="N2770" s="38">
        <f t="shared" si="43"/>
        <v>1.5</v>
      </c>
    </row>
    <row r="2771" spans="1:14">
      <c r="A2771" s="29">
        <v>45217</v>
      </c>
      <c r="B2771" s="22" t="s">
        <v>52</v>
      </c>
      <c r="C2771" s="22" t="s">
        <v>1182</v>
      </c>
      <c r="D2771" s="48" t="s">
        <v>8</v>
      </c>
      <c r="E2771" t="s">
        <v>273</v>
      </c>
      <c r="F2771">
        <v>2023</v>
      </c>
      <c r="G2771" t="s">
        <v>374</v>
      </c>
      <c r="H2771" s="42" t="s">
        <v>57</v>
      </c>
      <c r="J2771" t="s">
        <v>248</v>
      </c>
      <c r="L2771" s="34">
        <v>2</v>
      </c>
      <c r="M2771" s="38">
        <v>0.75</v>
      </c>
      <c r="N2771" s="38">
        <f t="shared" si="43"/>
        <v>1.5</v>
      </c>
    </row>
    <row r="2772" spans="1:14">
      <c r="A2772" s="29">
        <v>45217</v>
      </c>
      <c r="B2772" s="22" t="s">
        <v>109</v>
      </c>
      <c r="C2772" s="22" t="s">
        <v>57</v>
      </c>
      <c r="D2772" s="48" t="s">
        <v>5</v>
      </c>
      <c r="E2772" t="s">
        <v>157</v>
      </c>
      <c r="F2772">
        <v>2023</v>
      </c>
      <c r="G2772" t="s">
        <v>326</v>
      </c>
      <c r="H2772" s="42" t="s">
        <v>57</v>
      </c>
      <c r="J2772" t="s">
        <v>248</v>
      </c>
      <c r="L2772" s="34">
        <v>2</v>
      </c>
      <c r="M2772" s="38">
        <v>0.75</v>
      </c>
      <c r="N2772" s="38">
        <f t="shared" si="43"/>
        <v>1.5</v>
      </c>
    </row>
    <row r="2773" spans="1:14">
      <c r="A2773" s="29">
        <v>45217</v>
      </c>
      <c r="B2773" s="22" t="s">
        <v>109</v>
      </c>
      <c r="C2773" s="22" t="s">
        <v>57</v>
      </c>
      <c r="D2773" s="48" t="s">
        <v>5</v>
      </c>
      <c r="E2773" t="s">
        <v>158</v>
      </c>
      <c r="F2773">
        <v>2023</v>
      </c>
      <c r="G2773" t="s">
        <v>309</v>
      </c>
      <c r="H2773" s="42" t="s">
        <v>57</v>
      </c>
      <c r="J2773" t="s">
        <v>248</v>
      </c>
      <c r="K2773" t="s">
        <v>1183</v>
      </c>
      <c r="L2773" s="34">
        <v>2</v>
      </c>
      <c r="M2773" s="38">
        <v>0.75</v>
      </c>
      <c r="N2773" s="38">
        <f t="shared" si="43"/>
        <v>1.5</v>
      </c>
    </row>
    <row r="2774" spans="1:14">
      <c r="A2774" s="29">
        <v>45217</v>
      </c>
      <c r="B2774" s="22" t="s">
        <v>109</v>
      </c>
      <c r="C2774" s="22" t="s">
        <v>57</v>
      </c>
      <c r="D2774" s="48" t="s">
        <v>8</v>
      </c>
      <c r="E2774" t="s">
        <v>502</v>
      </c>
      <c r="F2774">
        <v>2023</v>
      </c>
      <c r="G2774" t="s">
        <v>1184</v>
      </c>
      <c r="H2774" s="42" t="s">
        <v>784</v>
      </c>
      <c r="J2774" t="s">
        <v>248</v>
      </c>
      <c r="L2774" s="34">
        <v>1</v>
      </c>
      <c r="M2774" s="38">
        <v>0.75</v>
      </c>
      <c r="N2774" s="38">
        <f t="shared" si="43"/>
        <v>0.75</v>
      </c>
    </row>
    <row r="2775" spans="1:14">
      <c r="A2775" s="29">
        <v>45217</v>
      </c>
      <c r="B2775" s="22" t="s">
        <v>109</v>
      </c>
      <c r="C2775" s="22" t="s">
        <v>57</v>
      </c>
      <c r="D2775" s="48" t="s">
        <v>8</v>
      </c>
      <c r="E2775" t="s">
        <v>502</v>
      </c>
      <c r="F2775">
        <v>2023</v>
      </c>
      <c r="G2775" t="s">
        <v>309</v>
      </c>
      <c r="H2775" s="42" t="s">
        <v>57</v>
      </c>
      <c r="J2775" t="s">
        <v>248</v>
      </c>
      <c r="K2775" t="s">
        <v>1185</v>
      </c>
      <c r="L2775" s="34">
        <v>1</v>
      </c>
      <c r="M2775" s="38">
        <v>0.75</v>
      </c>
      <c r="N2775" s="38">
        <f t="shared" si="43"/>
        <v>0.75</v>
      </c>
    </row>
    <row r="2776" spans="1:14">
      <c r="A2776" s="29">
        <v>45217</v>
      </c>
      <c r="B2776" s="22" t="s">
        <v>109</v>
      </c>
      <c r="C2776" s="22" t="s">
        <v>57</v>
      </c>
      <c r="D2776" s="48" t="s">
        <v>8</v>
      </c>
      <c r="E2776" t="s">
        <v>502</v>
      </c>
      <c r="F2776">
        <v>2023</v>
      </c>
      <c r="G2776" t="s">
        <v>309</v>
      </c>
      <c r="H2776" s="42" t="s">
        <v>57</v>
      </c>
      <c r="J2776" t="s">
        <v>248</v>
      </c>
      <c r="K2776" t="s">
        <v>1186</v>
      </c>
      <c r="L2776" s="34">
        <v>1</v>
      </c>
      <c r="M2776" s="38">
        <v>0.75</v>
      </c>
      <c r="N2776" s="38">
        <f t="shared" si="43"/>
        <v>0.75</v>
      </c>
    </row>
    <row r="2777" spans="1:14">
      <c r="A2777" s="29">
        <v>45217</v>
      </c>
      <c r="B2777" s="22" t="s">
        <v>109</v>
      </c>
      <c r="C2777" s="22" t="s">
        <v>57</v>
      </c>
      <c r="D2777" s="48" t="s">
        <v>8</v>
      </c>
      <c r="E2777" t="s">
        <v>502</v>
      </c>
      <c r="F2777">
        <v>2023</v>
      </c>
      <c r="G2777" t="s">
        <v>309</v>
      </c>
      <c r="H2777" s="42" t="s">
        <v>57</v>
      </c>
      <c r="J2777" t="s">
        <v>248</v>
      </c>
      <c r="L2777" s="34">
        <v>1</v>
      </c>
      <c r="M2777" s="38">
        <v>0.75</v>
      </c>
      <c r="N2777" s="38">
        <f t="shared" si="43"/>
        <v>0.75</v>
      </c>
    </row>
    <row r="2778" spans="1:14">
      <c r="A2778" s="29">
        <v>45217</v>
      </c>
      <c r="B2778" s="22" t="s">
        <v>63</v>
      </c>
      <c r="C2778" s="22" t="s">
        <v>57</v>
      </c>
      <c r="D2778" s="48" t="s">
        <v>5</v>
      </c>
      <c r="E2778" t="s">
        <v>494</v>
      </c>
      <c r="F2778">
        <v>2023</v>
      </c>
      <c r="G2778" t="s">
        <v>404</v>
      </c>
      <c r="H2778" s="42" t="s">
        <v>57</v>
      </c>
      <c r="J2778" t="s">
        <v>248</v>
      </c>
      <c r="L2778" s="34">
        <v>3</v>
      </c>
      <c r="M2778" s="38">
        <v>0.75</v>
      </c>
      <c r="N2778" s="38">
        <f t="shared" si="43"/>
        <v>2.25</v>
      </c>
    </row>
    <row r="2779" spans="1:14">
      <c r="A2779" s="29">
        <v>45217</v>
      </c>
      <c r="B2779" s="22" t="s">
        <v>63</v>
      </c>
      <c r="C2779" s="22" t="s">
        <v>57</v>
      </c>
      <c r="D2779" s="48" t="s">
        <v>8</v>
      </c>
      <c r="E2779" t="s">
        <v>479</v>
      </c>
      <c r="F2779">
        <v>2023</v>
      </c>
      <c r="G2779" t="s">
        <v>374</v>
      </c>
      <c r="H2779" s="42" t="s">
        <v>57</v>
      </c>
      <c r="J2779" t="s">
        <v>248</v>
      </c>
      <c r="L2779" s="34">
        <v>3</v>
      </c>
      <c r="M2779" s="38">
        <v>0.75</v>
      </c>
      <c r="N2779" s="38">
        <f t="shared" si="43"/>
        <v>2.25</v>
      </c>
    </row>
    <row r="2780" spans="1:14">
      <c r="A2780" s="29">
        <v>45222</v>
      </c>
      <c r="B2780" s="22" t="s">
        <v>16</v>
      </c>
      <c r="C2780" s="22" t="s">
        <v>49</v>
      </c>
      <c r="D2780" s="48" t="s">
        <v>5</v>
      </c>
      <c r="E2780" t="s">
        <v>1174</v>
      </c>
      <c r="F2780">
        <v>2023</v>
      </c>
      <c r="G2780" t="s">
        <v>57</v>
      </c>
      <c r="H2780" s="42" t="s">
        <v>1175</v>
      </c>
      <c r="J2780" t="s">
        <v>248</v>
      </c>
      <c r="L2780" s="34">
        <v>4</v>
      </c>
      <c r="M2780" s="38">
        <v>0.75</v>
      </c>
      <c r="N2780" s="38">
        <f t="shared" si="43"/>
        <v>3</v>
      </c>
    </row>
    <row r="2781" spans="1:14">
      <c r="A2781" s="29">
        <v>45222</v>
      </c>
      <c r="B2781" s="22" t="s">
        <v>16</v>
      </c>
      <c r="C2781" s="22" t="s">
        <v>49</v>
      </c>
      <c r="D2781" s="48" t="s">
        <v>5</v>
      </c>
      <c r="E2781" t="s">
        <v>1174</v>
      </c>
      <c r="F2781">
        <v>2023</v>
      </c>
      <c r="G2781" t="s">
        <v>57</v>
      </c>
      <c r="H2781" s="42" t="s">
        <v>840</v>
      </c>
      <c r="J2781" t="s">
        <v>248</v>
      </c>
      <c r="L2781" s="34">
        <v>4</v>
      </c>
      <c r="M2781" s="38">
        <v>0.75</v>
      </c>
      <c r="N2781" s="38">
        <f t="shared" si="43"/>
        <v>3</v>
      </c>
    </row>
    <row r="2782" spans="1:14">
      <c r="A2782" s="29">
        <v>45222</v>
      </c>
      <c r="B2782" s="22" t="s">
        <v>16</v>
      </c>
      <c r="C2782" s="22" t="s">
        <v>49</v>
      </c>
      <c r="D2782" s="48" t="s">
        <v>8</v>
      </c>
      <c r="E2782" t="s">
        <v>273</v>
      </c>
      <c r="F2782">
        <v>2023</v>
      </c>
      <c r="G2782" t="s">
        <v>374</v>
      </c>
      <c r="H2782" s="42" t="s">
        <v>57</v>
      </c>
      <c r="J2782" t="s">
        <v>248</v>
      </c>
      <c r="L2782" s="34">
        <v>6</v>
      </c>
      <c r="M2782" s="38">
        <v>0.75</v>
      </c>
      <c r="N2782" s="38">
        <f t="shared" si="43"/>
        <v>4.5</v>
      </c>
    </row>
    <row r="2783" spans="1:14">
      <c r="A2783" s="29">
        <v>45222</v>
      </c>
      <c r="B2783" s="22" t="s">
        <v>63</v>
      </c>
      <c r="C2783" s="22" t="s">
        <v>57</v>
      </c>
      <c r="D2783" s="48" t="s">
        <v>5</v>
      </c>
      <c r="E2783" t="s">
        <v>159</v>
      </c>
      <c r="F2783">
        <v>2022</v>
      </c>
      <c r="G2783" t="s">
        <v>57</v>
      </c>
      <c r="H2783" s="42" t="s">
        <v>1187</v>
      </c>
      <c r="J2783" t="s">
        <v>248</v>
      </c>
      <c r="L2783" s="34">
        <v>2</v>
      </c>
      <c r="M2783" s="38">
        <v>0.75</v>
      </c>
      <c r="N2783" s="38">
        <f t="shared" si="43"/>
        <v>1.5</v>
      </c>
    </row>
    <row r="2784" spans="1:14">
      <c r="A2784" s="29">
        <v>45222</v>
      </c>
      <c r="B2784" s="22" t="s">
        <v>63</v>
      </c>
      <c r="C2784" s="22" t="s">
        <v>57</v>
      </c>
      <c r="D2784" s="48" t="s">
        <v>5</v>
      </c>
      <c r="E2784" t="s">
        <v>159</v>
      </c>
      <c r="F2784">
        <v>2023</v>
      </c>
      <c r="G2784" t="s">
        <v>326</v>
      </c>
      <c r="H2784" s="42" t="s">
        <v>57</v>
      </c>
      <c r="J2784" t="s">
        <v>248</v>
      </c>
      <c r="L2784" s="34">
        <v>4</v>
      </c>
      <c r="M2784" s="38">
        <v>0.75</v>
      </c>
      <c r="N2784" s="38">
        <f t="shared" si="43"/>
        <v>3</v>
      </c>
    </row>
    <row r="2785" spans="1:14">
      <c r="A2785" s="29">
        <v>45222</v>
      </c>
      <c r="B2785" s="22" t="s">
        <v>63</v>
      </c>
      <c r="C2785" s="22" t="s">
        <v>57</v>
      </c>
      <c r="D2785" s="48" t="s">
        <v>5</v>
      </c>
      <c r="E2785" t="s">
        <v>159</v>
      </c>
      <c r="F2785">
        <v>2023</v>
      </c>
      <c r="G2785" t="s">
        <v>247</v>
      </c>
      <c r="H2785" s="42" t="s">
        <v>57</v>
      </c>
      <c r="J2785" t="s">
        <v>248</v>
      </c>
      <c r="L2785" s="34">
        <v>4</v>
      </c>
      <c r="M2785" s="38">
        <v>0.75</v>
      </c>
      <c r="N2785" s="38">
        <f t="shared" si="43"/>
        <v>3</v>
      </c>
    </row>
    <row r="2786" spans="1:14">
      <c r="A2786" s="29">
        <v>45222</v>
      </c>
      <c r="B2786" s="22" t="s">
        <v>63</v>
      </c>
      <c r="C2786" s="22" t="s">
        <v>57</v>
      </c>
      <c r="D2786" s="48" t="s">
        <v>5</v>
      </c>
      <c r="E2786" t="s">
        <v>159</v>
      </c>
      <c r="F2786">
        <v>2023</v>
      </c>
      <c r="G2786" t="s">
        <v>319</v>
      </c>
      <c r="H2786" s="42" t="s">
        <v>57</v>
      </c>
      <c r="J2786" t="s">
        <v>248</v>
      </c>
      <c r="L2786" s="34">
        <v>4</v>
      </c>
      <c r="M2786" s="38">
        <v>0.75</v>
      </c>
      <c r="N2786" s="38">
        <f t="shared" si="43"/>
        <v>3</v>
      </c>
    </row>
    <row r="2787" spans="1:14">
      <c r="A2787" s="29">
        <v>45222</v>
      </c>
      <c r="B2787" s="22" t="s">
        <v>63</v>
      </c>
      <c r="C2787" s="22" t="s">
        <v>57</v>
      </c>
      <c r="D2787" s="48" t="s">
        <v>5</v>
      </c>
      <c r="E2787" t="s">
        <v>157</v>
      </c>
      <c r="F2787">
        <v>2023</v>
      </c>
      <c r="G2787" t="s">
        <v>326</v>
      </c>
      <c r="H2787" s="42" t="s">
        <v>57</v>
      </c>
      <c r="J2787" t="s">
        <v>248</v>
      </c>
      <c r="L2787" s="34">
        <v>4</v>
      </c>
      <c r="M2787" s="38">
        <v>0.75</v>
      </c>
      <c r="N2787" s="38">
        <f t="shared" si="43"/>
        <v>3</v>
      </c>
    </row>
    <row r="2788" spans="1:14">
      <c r="A2788" s="29">
        <v>45222</v>
      </c>
      <c r="B2788" s="22" t="s">
        <v>63</v>
      </c>
      <c r="C2788" s="22" t="s">
        <v>57</v>
      </c>
      <c r="D2788" s="48" t="s">
        <v>5</v>
      </c>
      <c r="E2788" t="s">
        <v>157</v>
      </c>
      <c r="F2788">
        <v>2023</v>
      </c>
      <c r="G2788" t="s">
        <v>247</v>
      </c>
      <c r="H2788" s="42" t="s">
        <v>57</v>
      </c>
      <c r="J2788" t="s">
        <v>248</v>
      </c>
      <c r="L2788" s="34">
        <v>4</v>
      </c>
      <c r="M2788" s="38">
        <v>0.75</v>
      </c>
      <c r="N2788" s="38">
        <f t="shared" si="43"/>
        <v>3</v>
      </c>
    </row>
    <row r="2789" spans="1:14">
      <c r="A2789" s="29">
        <v>45222</v>
      </c>
      <c r="B2789" s="22" t="s">
        <v>63</v>
      </c>
      <c r="C2789" s="22" t="s">
        <v>57</v>
      </c>
      <c r="D2789" s="48" t="s">
        <v>5</v>
      </c>
      <c r="E2789" t="s">
        <v>157</v>
      </c>
      <c r="F2789">
        <v>2023</v>
      </c>
      <c r="G2789" t="s">
        <v>540</v>
      </c>
      <c r="H2789" s="42" t="s">
        <v>798</v>
      </c>
      <c r="J2789" t="s">
        <v>248</v>
      </c>
      <c r="L2789" s="34">
        <v>2</v>
      </c>
      <c r="M2789" s="38">
        <v>0.75</v>
      </c>
      <c r="N2789" s="38">
        <f t="shared" si="43"/>
        <v>1.5</v>
      </c>
    </row>
    <row r="2790" spans="1:14">
      <c r="A2790" s="29">
        <v>45223</v>
      </c>
      <c r="B2790" s="22" t="s">
        <v>3</v>
      </c>
      <c r="C2790" s="22" t="s">
        <v>57</v>
      </c>
      <c r="D2790" s="48" t="s">
        <v>5</v>
      </c>
      <c r="E2790" t="s">
        <v>1188</v>
      </c>
      <c r="F2790">
        <v>2023</v>
      </c>
      <c r="G2790" t="s">
        <v>357</v>
      </c>
      <c r="H2790" s="42" t="s">
        <v>57</v>
      </c>
      <c r="J2790" t="s">
        <v>248</v>
      </c>
      <c r="L2790" s="34">
        <v>2</v>
      </c>
      <c r="M2790" s="38">
        <v>0.75</v>
      </c>
      <c r="N2790" s="38">
        <f t="shared" si="43"/>
        <v>1.5</v>
      </c>
    </row>
    <row r="2791" spans="1:14">
      <c r="A2791" s="29">
        <v>45223</v>
      </c>
      <c r="B2791" s="22" t="s">
        <v>3</v>
      </c>
      <c r="C2791" s="22" t="s">
        <v>57</v>
      </c>
      <c r="D2791" s="48" t="s">
        <v>5</v>
      </c>
      <c r="E2791" t="s">
        <v>1188</v>
      </c>
      <c r="F2791">
        <v>2023</v>
      </c>
      <c r="G2791" t="s">
        <v>359</v>
      </c>
      <c r="H2791" s="42" t="s">
        <v>57</v>
      </c>
      <c r="J2791" t="s">
        <v>248</v>
      </c>
      <c r="L2791" s="34">
        <v>2</v>
      </c>
      <c r="M2791" s="38">
        <v>0.75</v>
      </c>
      <c r="N2791" s="38">
        <f t="shared" si="43"/>
        <v>1.5</v>
      </c>
    </row>
    <row r="2792" spans="1:14">
      <c r="A2792" s="29">
        <v>45223</v>
      </c>
      <c r="B2792" s="22" t="s">
        <v>3</v>
      </c>
      <c r="C2792" s="22" t="s">
        <v>57</v>
      </c>
      <c r="D2792" s="48" t="s">
        <v>8</v>
      </c>
      <c r="E2792" t="s">
        <v>273</v>
      </c>
      <c r="F2792">
        <v>2023</v>
      </c>
      <c r="G2792" t="s">
        <v>1189</v>
      </c>
      <c r="H2792" s="42" t="s">
        <v>57</v>
      </c>
      <c r="J2792" t="s">
        <v>248</v>
      </c>
      <c r="L2792" s="34">
        <v>2</v>
      </c>
      <c r="M2792" s="38">
        <v>0.75</v>
      </c>
      <c r="N2792" s="38">
        <f t="shared" si="43"/>
        <v>1.5</v>
      </c>
    </row>
    <row r="2793" spans="1:14">
      <c r="A2793" s="29">
        <v>45223</v>
      </c>
      <c r="B2793" s="22" t="s">
        <v>3</v>
      </c>
      <c r="C2793" s="22" t="s">
        <v>57</v>
      </c>
      <c r="D2793" s="48" t="s">
        <v>8</v>
      </c>
      <c r="E2793" t="s">
        <v>273</v>
      </c>
      <c r="F2793">
        <v>2023</v>
      </c>
      <c r="G2793" t="s">
        <v>1190</v>
      </c>
      <c r="H2793" s="42" t="s">
        <v>57</v>
      </c>
      <c r="J2793" t="s">
        <v>248</v>
      </c>
      <c r="L2793" s="34">
        <v>2</v>
      </c>
      <c r="M2793" s="38">
        <v>0.75</v>
      </c>
      <c r="N2793" s="38">
        <f t="shared" si="43"/>
        <v>1.5</v>
      </c>
    </row>
    <row r="2794" spans="1:14">
      <c r="A2794" s="29">
        <v>45225</v>
      </c>
      <c r="B2794" s="22" t="s">
        <v>69</v>
      </c>
      <c r="C2794" s="22" t="s">
        <v>57</v>
      </c>
      <c r="D2794" s="48" t="s">
        <v>5</v>
      </c>
      <c r="E2794" t="s">
        <v>777</v>
      </c>
      <c r="F2794">
        <v>2023</v>
      </c>
      <c r="G2794" t="s">
        <v>357</v>
      </c>
      <c r="H2794" s="42" t="s">
        <v>57</v>
      </c>
      <c r="J2794" t="s">
        <v>248</v>
      </c>
      <c r="L2794" s="34">
        <v>2</v>
      </c>
      <c r="M2794" s="38">
        <v>0.75</v>
      </c>
      <c r="N2794" s="38">
        <f t="shared" si="43"/>
        <v>1.5</v>
      </c>
    </row>
    <row r="2795" spans="1:14">
      <c r="A2795" s="29">
        <v>45225</v>
      </c>
      <c r="B2795" s="22" t="s">
        <v>69</v>
      </c>
      <c r="C2795" s="22" t="s">
        <v>57</v>
      </c>
      <c r="D2795" s="48" t="s">
        <v>5</v>
      </c>
      <c r="E2795" t="s">
        <v>777</v>
      </c>
      <c r="F2795">
        <v>2023</v>
      </c>
      <c r="G2795" t="s">
        <v>359</v>
      </c>
      <c r="H2795" s="42" t="s">
        <v>57</v>
      </c>
      <c r="J2795" t="s">
        <v>248</v>
      </c>
      <c r="L2795" s="34">
        <v>2</v>
      </c>
      <c r="M2795" s="38">
        <v>0.75</v>
      </c>
      <c r="N2795" s="38">
        <f t="shared" si="43"/>
        <v>1.5</v>
      </c>
    </row>
    <row r="2796" spans="1:14">
      <c r="A2796" s="29">
        <v>45225</v>
      </c>
      <c r="B2796" s="22" t="s">
        <v>69</v>
      </c>
      <c r="C2796" s="22" t="s">
        <v>57</v>
      </c>
      <c r="D2796" s="48" t="s">
        <v>8</v>
      </c>
      <c r="E2796" t="s">
        <v>777</v>
      </c>
      <c r="F2796">
        <v>2023</v>
      </c>
      <c r="G2796" t="s">
        <v>357</v>
      </c>
      <c r="H2796" s="42" t="s">
        <v>57</v>
      </c>
      <c r="J2796" t="s">
        <v>248</v>
      </c>
      <c r="L2796" s="34">
        <v>2</v>
      </c>
      <c r="M2796" s="38">
        <v>0.75</v>
      </c>
      <c r="N2796" s="38">
        <f t="shared" si="43"/>
        <v>1.5</v>
      </c>
    </row>
    <row r="2797" spans="1:14">
      <c r="A2797" s="29">
        <v>45225</v>
      </c>
      <c r="B2797" s="22" t="s">
        <v>69</v>
      </c>
      <c r="C2797" s="22" t="s">
        <v>57</v>
      </c>
      <c r="D2797" s="48" t="s">
        <v>8</v>
      </c>
      <c r="E2797" t="s">
        <v>777</v>
      </c>
      <c r="F2797">
        <v>2023</v>
      </c>
      <c r="G2797" t="s">
        <v>359</v>
      </c>
      <c r="H2797" s="42" t="s">
        <v>57</v>
      </c>
      <c r="J2797" t="s">
        <v>248</v>
      </c>
      <c r="L2797" s="34">
        <v>2</v>
      </c>
      <c r="M2797" s="38">
        <v>0.75</v>
      </c>
      <c r="N2797" s="38">
        <f t="shared" si="43"/>
        <v>1.5</v>
      </c>
    </row>
    <row r="2798" spans="1:14">
      <c r="A2798" s="29">
        <v>45225</v>
      </c>
      <c r="B2798" s="22" t="s">
        <v>69</v>
      </c>
      <c r="C2798" s="22" t="s">
        <v>57</v>
      </c>
      <c r="D2798" s="48" t="s">
        <v>8</v>
      </c>
      <c r="E2798" t="s">
        <v>1191</v>
      </c>
      <c r="F2798">
        <v>2023</v>
      </c>
      <c r="G2798" t="s">
        <v>357</v>
      </c>
      <c r="H2798" s="42" t="s">
        <v>57</v>
      </c>
      <c r="J2798" t="s">
        <v>248</v>
      </c>
      <c r="L2798" s="34">
        <v>2</v>
      </c>
      <c r="M2798" s="38">
        <v>0.75</v>
      </c>
      <c r="N2798" s="38">
        <f t="shared" si="43"/>
        <v>1.5</v>
      </c>
    </row>
    <row r="2799" spans="1:14">
      <c r="A2799" s="29">
        <v>45225</v>
      </c>
      <c r="B2799" s="22" t="s">
        <v>69</v>
      </c>
      <c r="C2799" s="22" t="s">
        <v>57</v>
      </c>
      <c r="D2799" s="48" t="s">
        <v>8</v>
      </c>
      <c r="E2799" t="s">
        <v>1191</v>
      </c>
      <c r="F2799">
        <v>2023</v>
      </c>
      <c r="G2799" t="s">
        <v>359</v>
      </c>
      <c r="H2799" s="42" t="s">
        <v>57</v>
      </c>
      <c r="J2799" t="s">
        <v>248</v>
      </c>
      <c r="L2799" s="34">
        <v>2</v>
      </c>
      <c r="M2799" s="38">
        <v>0.75</v>
      </c>
      <c r="N2799" s="38">
        <f t="shared" si="43"/>
        <v>1.5</v>
      </c>
    </row>
    <row r="2800" spans="1:14">
      <c r="A2800" s="29">
        <v>45225</v>
      </c>
      <c r="B2800" s="22" t="s">
        <v>63</v>
      </c>
      <c r="C2800" s="22" t="s">
        <v>57</v>
      </c>
      <c r="D2800" s="48" t="s">
        <v>5</v>
      </c>
      <c r="E2800" t="s">
        <v>159</v>
      </c>
      <c r="F2800">
        <v>2022</v>
      </c>
      <c r="G2800" t="s">
        <v>57</v>
      </c>
      <c r="H2800" s="42" t="s">
        <v>1187</v>
      </c>
      <c r="J2800" t="s">
        <v>248</v>
      </c>
      <c r="L2800" s="34">
        <v>2</v>
      </c>
      <c r="M2800" s="38">
        <v>0.75</v>
      </c>
      <c r="N2800" s="38">
        <f t="shared" si="43"/>
        <v>1.5</v>
      </c>
    </row>
    <row r="2801" spans="1:14">
      <c r="A2801" s="29">
        <v>45225</v>
      </c>
      <c r="B2801" s="22" t="s">
        <v>63</v>
      </c>
      <c r="C2801" s="22" t="s">
        <v>57</v>
      </c>
      <c r="D2801" s="48" t="s">
        <v>5</v>
      </c>
      <c r="E2801" t="s">
        <v>157</v>
      </c>
      <c r="F2801">
        <v>2022</v>
      </c>
      <c r="G2801" t="s">
        <v>540</v>
      </c>
      <c r="H2801" s="42" t="s">
        <v>1085</v>
      </c>
      <c r="J2801" t="s">
        <v>248</v>
      </c>
      <c r="L2801" s="34">
        <v>2</v>
      </c>
      <c r="M2801" s="38">
        <v>0.75</v>
      </c>
      <c r="N2801" s="38">
        <f t="shared" si="43"/>
        <v>1.5</v>
      </c>
    </row>
    <row r="2802" spans="1:14">
      <c r="A2802" s="29">
        <v>45225</v>
      </c>
      <c r="B2802" s="22" t="s">
        <v>57</v>
      </c>
      <c r="C2802" s="22" t="s">
        <v>10</v>
      </c>
      <c r="D2802" s="48" t="s">
        <v>8</v>
      </c>
      <c r="E2802" t="s">
        <v>180</v>
      </c>
      <c r="F2802">
        <v>2023</v>
      </c>
      <c r="G2802" t="s">
        <v>57</v>
      </c>
      <c r="H2802" s="42" t="s">
        <v>846</v>
      </c>
      <c r="J2802" t="s">
        <v>248</v>
      </c>
      <c r="L2802" s="34">
        <v>2</v>
      </c>
      <c r="M2802" s="38">
        <v>0.75</v>
      </c>
      <c r="N2802" s="38">
        <f t="shared" ref="N2802:N2865" si="44">M2802*L2802</f>
        <v>1.5</v>
      </c>
    </row>
    <row r="2803" spans="1:14">
      <c r="A2803" s="29">
        <v>45225</v>
      </c>
      <c r="B2803" s="22" t="s">
        <v>57</v>
      </c>
      <c r="C2803" s="22" t="s">
        <v>10</v>
      </c>
      <c r="D2803" s="48" t="s">
        <v>5</v>
      </c>
      <c r="E2803" t="s">
        <v>255</v>
      </c>
      <c r="F2803">
        <v>2023</v>
      </c>
      <c r="G2803" t="s">
        <v>487</v>
      </c>
      <c r="H2803" s="42" t="s">
        <v>57</v>
      </c>
      <c r="J2803" t="s">
        <v>248</v>
      </c>
      <c r="L2803" s="34">
        <v>2</v>
      </c>
      <c r="M2803" s="38">
        <v>0.75</v>
      </c>
      <c r="N2803" s="38">
        <f t="shared" si="44"/>
        <v>1.5</v>
      </c>
    </row>
    <row r="2804" spans="1:14">
      <c r="A2804" s="29">
        <v>45225</v>
      </c>
      <c r="B2804" s="22" t="s">
        <v>57</v>
      </c>
      <c r="C2804" s="22" t="s">
        <v>10</v>
      </c>
      <c r="D2804" s="48" t="s">
        <v>5</v>
      </c>
      <c r="E2804" t="s">
        <v>157</v>
      </c>
      <c r="F2804">
        <v>2023</v>
      </c>
      <c r="G2804" t="s">
        <v>326</v>
      </c>
      <c r="H2804" s="42" t="s">
        <v>57</v>
      </c>
      <c r="J2804" t="s">
        <v>248</v>
      </c>
      <c r="L2804" s="34">
        <v>2</v>
      </c>
      <c r="M2804" s="38">
        <v>0.75</v>
      </c>
      <c r="N2804" s="38">
        <f t="shared" si="44"/>
        <v>1.5</v>
      </c>
    </row>
    <row r="2805" spans="1:14">
      <c r="A2805" s="29">
        <v>45225</v>
      </c>
      <c r="B2805" s="22" t="s">
        <v>57</v>
      </c>
      <c r="C2805" s="22" t="s">
        <v>10</v>
      </c>
      <c r="D2805" s="48" t="s">
        <v>5</v>
      </c>
      <c r="E2805" t="s">
        <v>157</v>
      </c>
      <c r="F2805">
        <v>2023</v>
      </c>
      <c r="G2805" t="s">
        <v>247</v>
      </c>
      <c r="H2805" s="42" t="s">
        <v>57</v>
      </c>
      <c r="J2805" t="s">
        <v>248</v>
      </c>
      <c r="L2805" s="34">
        <v>2</v>
      </c>
      <c r="M2805" s="38">
        <v>0.75</v>
      </c>
      <c r="N2805" s="38">
        <f t="shared" si="44"/>
        <v>1.5</v>
      </c>
    </row>
    <row r="2806" spans="1:14">
      <c r="A2806" s="29">
        <v>45225</v>
      </c>
      <c r="B2806" s="22" t="s">
        <v>57</v>
      </c>
      <c r="C2806" s="22" t="s">
        <v>10</v>
      </c>
      <c r="D2806" s="48" t="s">
        <v>5</v>
      </c>
      <c r="E2806" t="s">
        <v>157</v>
      </c>
      <c r="F2806">
        <v>2023</v>
      </c>
      <c r="G2806" t="s">
        <v>319</v>
      </c>
      <c r="H2806" s="42" t="s">
        <v>57</v>
      </c>
      <c r="J2806" t="s">
        <v>248</v>
      </c>
      <c r="L2806" s="34">
        <v>2</v>
      </c>
      <c r="M2806" s="38">
        <v>0.75</v>
      </c>
      <c r="N2806" s="38">
        <f t="shared" si="44"/>
        <v>1.5</v>
      </c>
    </row>
    <row r="2807" spans="1:14">
      <c r="A2807" s="29">
        <v>45225</v>
      </c>
      <c r="B2807" s="22" t="s">
        <v>57</v>
      </c>
      <c r="C2807" s="22" t="s">
        <v>10</v>
      </c>
      <c r="D2807" s="48" t="s">
        <v>8</v>
      </c>
      <c r="E2807" t="s">
        <v>273</v>
      </c>
      <c r="F2807">
        <v>2023</v>
      </c>
      <c r="G2807" t="s">
        <v>374</v>
      </c>
      <c r="H2807" s="42" t="s">
        <v>57</v>
      </c>
      <c r="J2807" t="s">
        <v>248</v>
      </c>
      <c r="L2807" s="34">
        <v>2</v>
      </c>
      <c r="M2807" s="38">
        <v>0.75</v>
      </c>
      <c r="N2807" s="38">
        <f t="shared" si="44"/>
        <v>1.5</v>
      </c>
    </row>
    <row r="2808" spans="1:14">
      <c r="A2808" s="29">
        <v>45225</v>
      </c>
      <c r="B2808" s="22" t="s">
        <v>109</v>
      </c>
      <c r="C2808" s="22" t="s">
        <v>57</v>
      </c>
      <c r="D2808" s="48" t="s">
        <v>8</v>
      </c>
      <c r="E2808" t="s">
        <v>502</v>
      </c>
      <c r="F2808">
        <v>2023</v>
      </c>
      <c r="G2808" t="s">
        <v>309</v>
      </c>
      <c r="H2808" s="42" t="s">
        <v>752</v>
      </c>
      <c r="J2808" t="s">
        <v>248</v>
      </c>
      <c r="L2808" s="34">
        <v>2</v>
      </c>
      <c r="M2808" s="38">
        <v>0.75</v>
      </c>
      <c r="N2808" s="38">
        <f t="shared" si="44"/>
        <v>1.5</v>
      </c>
    </row>
    <row r="2809" spans="1:14">
      <c r="A2809" s="29">
        <v>45225</v>
      </c>
      <c r="B2809" s="22" t="s">
        <v>109</v>
      </c>
      <c r="C2809" s="22" t="s">
        <v>57</v>
      </c>
      <c r="D2809" s="48" t="s">
        <v>8</v>
      </c>
      <c r="E2809" t="s">
        <v>502</v>
      </c>
      <c r="F2809">
        <v>2023</v>
      </c>
      <c r="G2809" t="s">
        <v>1184</v>
      </c>
      <c r="H2809" s="42" t="s">
        <v>784</v>
      </c>
      <c r="J2809" t="s">
        <v>248</v>
      </c>
      <c r="L2809" s="34">
        <v>2</v>
      </c>
      <c r="M2809" s="38">
        <v>0.75</v>
      </c>
      <c r="N2809" s="38">
        <f t="shared" si="44"/>
        <v>1.5</v>
      </c>
    </row>
    <row r="2810" spans="1:14">
      <c r="A2810" s="29">
        <v>45225</v>
      </c>
      <c r="B2810" s="22" t="s">
        <v>109</v>
      </c>
      <c r="C2810" s="22" t="s">
        <v>57</v>
      </c>
      <c r="D2810" s="48" t="s">
        <v>5</v>
      </c>
      <c r="E2810" t="s">
        <v>494</v>
      </c>
      <c r="F2810">
        <v>2023</v>
      </c>
      <c r="G2810" t="s">
        <v>57</v>
      </c>
      <c r="H2810" s="42" t="s">
        <v>1192</v>
      </c>
      <c r="J2810" t="s">
        <v>248</v>
      </c>
      <c r="L2810" s="34">
        <v>2</v>
      </c>
      <c r="M2810" s="38">
        <v>0.75</v>
      </c>
      <c r="N2810" s="38">
        <f t="shared" si="44"/>
        <v>1.5</v>
      </c>
    </row>
    <row r="2811" spans="1:14">
      <c r="A2811" s="29">
        <v>45225</v>
      </c>
      <c r="B2811" s="22" t="s">
        <v>109</v>
      </c>
      <c r="C2811" s="22" t="s">
        <v>57</v>
      </c>
      <c r="D2811" s="48" t="s">
        <v>5</v>
      </c>
      <c r="E2811" t="s">
        <v>494</v>
      </c>
      <c r="F2811">
        <v>2023</v>
      </c>
      <c r="G2811" t="s">
        <v>57</v>
      </c>
      <c r="H2811" s="42" t="s">
        <v>1173</v>
      </c>
      <c r="J2811" t="s">
        <v>248</v>
      </c>
      <c r="L2811" s="34">
        <v>2</v>
      </c>
      <c r="M2811" s="38">
        <v>0.75</v>
      </c>
      <c r="N2811" s="38">
        <f t="shared" si="44"/>
        <v>1.5</v>
      </c>
    </row>
    <row r="2812" spans="1:14">
      <c r="A2812" s="29">
        <v>45225</v>
      </c>
      <c r="B2812" s="22" t="s">
        <v>109</v>
      </c>
      <c r="C2812" s="22" t="s">
        <v>57</v>
      </c>
      <c r="D2812" s="48" t="s">
        <v>5</v>
      </c>
      <c r="E2812" t="s">
        <v>494</v>
      </c>
      <c r="F2812">
        <v>2023</v>
      </c>
      <c r="G2812" t="s">
        <v>57</v>
      </c>
      <c r="H2812" s="42" t="s">
        <v>767</v>
      </c>
      <c r="J2812" t="s">
        <v>248</v>
      </c>
      <c r="L2812" s="34">
        <v>2</v>
      </c>
      <c r="M2812" s="38">
        <v>0.75</v>
      </c>
      <c r="N2812" s="38">
        <f t="shared" si="44"/>
        <v>1.5</v>
      </c>
    </row>
    <row r="2813" spans="1:14">
      <c r="A2813" s="29">
        <v>45225</v>
      </c>
      <c r="B2813" s="22" t="s">
        <v>109</v>
      </c>
      <c r="C2813" s="22" t="s">
        <v>57</v>
      </c>
      <c r="D2813" s="48" t="s">
        <v>5</v>
      </c>
      <c r="E2813" t="s">
        <v>494</v>
      </c>
      <c r="F2813">
        <v>2023</v>
      </c>
      <c r="G2813" t="s">
        <v>57</v>
      </c>
      <c r="H2813" s="42" t="s">
        <v>803</v>
      </c>
      <c r="J2813" t="s">
        <v>248</v>
      </c>
      <c r="L2813" s="34">
        <v>2</v>
      </c>
      <c r="M2813" s="38">
        <v>0.75</v>
      </c>
      <c r="N2813" s="38">
        <f t="shared" si="44"/>
        <v>1.5</v>
      </c>
    </row>
    <row r="2814" spans="1:14">
      <c r="A2814" s="29">
        <v>45225</v>
      </c>
      <c r="B2814" s="22" t="s">
        <v>109</v>
      </c>
      <c r="C2814" s="22" t="s">
        <v>57</v>
      </c>
      <c r="D2814" s="48" t="s">
        <v>5</v>
      </c>
      <c r="E2814" t="s">
        <v>494</v>
      </c>
      <c r="F2814">
        <v>2023</v>
      </c>
      <c r="G2814" t="s">
        <v>57</v>
      </c>
      <c r="H2814" s="42" t="s">
        <v>1193</v>
      </c>
      <c r="J2814" t="s">
        <v>248</v>
      </c>
      <c r="L2814" s="34">
        <v>2</v>
      </c>
      <c r="M2814" s="38">
        <v>0.75</v>
      </c>
      <c r="N2814" s="38">
        <f t="shared" si="44"/>
        <v>1.5</v>
      </c>
    </row>
    <row r="2815" spans="1:14">
      <c r="A2815" s="29">
        <v>45225</v>
      </c>
      <c r="B2815" s="22" t="s">
        <v>109</v>
      </c>
      <c r="C2815" s="22" t="s">
        <v>57</v>
      </c>
      <c r="D2815" s="48" t="s">
        <v>5</v>
      </c>
      <c r="E2815" t="s">
        <v>494</v>
      </c>
      <c r="F2815">
        <v>2023</v>
      </c>
      <c r="G2815" t="s">
        <v>57</v>
      </c>
      <c r="H2815" s="42" t="s">
        <v>1171</v>
      </c>
      <c r="J2815" t="s">
        <v>248</v>
      </c>
      <c r="L2815" s="34">
        <v>2</v>
      </c>
      <c r="M2815" s="38">
        <v>0.75</v>
      </c>
      <c r="N2815" s="38">
        <f t="shared" si="44"/>
        <v>1.5</v>
      </c>
    </row>
    <row r="2816" spans="1:14">
      <c r="A2816" s="29">
        <v>45225</v>
      </c>
      <c r="B2816" s="22" t="s">
        <v>1194</v>
      </c>
      <c r="C2816" s="22" t="s">
        <v>47</v>
      </c>
      <c r="D2816" s="48" t="s">
        <v>5</v>
      </c>
      <c r="E2816" t="s">
        <v>159</v>
      </c>
      <c r="F2816">
        <v>2023</v>
      </c>
      <c r="G2816" t="s">
        <v>319</v>
      </c>
      <c r="H2816" s="42" t="s">
        <v>57</v>
      </c>
      <c r="J2816" t="s">
        <v>248</v>
      </c>
      <c r="L2816" s="34">
        <v>2</v>
      </c>
      <c r="M2816" s="38">
        <v>0.75</v>
      </c>
      <c r="N2816" s="38">
        <f t="shared" si="44"/>
        <v>1.5</v>
      </c>
    </row>
    <row r="2817" spans="1:14">
      <c r="A2817" s="29">
        <v>45225</v>
      </c>
      <c r="B2817" s="22" t="s">
        <v>1194</v>
      </c>
      <c r="C2817" s="22" t="s">
        <v>47</v>
      </c>
      <c r="D2817" s="48" t="s">
        <v>5</v>
      </c>
      <c r="E2817" t="s">
        <v>159</v>
      </c>
      <c r="F2817">
        <v>2023</v>
      </c>
      <c r="G2817" t="s">
        <v>247</v>
      </c>
      <c r="H2817" s="42" t="s">
        <v>57</v>
      </c>
      <c r="J2817" t="s">
        <v>248</v>
      </c>
      <c r="L2817" s="34">
        <v>2</v>
      </c>
      <c r="M2817" s="38">
        <v>0.75</v>
      </c>
      <c r="N2817" s="38">
        <f t="shared" si="44"/>
        <v>1.5</v>
      </c>
    </row>
    <row r="2818" spans="1:14">
      <c r="A2818" s="29">
        <v>45243</v>
      </c>
      <c r="B2818" s="22" t="s">
        <v>57</v>
      </c>
      <c r="C2818" s="22" t="s">
        <v>151</v>
      </c>
      <c r="D2818" s="48" t="s">
        <v>5</v>
      </c>
      <c r="E2818" t="s">
        <v>158</v>
      </c>
      <c r="F2818">
        <v>2023</v>
      </c>
      <c r="G2818" t="s">
        <v>618</v>
      </c>
      <c r="H2818" s="42" t="s">
        <v>1195</v>
      </c>
      <c r="J2818" t="s">
        <v>248</v>
      </c>
      <c r="L2818" s="34">
        <v>3</v>
      </c>
      <c r="M2818" s="38">
        <v>0.75</v>
      </c>
      <c r="N2818" s="38">
        <f t="shared" si="44"/>
        <v>2.25</v>
      </c>
    </row>
    <row r="2819" spans="1:14">
      <c r="A2819" s="29">
        <v>45243</v>
      </c>
      <c r="B2819" s="22" t="s">
        <v>57</v>
      </c>
      <c r="C2819" s="22" t="s">
        <v>151</v>
      </c>
      <c r="D2819" s="48" t="s">
        <v>5</v>
      </c>
      <c r="E2819" t="s">
        <v>161</v>
      </c>
      <c r="F2819">
        <v>2023</v>
      </c>
      <c r="G2819" t="s">
        <v>618</v>
      </c>
      <c r="H2819" s="42" t="s">
        <v>1196</v>
      </c>
      <c r="J2819" t="s">
        <v>248</v>
      </c>
      <c r="L2819" s="34">
        <v>3</v>
      </c>
      <c r="M2819" s="38">
        <v>0.75</v>
      </c>
      <c r="N2819" s="38">
        <f t="shared" si="44"/>
        <v>2.25</v>
      </c>
    </row>
    <row r="2820" spans="1:14">
      <c r="A2820" s="29">
        <v>45243</v>
      </c>
      <c r="B2820" s="22" t="s">
        <v>57</v>
      </c>
      <c r="C2820" s="22" t="s">
        <v>151</v>
      </c>
      <c r="D2820" s="48" t="s">
        <v>5</v>
      </c>
      <c r="E2820" t="s">
        <v>255</v>
      </c>
      <c r="F2820">
        <v>2023</v>
      </c>
      <c r="G2820" t="s">
        <v>618</v>
      </c>
      <c r="H2820" s="42" t="s">
        <v>1197</v>
      </c>
      <c r="J2820" t="s">
        <v>248</v>
      </c>
      <c r="L2820" s="34">
        <v>3</v>
      </c>
      <c r="M2820" s="38">
        <v>0.75</v>
      </c>
      <c r="N2820" s="38">
        <f t="shared" si="44"/>
        <v>2.25</v>
      </c>
    </row>
    <row r="2821" spans="1:14">
      <c r="A2821" s="29">
        <v>45243</v>
      </c>
      <c r="B2821" s="22" t="s">
        <v>57</v>
      </c>
      <c r="C2821" s="22" t="s">
        <v>151</v>
      </c>
      <c r="D2821" s="48" t="s">
        <v>5</v>
      </c>
      <c r="E2821" t="s">
        <v>1159</v>
      </c>
      <c r="F2821">
        <v>2023</v>
      </c>
      <c r="G2821" t="s">
        <v>618</v>
      </c>
      <c r="H2821" s="42" t="s">
        <v>1198</v>
      </c>
      <c r="J2821" t="s">
        <v>248</v>
      </c>
      <c r="L2821" s="34">
        <v>3</v>
      </c>
      <c r="M2821" s="38">
        <v>0.75</v>
      </c>
      <c r="N2821" s="38">
        <f t="shared" si="44"/>
        <v>2.25</v>
      </c>
    </row>
    <row r="2822" spans="1:14">
      <c r="A2822" s="29">
        <v>45243</v>
      </c>
      <c r="B2822" s="22" t="s">
        <v>57</v>
      </c>
      <c r="C2822" s="22" t="s">
        <v>151</v>
      </c>
      <c r="D2822" s="48" t="s">
        <v>5</v>
      </c>
      <c r="E2822" t="s">
        <v>1199</v>
      </c>
      <c r="F2822">
        <v>2023</v>
      </c>
      <c r="G2822" t="s">
        <v>618</v>
      </c>
      <c r="H2822" s="42" t="s">
        <v>57</v>
      </c>
      <c r="J2822" t="s">
        <v>248</v>
      </c>
      <c r="L2822" s="34">
        <v>3</v>
      </c>
      <c r="M2822" s="38">
        <v>0.75</v>
      </c>
      <c r="N2822" s="38">
        <f t="shared" si="44"/>
        <v>2.25</v>
      </c>
    </row>
    <row r="2823" spans="1:14">
      <c r="A2823" s="29">
        <v>45243</v>
      </c>
      <c r="B2823" s="22" t="s">
        <v>57</v>
      </c>
      <c r="C2823" s="22" t="s">
        <v>151</v>
      </c>
      <c r="D2823" s="48" t="s">
        <v>5</v>
      </c>
      <c r="E2823" t="s">
        <v>1160</v>
      </c>
      <c r="F2823">
        <v>2023</v>
      </c>
      <c r="G2823" t="s">
        <v>618</v>
      </c>
      <c r="H2823" s="42" t="s">
        <v>57</v>
      </c>
      <c r="J2823" t="s">
        <v>248</v>
      </c>
      <c r="L2823" s="34">
        <v>3</v>
      </c>
      <c r="M2823" s="38">
        <v>0.75</v>
      </c>
      <c r="N2823" s="38">
        <f t="shared" si="44"/>
        <v>2.25</v>
      </c>
    </row>
    <row r="2824" spans="1:14">
      <c r="A2824" s="29">
        <v>45243</v>
      </c>
      <c r="B2824" s="22" t="s">
        <v>57</v>
      </c>
      <c r="C2824" s="22" t="s">
        <v>151</v>
      </c>
      <c r="D2824" s="48" t="s">
        <v>5</v>
      </c>
      <c r="E2824" t="s">
        <v>1161</v>
      </c>
      <c r="F2824">
        <v>2023</v>
      </c>
      <c r="G2824" t="s">
        <v>618</v>
      </c>
      <c r="H2824" s="42" t="s">
        <v>57</v>
      </c>
      <c r="J2824" t="s">
        <v>248</v>
      </c>
      <c r="L2824" s="34">
        <v>3</v>
      </c>
      <c r="M2824" s="38">
        <v>0.75</v>
      </c>
      <c r="N2824" s="38">
        <f t="shared" si="44"/>
        <v>2.25</v>
      </c>
    </row>
    <row r="2825" spans="1:14">
      <c r="A2825" s="29">
        <v>45243</v>
      </c>
      <c r="B2825" s="22" t="s">
        <v>57</v>
      </c>
      <c r="C2825" s="22" t="s">
        <v>151</v>
      </c>
      <c r="D2825" s="48" t="s">
        <v>5</v>
      </c>
      <c r="E2825" t="s">
        <v>1200</v>
      </c>
      <c r="F2825">
        <v>2023</v>
      </c>
      <c r="G2825" t="s">
        <v>618</v>
      </c>
      <c r="H2825" s="42" t="s">
        <v>57</v>
      </c>
      <c r="J2825" t="s">
        <v>248</v>
      </c>
      <c r="L2825" s="34">
        <v>3</v>
      </c>
      <c r="M2825" s="38">
        <v>0.75</v>
      </c>
      <c r="N2825" s="38">
        <f t="shared" si="44"/>
        <v>2.25</v>
      </c>
    </row>
    <row r="2826" spans="1:14">
      <c r="A2826" s="29">
        <v>45243</v>
      </c>
      <c r="B2826" s="22" t="s">
        <v>57</v>
      </c>
      <c r="C2826" s="22" t="s">
        <v>151</v>
      </c>
      <c r="D2826" s="48" t="s">
        <v>5</v>
      </c>
      <c r="E2826" t="s">
        <v>1201</v>
      </c>
      <c r="F2826">
        <v>2023</v>
      </c>
      <c r="G2826" t="s">
        <v>618</v>
      </c>
      <c r="H2826" s="42" t="s">
        <v>57</v>
      </c>
      <c r="J2826" t="s">
        <v>248</v>
      </c>
      <c r="L2826" s="34">
        <v>3</v>
      </c>
      <c r="M2826" s="38">
        <v>0.75</v>
      </c>
      <c r="N2826" s="38">
        <f t="shared" si="44"/>
        <v>2.25</v>
      </c>
    </row>
    <row r="2827" spans="1:14">
      <c r="A2827" s="29">
        <v>45243</v>
      </c>
      <c r="B2827" s="22" t="s">
        <v>57</v>
      </c>
      <c r="C2827" s="22" t="s">
        <v>151</v>
      </c>
      <c r="D2827" s="48" t="s">
        <v>8</v>
      </c>
      <c r="E2827" t="s">
        <v>1130</v>
      </c>
      <c r="F2827">
        <v>2023</v>
      </c>
      <c r="G2827" t="s">
        <v>618</v>
      </c>
      <c r="H2827" s="42" t="s">
        <v>57</v>
      </c>
      <c r="J2827" t="s">
        <v>248</v>
      </c>
      <c r="L2827" s="34">
        <v>3</v>
      </c>
      <c r="M2827" s="38">
        <v>0.75</v>
      </c>
      <c r="N2827" s="38">
        <f t="shared" si="44"/>
        <v>2.25</v>
      </c>
    </row>
    <row r="2828" spans="1:14">
      <c r="A2828" s="29">
        <v>45243</v>
      </c>
      <c r="B2828" s="22" t="s">
        <v>57</v>
      </c>
      <c r="C2828" s="22" t="s">
        <v>151</v>
      </c>
      <c r="D2828" s="48" t="s">
        <v>8</v>
      </c>
      <c r="E2828" t="s">
        <v>179</v>
      </c>
      <c r="F2828">
        <v>2023</v>
      </c>
      <c r="G2828" t="s">
        <v>618</v>
      </c>
      <c r="H2828" s="42" t="s">
        <v>1202</v>
      </c>
      <c r="J2828" t="s">
        <v>248</v>
      </c>
      <c r="L2828" s="34">
        <v>3</v>
      </c>
      <c r="M2828" s="38">
        <v>0.75</v>
      </c>
      <c r="N2828" s="38">
        <f t="shared" si="44"/>
        <v>2.25</v>
      </c>
    </row>
    <row r="2829" spans="1:14">
      <c r="A2829" s="29">
        <v>45243</v>
      </c>
      <c r="B2829" s="22" t="s">
        <v>109</v>
      </c>
      <c r="C2829" s="22" t="s">
        <v>57</v>
      </c>
      <c r="D2829" s="48" t="s">
        <v>5</v>
      </c>
      <c r="E2829" t="s">
        <v>308</v>
      </c>
      <c r="F2829">
        <v>2023</v>
      </c>
      <c r="G2829" t="s">
        <v>618</v>
      </c>
      <c r="H2829" s="42" t="s">
        <v>1203</v>
      </c>
      <c r="J2829" t="s">
        <v>248</v>
      </c>
      <c r="L2829" s="34">
        <v>3</v>
      </c>
      <c r="M2829" s="38">
        <v>0.75</v>
      </c>
      <c r="N2829" s="38">
        <f t="shared" si="44"/>
        <v>2.25</v>
      </c>
    </row>
    <row r="2830" spans="1:14">
      <c r="A2830" s="29">
        <v>45243</v>
      </c>
      <c r="B2830" s="22" t="s">
        <v>109</v>
      </c>
      <c r="C2830" s="22" t="s">
        <v>57</v>
      </c>
      <c r="D2830" s="48" t="s">
        <v>8</v>
      </c>
      <c r="E2830" t="s">
        <v>1204</v>
      </c>
      <c r="F2830">
        <v>2023</v>
      </c>
      <c r="G2830" t="s">
        <v>618</v>
      </c>
      <c r="H2830" s="42" t="s">
        <v>57</v>
      </c>
      <c r="J2830" t="s">
        <v>248</v>
      </c>
      <c r="L2830" s="34">
        <v>3</v>
      </c>
      <c r="M2830" s="38">
        <v>0.75</v>
      </c>
      <c r="N2830" s="38">
        <f t="shared" si="44"/>
        <v>2.25</v>
      </c>
    </row>
    <row r="2831" spans="1:14">
      <c r="A2831" s="29">
        <v>45243</v>
      </c>
      <c r="B2831" s="22" t="s">
        <v>84</v>
      </c>
      <c r="C2831" s="22" t="s">
        <v>57</v>
      </c>
      <c r="D2831" s="48" t="s">
        <v>5</v>
      </c>
      <c r="E2831" t="s">
        <v>255</v>
      </c>
      <c r="F2831">
        <v>2023</v>
      </c>
      <c r="G2831" t="s">
        <v>618</v>
      </c>
      <c r="H2831" s="42" t="s">
        <v>1197</v>
      </c>
      <c r="J2831" t="s">
        <v>248</v>
      </c>
      <c r="L2831" s="34">
        <v>2</v>
      </c>
      <c r="M2831" s="38">
        <v>0.75</v>
      </c>
      <c r="N2831" s="38">
        <f t="shared" si="44"/>
        <v>1.5</v>
      </c>
    </row>
    <row r="2832" spans="1:14">
      <c r="A2832" s="29">
        <v>45243</v>
      </c>
      <c r="B2832" s="22" t="s">
        <v>84</v>
      </c>
      <c r="C2832" s="22" t="s">
        <v>57</v>
      </c>
      <c r="D2832" s="48" t="s">
        <v>5</v>
      </c>
      <c r="E2832" t="s">
        <v>1200</v>
      </c>
      <c r="F2832">
        <v>2023</v>
      </c>
      <c r="G2832" t="s">
        <v>618</v>
      </c>
      <c r="H2832" s="42" t="s">
        <v>57</v>
      </c>
      <c r="J2832" t="s">
        <v>248</v>
      </c>
      <c r="L2832" s="34">
        <v>2</v>
      </c>
      <c r="M2832" s="38">
        <v>0.75</v>
      </c>
      <c r="N2832" s="38">
        <f t="shared" si="44"/>
        <v>1.5</v>
      </c>
    </row>
    <row r="2833" spans="1:14">
      <c r="A2833" s="29">
        <v>45243</v>
      </c>
      <c r="B2833" s="22" t="s">
        <v>84</v>
      </c>
      <c r="C2833" s="22" t="s">
        <v>57</v>
      </c>
      <c r="D2833" s="48" t="s">
        <v>5</v>
      </c>
      <c r="E2833" t="s">
        <v>1205</v>
      </c>
      <c r="F2833">
        <v>2023</v>
      </c>
      <c r="G2833" t="s">
        <v>618</v>
      </c>
      <c r="H2833" s="42" t="s">
        <v>57</v>
      </c>
      <c r="J2833" t="s">
        <v>248</v>
      </c>
      <c r="L2833" s="34">
        <v>2</v>
      </c>
      <c r="M2833" s="38">
        <v>0.75</v>
      </c>
      <c r="N2833" s="38">
        <f t="shared" si="44"/>
        <v>1.5</v>
      </c>
    </row>
    <row r="2834" spans="1:14">
      <c r="A2834" s="29">
        <v>45243</v>
      </c>
      <c r="B2834" s="22" t="s">
        <v>84</v>
      </c>
      <c r="C2834" s="22" t="s">
        <v>57</v>
      </c>
      <c r="D2834" s="48" t="s">
        <v>5</v>
      </c>
      <c r="E2834" t="s">
        <v>165</v>
      </c>
      <c r="F2834">
        <v>2023</v>
      </c>
      <c r="G2834" t="s">
        <v>618</v>
      </c>
      <c r="H2834" s="42" t="s">
        <v>57</v>
      </c>
      <c r="J2834" t="s">
        <v>248</v>
      </c>
      <c r="L2834" s="34">
        <v>2</v>
      </c>
      <c r="M2834" s="38">
        <v>0.75</v>
      </c>
      <c r="N2834" s="38">
        <f t="shared" si="44"/>
        <v>1.5</v>
      </c>
    </row>
    <row r="2835" spans="1:14">
      <c r="A2835" s="29">
        <v>45243</v>
      </c>
      <c r="B2835" s="22" t="s">
        <v>84</v>
      </c>
      <c r="C2835" s="22" t="s">
        <v>57</v>
      </c>
      <c r="D2835" s="48" t="s">
        <v>5</v>
      </c>
      <c r="E2835" t="s">
        <v>1206</v>
      </c>
      <c r="F2835">
        <v>2023</v>
      </c>
      <c r="G2835" t="s">
        <v>618</v>
      </c>
      <c r="H2835" s="42" t="s">
        <v>57</v>
      </c>
      <c r="J2835" t="s">
        <v>248</v>
      </c>
      <c r="L2835" s="34">
        <v>2</v>
      </c>
      <c r="M2835" s="38">
        <v>0.75</v>
      </c>
      <c r="N2835" s="38">
        <f t="shared" si="44"/>
        <v>1.5</v>
      </c>
    </row>
    <row r="2836" spans="1:14">
      <c r="A2836" s="29">
        <v>45243</v>
      </c>
      <c r="B2836" s="22" t="s">
        <v>84</v>
      </c>
      <c r="C2836" s="22" t="s">
        <v>57</v>
      </c>
      <c r="D2836" s="48" t="s">
        <v>5</v>
      </c>
      <c r="E2836" t="s">
        <v>166</v>
      </c>
      <c r="F2836">
        <v>2023</v>
      </c>
      <c r="G2836" t="s">
        <v>618</v>
      </c>
      <c r="H2836" s="42" t="s">
        <v>817</v>
      </c>
      <c r="J2836" t="s">
        <v>248</v>
      </c>
      <c r="L2836" s="34">
        <v>2</v>
      </c>
      <c r="M2836" s="38">
        <v>0.75</v>
      </c>
      <c r="N2836" s="38">
        <f t="shared" si="44"/>
        <v>1.5</v>
      </c>
    </row>
    <row r="2837" spans="1:14">
      <c r="A2837" s="29">
        <v>45243</v>
      </c>
      <c r="B2837" s="22" t="s">
        <v>16</v>
      </c>
      <c r="C2837" s="22" t="s">
        <v>49</v>
      </c>
      <c r="D2837" s="48" t="s">
        <v>5</v>
      </c>
      <c r="E2837" t="s">
        <v>1174</v>
      </c>
      <c r="F2837">
        <v>2023</v>
      </c>
      <c r="G2837" t="s">
        <v>57</v>
      </c>
      <c r="H2837" s="42" t="s">
        <v>1175</v>
      </c>
      <c r="J2837" t="s">
        <v>248</v>
      </c>
      <c r="L2837" s="34">
        <v>4</v>
      </c>
      <c r="M2837" s="38">
        <v>0.75</v>
      </c>
      <c r="N2837" s="38">
        <f t="shared" si="44"/>
        <v>3</v>
      </c>
    </row>
    <row r="2838" spans="1:14">
      <c r="A2838" s="29">
        <v>45243</v>
      </c>
      <c r="B2838" s="22" t="s">
        <v>16</v>
      </c>
      <c r="C2838" s="22" t="s">
        <v>49</v>
      </c>
      <c r="D2838" s="48" t="s">
        <v>5</v>
      </c>
      <c r="E2838" t="s">
        <v>158</v>
      </c>
      <c r="F2838">
        <v>2022</v>
      </c>
      <c r="G2838" t="s">
        <v>57</v>
      </c>
      <c r="H2838" s="42" t="s">
        <v>1071</v>
      </c>
      <c r="J2838" t="s">
        <v>248</v>
      </c>
      <c r="L2838" s="34">
        <v>4</v>
      </c>
      <c r="M2838" s="38">
        <v>0.75</v>
      </c>
      <c r="N2838" s="38">
        <f t="shared" si="44"/>
        <v>3</v>
      </c>
    </row>
    <row r="2839" spans="1:14">
      <c r="A2839" s="29">
        <v>45243</v>
      </c>
      <c r="B2839" s="22" t="s">
        <v>16</v>
      </c>
      <c r="C2839" s="22" t="s">
        <v>49</v>
      </c>
      <c r="D2839" s="48" t="s">
        <v>5</v>
      </c>
      <c r="E2839" t="s">
        <v>161</v>
      </c>
      <c r="F2839">
        <v>2023</v>
      </c>
      <c r="G2839" t="s">
        <v>57</v>
      </c>
      <c r="H2839" s="42" t="s">
        <v>1207</v>
      </c>
      <c r="J2839" t="s">
        <v>248</v>
      </c>
      <c r="L2839" s="34">
        <v>4</v>
      </c>
      <c r="M2839" s="38">
        <v>0.75</v>
      </c>
      <c r="N2839" s="38">
        <f t="shared" si="44"/>
        <v>3</v>
      </c>
    </row>
    <row r="2840" spans="1:14">
      <c r="A2840" s="29">
        <v>45243</v>
      </c>
      <c r="B2840" s="22" t="s">
        <v>16</v>
      </c>
      <c r="C2840" s="22" t="s">
        <v>49</v>
      </c>
      <c r="D2840" s="48" t="s">
        <v>5</v>
      </c>
      <c r="E2840" t="s">
        <v>1208</v>
      </c>
      <c r="F2840">
        <v>2023</v>
      </c>
      <c r="G2840" t="s">
        <v>57</v>
      </c>
      <c r="H2840" s="42" t="s">
        <v>844</v>
      </c>
      <c r="J2840" t="s">
        <v>248</v>
      </c>
      <c r="L2840" s="34">
        <v>4</v>
      </c>
      <c r="M2840" s="38">
        <v>0.75</v>
      </c>
      <c r="N2840" s="38">
        <f t="shared" si="44"/>
        <v>3</v>
      </c>
    </row>
    <row r="2841" spans="1:14">
      <c r="A2841" s="29">
        <v>45243</v>
      </c>
      <c r="B2841" s="22" t="s">
        <v>16</v>
      </c>
      <c r="C2841" s="22" t="s">
        <v>49</v>
      </c>
      <c r="D2841" s="48" t="s">
        <v>5</v>
      </c>
      <c r="E2841" t="s">
        <v>255</v>
      </c>
      <c r="F2841">
        <v>2023</v>
      </c>
      <c r="G2841" t="s">
        <v>618</v>
      </c>
      <c r="H2841" s="42" t="s">
        <v>848</v>
      </c>
      <c r="J2841" t="s">
        <v>248</v>
      </c>
      <c r="L2841" s="34">
        <v>4</v>
      </c>
      <c r="M2841" s="38">
        <v>0.75</v>
      </c>
      <c r="N2841" s="38">
        <f t="shared" si="44"/>
        <v>3</v>
      </c>
    </row>
    <row r="2842" spans="1:14">
      <c r="A2842" s="29">
        <v>45243</v>
      </c>
      <c r="B2842" s="22" t="s">
        <v>16</v>
      </c>
      <c r="C2842" s="22" t="s">
        <v>49</v>
      </c>
      <c r="D2842" s="48" t="s">
        <v>5</v>
      </c>
      <c r="E2842" t="s">
        <v>182</v>
      </c>
      <c r="F2842">
        <v>2023</v>
      </c>
      <c r="G2842" t="s">
        <v>618</v>
      </c>
      <c r="H2842" s="42" t="s">
        <v>767</v>
      </c>
      <c r="J2842" t="s">
        <v>248</v>
      </c>
      <c r="L2842" s="34">
        <v>4</v>
      </c>
      <c r="M2842" s="38">
        <v>0.75</v>
      </c>
      <c r="N2842" s="38">
        <f t="shared" si="44"/>
        <v>3</v>
      </c>
    </row>
    <row r="2843" spans="1:14">
      <c r="A2843" s="29">
        <v>45244</v>
      </c>
      <c r="B2843" s="22" t="s">
        <v>57</v>
      </c>
      <c r="C2843" s="22" t="s">
        <v>47</v>
      </c>
      <c r="D2843" s="48" t="s">
        <v>8</v>
      </c>
      <c r="E2843" t="s">
        <v>188</v>
      </c>
      <c r="F2843">
        <v>2023</v>
      </c>
      <c r="G2843" t="s">
        <v>618</v>
      </c>
      <c r="H2843" s="42" t="s">
        <v>1209</v>
      </c>
      <c r="J2843" t="s">
        <v>248</v>
      </c>
      <c r="L2843" s="34">
        <v>4</v>
      </c>
      <c r="M2843" s="38">
        <v>0.75</v>
      </c>
      <c r="N2843" s="38">
        <f t="shared" si="44"/>
        <v>3</v>
      </c>
    </row>
    <row r="2844" spans="1:14">
      <c r="A2844" s="29">
        <v>45244</v>
      </c>
      <c r="B2844" s="22" t="s">
        <v>57</v>
      </c>
      <c r="C2844" s="22" t="s">
        <v>47</v>
      </c>
      <c r="D2844" s="48" t="s">
        <v>8</v>
      </c>
      <c r="E2844" t="s">
        <v>189</v>
      </c>
      <c r="F2844">
        <v>2023</v>
      </c>
      <c r="G2844" t="s">
        <v>618</v>
      </c>
      <c r="H2844" s="42" t="s">
        <v>1210</v>
      </c>
      <c r="J2844" t="s">
        <v>248</v>
      </c>
      <c r="L2844" s="34">
        <v>4</v>
      </c>
      <c r="M2844" s="38">
        <v>0.75</v>
      </c>
      <c r="N2844" s="38">
        <f t="shared" si="44"/>
        <v>3</v>
      </c>
    </row>
    <row r="2845" spans="1:14">
      <c r="A2845" s="29">
        <v>45244</v>
      </c>
      <c r="B2845" s="22" t="s">
        <v>50</v>
      </c>
      <c r="C2845" s="22" t="s">
        <v>57</v>
      </c>
      <c r="D2845" s="48" t="s">
        <v>5</v>
      </c>
      <c r="E2845" t="s">
        <v>1159</v>
      </c>
      <c r="F2845">
        <v>2023</v>
      </c>
      <c r="G2845" t="s">
        <v>618</v>
      </c>
      <c r="H2845" s="42" t="s">
        <v>1198</v>
      </c>
      <c r="J2845" t="s">
        <v>248</v>
      </c>
      <c r="L2845" s="34">
        <v>3</v>
      </c>
      <c r="M2845" s="38">
        <v>0.75</v>
      </c>
      <c r="N2845" s="38">
        <f t="shared" si="44"/>
        <v>2.25</v>
      </c>
    </row>
    <row r="2846" spans="1:14">
      <c r="A2846" s="29">
        <v>45244</v>
      </c>
      <c r="B2846" s="22" t="s">
        <v>50</v>
      </c>
      <c r="C2846" s="22" t="s">
        <v>57</v>
      </c>
      <c r="D2846" s="48" t="s">
        <v>5</v>
      </c>
      <c r="E2846" t="s">
        <v>165</v>
      </c>
      <c r="F2846">
        <v>2023</v>
      </c>
      <c r="G2846" t="s">
        <v>618</v>
      </c>
      <c r="H2846" s="42" t="s">
        <v>57</v>
      </c>
      <c r="J2846" t="s">
        <v>248</v>
      </c>
      <c r="L2846" s="34">
        <v>3</v>
      </c>
      <c r="M2846" s="38">
        <v>0.75</v>
      </c>
      <c r="N2846" s="38">
        <f t="shared" si="44"/>
        <v>2.25</v>
      </c>
    </row>
    <row r="2847" spans="1:14">
      <c r="A2847" s="29">
        <v>45244</v>
      </c>
      <c r="B2847" s="22" t="s">
        <v>50</v>
      </c>
      <c r="C2847" s="22" t="s">
        <v>57</v>
      </c>
      <c r="D2847" s="48" t="s">
        <v>5</v>
      </c>
      <c r="E2847" t="s">
        <v>1199</v>
      </c>
      <c r="F2847">
        <v>2023</v>
      </c>
      <c r="G2847" t="s">
        <v>618</v>
      </c>
      <c r="H2847" s="42" t="s">
        <v>57</v>
      </c>
      <c r="J2847" t="s">
        <v>248</v>
      </c>
      <c r="L2847" s="34">
        <v>3</v>
      </c>
      <c r="M2847" s="38">
        <v>0.75</v>
      </c>
      <c r="N2847" s="38">
        <f t="shared" si="44"/>
        <v>2.25</v>
      </c>
    </row>
    <row r="2848" spans="1:14">
      <c r="A2848" s="29">
        <v>45244</v>
      </c>
      <c r="B2848" s="22" t="s">
        <v>63</v>
      </c>
      <c r="C2848" s="22" t="s">
        <v>57</v>
      </c>
      <c r="D2848" s="48" t="s">
        <v>5</v>
      </c>
      <c r="E2848" t="s">
        <v>159</v>
      </c>
      <c r="F2848">
        <v>2023</v>
      </c>
      <c r="G2848" t="s">
        <v>618</v>
      </c>
      <c r="H2848" s="42" t="s">
        <v>753</v>
      </c>
      <c r="J2848" t="s">
        <v>248</v>
      </c>
      <c r="L2848" s="34">
        <v>4</v>
      </c>
      <c r="M2848" s="38">
        <v>0.75</v>
      </c>
      <c r="N2848" s="38">
        <f t="shared" si="44"/>
        <v>3</v>
      </c>
    </row>
    <row r="2849" spans="1:14">
      <c r="A2849" s="29">
        <v>45244</v>
      </c>
      <c r="B2849" s="22" t="s">
        <v>63</v>
      </c>
      <c r="C2849" s="22" t="s">
        <v>57</v>
      </c>
      <c r="D2849" s="48" t="s">
        <v>5</v>
      </c>
      <c r="E2849" t="s">
        <v>255</v>
      </c>
      <c r="F2849">
        <v>2023</v>
      </c>
      <c r="G2849" t="s">
        <v>618</v>
      </c>
      <c r="H2849" s="42" t="s">
        <v>848</v>
      </c>
      <c r="J2849" t="s">
        <v>248</v>
      </c>
      <c r="L2849" s="34">
        <v>4</v>
      </c>
      <c r="M2849" s="38">
        <v>0.75</v>
      </c>
      <c r="N2849" s="38">
        <f t="shared" si="44"/>
        <v>3</v>
      </c>
    </row>
    <row r="2850" spans="1:14">
      <c r="A2850" s="29">
        <v>45244</v>
      </c>
      <c r="B2850" s="22" t="s">
        <v>28</v>
      </c>
      <c r="C2850" s="22" t="s">
        <v>271</v>
      </c>
      <c r="D2850" s="48" t="s">
        <v>5</v>
      </c>
      <c r="E2850" t="s">
        <v>157</v>
      </c>
      <c r="F2850">
        <v>2023</v>
      </c>
      <c r="G2850" t="s">
        <v>319</v>
      </c>
      <c r="H2850" s="42" t="s">
        <v>57</v>
      </c>
      <c r="J2850" t="s">
        <v>248</v>
      </c>
      <c r="L2850" s="34">
        <v>4</v>
      </c>
      <c r="M2850" s="38">
        <v>0.75</v>
      </c>
      <c r="N2850" s="38">
        <f t="shared" si="44"/>
        <v>3</v>
      </c>
    </row>
    <row r="2851" spans="1:14">
      <c r="A2851" s="29">
        <v>45244</v>
      </c>
      <c r="B2851" s="22" t="s">
        <v>28</v>
      </c>
      <c r="C2851" s="22" t="s">
        <v>271</v>
      </c>
      <c r="D2851" s="48" t="s">
        <v>5</v>
      </c>
      <c r="E2851" t="s">
        <v>157</v>
      </c>
      <c r="F2851">
        <v>2023</v>
      </c>
      <c r="G2851" t="s">
        <v>326</v>
      </c>
      <c r="H2851" s="42" t="s">
        <v>57</v>
      </c>
      <c r="J2851" t="s">
        <v>248</v>
      </c>
      <c r="L2851" s="34">
        <v>4</v>
      </c>
      <c r="M2851" s="38">
        <v>0.75</v>
      </c>
      <c r="N2851" s="38">
        <f t="shared" si="44"/>
        <v>3</v>
      </c>
    </row>
    <row r="2852" spans="1:14">
      <c r="A2852" s="29">
        <v>45244</v>
      </c>
      <c r="B2852" s="22" t="s">
        <v>28</v>
      </c>
      <c r="C2852" s="22" t="s">
        <v>271</v>
      </c>
      <c r="D2852" s="48" t="s">
        <v>5</v>
      </c>
      <c r="E2852" t="s">
        <v>158</v>
      </c>
      <c r="F2852">
        <v>2023</v>
      </c>
      <c r="G2852" t="s">
        <v>57</v>
      </c>
      <c r="H2852" s="42" t="s">
        <v>817</v>
      </c>
      <c r="J2852" t="s">
        <v>248</v>
      </c>
      <c r="L2852" s="34">
        <v>4</v>
      </c>
      <c r="M2852" s="38">
        <v>0.75</v>
      </c>
      <c r="N2852" s="38">
        <f t="shared" si="44"/>
        <v>3</v>
      </c>
    </row>
    <row r="2853" spans="1:14">
      <c r="A2853" s="29">
        <v>45245</v>
      </c>
      <c r="B2853" s="22" t="s">
        <v>293</v>
      </c>
      <c r="C2853" s="22" t="s">
        <v>41</v>
      </c>
      <c r="D2853" s="48" t="s">
        <v>5</v>
      </c>
      <c r="E2853" t="s">
        <v>157</v>
      </c>
      <c r="F2853">
        <v>2023</v>
      </c>
      <c r="G2853" t="s">
        <v>319</v>
      </c>
      <c r="H2853" s="42" t="s">
        <v>57</v>
      </c>
      <c r="J2853" t="s">
        <v>248</v>
      </c>
      <c r="L2853" s="34">
        <v>1</v>
      </c>
      <c r="M2853" s="38">
        <v>0.75</v>
      </c>
      <c r="N2853" s="38">
        <f t="shared" si="44"/>
        <v>0.75</v>
      </c>
    </row>
    <row r="2854" spans="1:14">
      <c r="A2854" s="29">
        <v>45245</v>
      </c>
      <c r="B2854" s="22" t="s">
        <v>293</v>
      </c>
      <c r="C2854" s="22" t="s">
        <v>41</v>
      </c>
      <c r="D2854" s="48" t="s">
        <v>5</v>
      </c>
      <c r="E2854" t="s">
        <v>157</v>
      </c>
      <c r="F2854">
        <v>2023</v>
      </c>
      <c r="G2854" t="s">
        <v>326</v>
      </c>
      <c r="H2854" s="42" t="s">
        <v>57</v>
      </c>
      <c r="J2854" t="s">
        <v>248</v>
      </c>
      <c r="L2854" s="34">
        <v>1</v>
      </c>
      <c r="M2854" s="38">
        <v>0.75</v>
      </c>
      <c r="N2854" s="38">
        <f t="shared" si="44"/>
        <v>0.75</v>
      </c>
    </row>
    <row r="2855" spans="1:14">
      <c r="A2855" s="29">
        <v>45245</v>
      </c>
      <c r="B2855" s="22" t="s">
        <v>293</v>
      </c>
      <c r="C2855" s="22" t="s">
        <v>41</v>
      </c>
      <c r="D2855" s="48" t="s">
        <v>5</v>
      </c>
      <c r="E2855" t="s">
        <v>157</v>
      </c>
      <c r="F2855">
        <v>2023</v>
      </c>
      <c r="G2855" t="s">
        <v>247</v>
      </c>
      <c r="H2855" s="42" t="s">
        <v>57</v>
      </c>
      <c r="J2855" t="s">
        <v>248</v>
      </c>
      <c r="L2855" s="34">
        <v>1</v>
      </c>
      <c r="M2855" s="38">
        <v>0.75</v>
      </c>
      <c r="N2855" s="38">
        <f t="shared" si="44"/>
        <v>0.75</v>
      </c>
    </row>
    <row r="2856" spans="1:14">
      <c r="A2856" s="29">
        <v>45245</v>
      </c>
      <c r="B2856" s="22" t="s">
        <v>293</v>
      </c>
      <c r="C2856" s="22" t="s">
        <v>41</v>
      </c>
      <c r="D2856" s="48" t="s">
        <v>5</v>
      </c>
      <c r="E2856" t="s">
        <v>159</v>
      </c>
      <c r="F2856">
        <v>2023</v>
      </c>
      <c r="G2856" t="s">
        <v>319</v>
      </c>
      <c r="H2856" s="42" t="s">
        <v>1129</v>
      </c>
      <c r="J2856" t="s">
        <v>248</v>
      </c>
      <c r="L2856" s="34">
        <v>1</v>
      </c>
      <c r="M2856" s="38">
        <v>0.75</v>
      </c>
      <c r="N2856" s="38">
        <f t="shared" si="44"/>
        <v>0.75</v>
      </c>
    </row>
    <row r="2857" spans="1:14">
      <c r="A2857" s="29">
        <v>45245</v>
      </c>
      <c r="B2857" s="22" t="s">
        <v>293</v>
      </c>
      <c r="C2857" s="22" t="s">
        <v>41</v>
      </c>
      <c r="D2857" s="48" t="s">
        <v>5</v>
      </c>
      <c r="E2857" t="s">
        <v>159</v>
      </c>
      <c r="F2857">
        <v>2023</v>
      </c>
      <c r="G2857" t="s">
        <v>326</v>
      </c>
      <c r="H2857" s="42" t="s">
        <v>860</v>
      </c>
      <c r="J2857" t="s">
        <v>248</v>
      </c>
      <c r="L2857" s="34">
        <v>1</v>
      </c>
      <c r="M2857" s="38">
        <v>0.75</v>
      </c>
      <c r="N2857" s="38">
        <f t="shared" si="44"/>
        <v>0.75</v>
      </c>
    </row>
    <row r="2858" spans="1:14">
      <c r="A2858" s="29">
        <v>45245</v>
      </c>
      <c r="B2858" s="22" t="s">
        <v>293</v>
      </c>
      <c r="C2858" s="22" t="s">
        <v>41</v>
      </c>
      <c r="D2858" s="48" t="s">
        <v>5</v>
      </c>
      <c r="E2858" t="s">
        <v>159</v>
      </c>
      <c r="F2858">
        <v>2023</v>
      </c>
      <c r="G2858" t="s">
        <v>247</v>
      </c>
      <c r="H2858" s="42" t="s">
        <v>1192</v>
      </c>
      <c r="J2858" t="s">
        <v>248</v>
      </c>
      <c r="L2858" s="34">
        <v>1</v>
      </c>
      <c r="M2858" s="38">
        <v>0.75</v>
      </c>
      <c r="N2858" s="38">
        <f t="shared" si="44"/>
        <v>0.75</v>
      </c>
    </row>
    <row r="2859" spans="1:14">
      <c r="A2859" s="29">
        <v>45245</v>
      </c>
      <c r="B2859" s="22" t="s">
        <v>293</v>
      </c>
      <c r="C2859" s="22" t="s">
        <v>41</v>
      </c>
      <c r="D2859" s="48" t="s">
        <v>5</v>
      </c>
      <c r="E2859" t="s">
        <v>158</v>
      </c>
      <c r="F2859">
        <v>2023</v>
      </c>
      <c r="G2859" t="s">
        <v>57</v>
      </c>
      <c r="H2859" s="42" t="s">
        <v>817</v>
      </c>
      <c r="J2859" t="s">
        <v>248</v>
      </c>
      <c r="L2859" s="34">
        <v>1</v>
      </c>
      <c r="M2859" s="38">
        <v>0.75</v>
      </c>
      <c r="N2859" s="38">
        <f t="shared" si="44"/>
        <v>0.75</v>
      </c>
    </row>
    <row r="2860" spans="1:14">
      <c r="A2860" s="29">
        <v>45245</v>
      </c>
      <c r="B2860" s="22" t="s">
        <v>293</v>
      </c>
      <c r="C2860" s="22" t="s">
        <v>41</v>
      </c>
      <c r="D2860" s="48" t="s">
        <v>8</v>
      </c>
      <c r="E2860" t="s">
        <v>273</v>
      </c>
      <c r="F2860">
        <v>2023</v>
      </c>
      <c r="G2860" t="s">
        <v>57</v>
      </c>
      <c r="H2860" s="42" t="s">
        <v>57</v>
      </c>
      <c r="J2860" t="s">
        <v>248</v>
      </c>
      <c r="L2860" s="34">
        <v>1</v>
      </c>
      <c r="M2860" s="38">
        <v>0.75</v>
      </c>
      <c r="N2860" s="38">
        <f t="shared" si="44"/>
        <v>0.75</v>
      </c>
    </row>
    <row r="2861" spans="1:14">
      <c r="A2861" s="29">
        <v>45245</v>
      </c>
      <c r="B2861" s="22" t="s">
        <v>96</v>
      </c>
      <c r="C2861" s="22" t="s">
        <v>57</v>
      </c>
      <c r="D2861" s="48" t="s">
        <v>5</v>
      </c>
      <c r="E2861" t="s">
        <v>157</v>
      </c>
      <c r="F2861">
        <v>2023</v>
      </c>
      <c r="G2861" t="s">
        <v>319</v>
      </c>
      <c r="H2861" s="42" t="s">
        <v>57</v>
      </c>
      <c r="J2861" t="s">
        <v>248</v>
      </c>
      <c r="L2861" s="34">
        <v>2</v>
      </c>
      <c r="M2861" s="38">
        <v>0.75</v>
      </c>
      <c r="N2861" s="38">
        <f t="shared" si="44"/>
        <v>1.5</v>
      </c>
    </row>
    <row r="2862" spans="1:14">
      <c r="A2862" s="29">
        <v>45245</v>
      </c>
      <c r="B2862" s="22" t="s">
        <v>96</v>
      </c>
      <c r="C2862" s="22" t="s">
        <v>57</v>
      </c>
      <c r="D2862" s="48" t="s">
        <v>5</v>
      </c>
      <c r="E2862" t="s">
        <v>157</v>
      </c>
      <c r="F2862">
        <v>2023</v>
      </c>
      <c r="G2862" t="s">
        <v>326</v>
      </c>
      <c r="H2862" s="42" t="s">
        <v>57</v>
      </c>
      <c r="J2862" t="s">
        <v>248</v>
      </c>
      <c r="L2862" s="34">
        <v>2</v>
      </c>
      <c r="M2862" s="38">
        <v>0.75</v>
      </c>
      <c r="N2862" s="38">
        <f t="shared" si="44"/>
        <v>1.5</v>
      </c>
    </row>
    <row r="2863" spans="1:14">
      <c r="A2863" s="29">
        <v>45245</v>
      </c>
      <c r="B2863" s="22" t="s">
        <v>96</v>
      </c>
      <c r="C2863" s="22" t="s">
        <v>57</v>
      </c>
      <c r="D2863" s="48" t="s">
        <v>5</v>
      </c>
      <c r="E2863" t="s">
        <v>157</v>
      </c>
      <c r="F2863">
        <v>2023</v>
      </c>
      <c r="G2863" t="s">
        <v>247</v>
      </c>
      <c r="H2863" s="42" t="s">
        <v>57</v>
      </c>
      <c r="J2863" t="s">
        <v>248</v>
      </c>
      <c r="L2863" s="34">
        <v>2</v>
      </c>
      <c r="M2863" s="38">
        <v>0.75</v>
      </c>
      <c r="N2863" s="38">
        <f t="shared" si="44"/>
        <v>1.5</v>
      </c>
    </row>
    <row r="2864" spans="1:14">
      <c r="A2864" s="29">
        <v>45245</v>
      </c>
      <c r="B2864" s="22" t="s">
        <v>96</v>
      </c>
      <c r="C2864" s="22" t="s">
        <v>57</v>
      </c>
      <c r="D2864" s="48" t="s">
        <v>5</v>
      </c>
      <c r="E2864" t="s">
        <v>159</v>
      </c>
      <c r="F2864">
        <v>2023</v>
      </c>
      <c r="G2864" t="s">
        <v>319</v>
      </c>
      <c r="H2864" s="42" t="s">
        <v>1129</v>
      </c>
      <c r="J2864" t="s">
        <v>248</v>
      </c>
      <c r="L2864" s="34">
        <v>2</v>
      </c>
      <c r="M2864" s="38">
        <v>0.75</v>
      </c>
      <c r="N2864" s="38">
        <f t="shared" si="44"/>
        <v>1.5</v>
      </c>
    </row>
    <row r="2865" spans="1:14">
      <c r="A2865" s="29">
        <v>45245</v>
      </c>
      <c r="B2865" s="22" t="s">
        <v>96</v>
      </c>
      <c r="C2865" s="22" t="s">
        <v>57</v>
      </c>
      <c r="D2865" s="48" t="s">
        <v>5</v>
      </c>
      <c r="E2865" t="s">
        <v>159</v>
      </c>
      <c r="F2865">
        <v>2023</v>
      </c>
      <c r="G2865" t="s">
        <v>326</v>
      </c>
      <c r="H2865" s="42" t="s">
        <v>860</v>
      </c>
      <c r="J2865" t="s">
        <v>248</v>
      </c>
      <c r="L2865" s="34">
        <v>2</v>
      </c>
      <c r="M2865" s="38">
        <v>0.75</v>
      </c>
      <c r="N2865" s="38">
        <f t="shared" si="44"/>
        <v>1.5</v>
      </c>
    </row>
    <row r="2866" spans="1:14">
      <c r="A2866" s="29">
        <v>45245</v>
      </c>
      <c r="B2866" s="22" t="s">
        <v>96</v>
      </c>
      <c r="C2866" s="22" t="s">
        <v>57</v>
      </c>
      <c r="D2866" s="48" t="s">
        <v>5</v>
      </c>
      <c r="E2866" t="s">
        <v>159</v>
      </c>
      <c r="F2866">
        <v>2023</v>
      </c>
      <c r="G2866" t="s">
        <v>247</v>
      </c>
      <c r="H2866" s="42" t="s">
        <v>1192</v>
      </c>
      <c r="J2866" t="s">
        <v>248</v>
      </c>
      <c r="L2866" s="34">
        <v>2</v>
      </c>
      <c r="M2866" s="38">
        <v>0.75</v>
      </c>
      <c r="N2866" s="38">
        <f t="shared" ref="N2866:N2929" si="45">M2866*L2866</f>
        <v>1.5</v>
      </c>
    </row>
    <row r="2867" spans="1:14">
      <c r="A2867" s="29">
        <v>45245</v>
      </c>
      <c r="B2867" s="22" t="s">
        <v>109</v>
      </c>
      <c r="C2867" s="22" t="s">
        <v>57</v>
      </c>
      <c r="D2867" s="48" t="s">
        <v>8</v>
      </c>
      <c r="E2867" t="s">
        <v>502</v>
      </c>
      <c r="F2867">
        <v>2023</v>
      </c>
      <c r="G2867" t="s">
        <v>1184</v>
      </c>
      <c r="H2867" s="42" t="s">
        <v>784</v>
      </c>
      <c r="J2867" t="s">
        <v>248</v>
      </c>
      <c r="L2867" s="34">
        <v>3</v>
      </c>
      <c r="M2867" s="38">
        <v>0.75</v>
      </c>
      <c r="N2867" s="38">
        <f t="shared" si="45"/>
        <v>2.25</v>
      </c>
    </row>
    <row r="2868" spans="1:14">
      <c r="A2868" s="29">
        <v>45245</v>
      </c>
      <c r="B2868" s="22" t="s">
        <v>109</v>
      </c>
      <c r="C2868" s="22" t="s">
        <v>57</v>
      </c>
      <c r="D2868" s="48" t="s">
        <v>8</v>
      </c>
      <c r="E2868" t="s">
        <v>502</v>
      </c>
      <c r="F2868">
        <v>2023</v>
      </c>
      <c r="G2868" t="s">
        <v>309</v>
      </c>
      <c r="H2868" s="42" t="s">
        <v>57</v>
      </c>
      <c r="J2868" t="s">
        <v>248</v>
      </c>
      <c r="L2868" s="34">
        <v>3</v>
      </c>
      <c r="M2868" s="38">
        <v>0.75</v>
      </c>
      <c r="N2868" s="38">
        <f t="shared" si="45"/>
        <v>2.25</v>
      </c>
    </row>
    <row r="2869" spans="1:14">
      <c r="A2869" s="29">
        <v>45245</v>
      </c>
      <c r="B2869" s="22" t="s">
        <v>109</v>
      </c>
      <c r="C2869" s="22" t="s">
        <v>57</v>
      </c>
      <c r="D2869" s="48" t="s">
        <v>5</v>
      </c>
      <c r="E2869" t="s">
        <v>503</v>
      </c>
      <c r="F2869">
        <v>2023</v>
      </c>
      <c r="G2869" t="s">
        <v>57</v>
      </c>
      <c r="H2869" s="42" t="s">
        <v>57</v>
      </c>
      <c r="J2869" t="s">
        <v>248</v>
      </c>
      <c r="L2869" s="34">
        <v>3</v>
      </c>
      <c r="M2869" s="38">
        <v>0.75</v>
      </c>
      <c r="N2869" s="38">
        <f t="shared" si="45"/>
        <v>2.25</v>
      </c>
    </row>
    <row r="2870" spans="1:14">
      <c r="A2870" s="29">
        <v>45245</v>
      </c>
      <c r="B2870" s="22" t="s">
        <v>57</v>
      </c>
      <c r="C2870" s="22" t="s">
        <v>10</v>
      </c>
      <c r="D2870" s="48" t="s">
        <v>8</v>
      </c>
      <c r="E2870" t="s">
        <v>273</v>
      </c>
      <c r="F2870">
        <v>2023</v>
      </c>
      <c r="G2870" t="s">
        <v>57</v>
      </c>
      <c r="H2870" s="42" t="s">
        <v>57</v>
      </c>
      <c r="J2870" t="s">
        <v>248</v>
      </c>
      <c r="K2870" s="8" t="s">
        <v>1211</v>
      </c>
      <c r="L2870" s="34">
        <v>2</v>
      </c>
      <c r="M2870" s="38">
        <v>0.75</v>
      </c>
      <c r="N2870" s="38">
        <f t="shared" si="45"/>
        <v>1.5</v>
      </c>
    </row>
    <row r="2871" spans="1:14">
      <c r="A2871" s="29">
        <v>45246</v>
      </c>
      <c r="B2871" s="22" t="s">
        <v>57</v>
      </c>
      <c r="C2871" s="22" t="s">
        <v>1212</v>
      </c>
      <c r="D2871" s="48" t="s">
        <v>5</v>
      </c>
      <c r="E2871" t="s">
        <v>157</v>
      </c>
      <c r="F2871">
        <v>2023</v>
      </c>
      <c r="G2871" t="s">
        <v>338</v>
      </c>
      <c r="H2871" s="42" t="s">
        <v>1213</v>
      </c>
      <c r="J2871" t="s">
        <v>248</v>
      </c>
      <c r="L2871" s="34">
        <v>3</v>
      </c>
      <c r="M2871" s="38">
        <v>0.75</v>
      </c>
      <c r="N2871" s="38">
        <f t="shared" si="45"/>
        <v>2.25</v>
      </c>
    </row>
    <row r="2872" spans="1:14">
      <c r="A2872" s="29">
        <v>45246</v>
      </c>
      <c r="B2872" s="22" t="s">
        <v>57</v>
      </c>
      <c r="C2872" s="22" t="s">
        <v>1212</v>
      </c>
      <c r="D2872" s="48" t="s">
        <v>5</v>
      </c>
      <c r="E2872" t="s">
        <v>159</v>
      </c>
      <c r="F2872">
        <v>2023</v>
      </c>
      <c r="G2872" t="s">
        <v>338</v>
      </c>
      <c r="H2872" s="42" t="s">
        <v>850</v>
      </c>
      <c r="J2872" t="s">
        <v>248</v>
      </c>
      <c r="L2872" s="34">
        <v>3</v>
      </c>
      <c r="M2872" s="38">
        <v>0.75</v>
      </c>
      <c r="N2872" s="38">
        <f t="shared" si="45"/>
        <v>2.25</v>
      </c>
    </row>
    <row r="2873" spans="1:14">
      <c r="A2873" s="29">
        <v>45246</v>
      </c>
      <c r="B2873" s="22" t="s">
        <v>57</v>
      </c>
      <c r="C2873" s="22" t="s">
        <v>1212</v>
      </c>
      <c r="D2873" s="48" t="s">
        <v>5</v>
      </c>
      <c r="E2873" t="s">
        <v>255</v>
      </c>
      <c r="F2873">
        <v>2023</v>
      </c>
      <c r="G2873" t="s">
        <v>338</v>
      </c>
      <c r="H2873" s="42" t="s">
        <v>1110</v>
      </c>
      <c r="J2873" t="s">
        <v>248</v>
      </c>
      <c r="L2873" s="34">
        <v>3</v>
      </c>
      <c r="M2873" s="38">
        <v>0.75</v>
      </c>
      <c r="N2873" s="38">
        <f t="shared" si="45"/>
        <v>2.25</v>
      </c>
    </row>
    <row r="2874" spans="1:14">
      <c r="A2874" s="29">
        <v>45246</v>
      </c>
      <c r="B2874" s="22" t="s">
        <v>57</v>
      </c>
      <c r="C2874" s="22" t="s">
        <v>1212</v>
      </c>
      <c r="D2874" s="48" t="s">
        <v>8</v>
      </c>
      <c r="E2874" t="s">
        <v>273</v>
      </c>
      <c r="F2874">
        <v>2023</v>
      </c>
      <c r="G2874" t="s">
        <v>1214</v>
      </c>
      <c r="H2874" s="42" t="s">
        <v>1064</v>
      </c>
      <c r="J2874" t="s">
        <v>248</v>
      </c>
      <c r="L2874" s="34">
        <v>3</v>
      </c>
      <c r="M2874" s="38">
        <v>0.75</v>
      </c>
      <c r="N2874" s="38">
        <f t="shared" si="45"/>
        <v>2.25</v>
      </c>
    </row>
    <row r="2875" spans="1:14">
      <c r="A2875" s="29">
        <v>45247</v>
      </c>
      <c r="B2875" s="22" t="s">
        <v>16</v>
      </c>
      <c r="C2875" s="22" t="s">
        <v>49</v>
      </c>
      <c r="D2875" s="48" t="s">
        <v>8</v>
      </c>
      <c r="E2875" t="s">
        <v>273</v>
      </c>
      <c r="F2875">
        <v>2023</v>
      </c>
      <c r="G2875" t="s">
        <v>57</v>
      </c>
      <c r="H2875" s="42"/>
      <c r="J2875" t="s">
        <v>248</v>
      </c>
      <c r="K2875" s="8" t="s">
        <v>1211</v>
      </c>
      <c r="L2875" s="34">
        <v>2</v>
      </c>
      <c r="M2875" s="38">
        <v>0.75</v>
      </c>
      <c r="N2875" s="38">
        <f t="shared" si="45"/>
        <v>1.5</v>
      </c>
    </row>
    <row r="2876" spans="1:14">
      <c r="A2876" s="29">
        <v>45247</v>
      </c>
      <c r="B2876" s="22" t="s">
        <v>16</v>
      </c>
      <c r="C2876" s="22" t="s">
        <v>49</v>
      </c>
      <c r="D2876" s="48" t="s">
        <v>8</v>
      </c>
      <c r="E2876" t="s">
        <v>186</v>
      </c>
      <c r="F2876">
        <v>2023</v>
      </c>
      <c r="G2876" t="s">
        <v>57</v>
      </c>
      <c r="H2876" s="42" t="s">
        <v>57</v>
      </c>
      <c r="J2876" t="s">
        <v>248</v>
      </c>
      <c r="K2876" t="s">
        <v>1215</v>
      </c>
      <c r="L2876" s="34">
        <v>2</v>
      </c>
      <c r="M2876" s="38">
        <v>0.75</v>
      </c>
      <c r="N2876" s="38">
        <f t="shared" si="45"/>
        <v>1.5</v>
      </c>
    </row>
    <row r="2877" spans="1:14">
      <c r="A2877" s="29">
        <v>45247</v>
      </c>
      <c r="B2877" s="22" t="s">
        <v>1194</v>
      </c>
      <c r="C2877" s="22" t="s">
        <v>47</v>
      </c>
      <c r="D2877" s="48" t="s">
        <v>5</v>
      </c>
      <c r="E2877" t="s">
        <v>159</v>
      </c>
      <c r="F2877">
        <v>2023</v>
      </c>
      <c r="G2877" t="s">
        <v>247</v>
      </c>
      <c r="H2877" s="42" t="s">
        <v>1198</v>
      </c>
      <c r="J2877" t="s">
        <v>248</v>
      </c>
      <c r="L2877" s="34">
        <v>1</v>
      </c>
      <c r="M2877" s="38">
        <v>0.75</v>
      </c>
      <c r="N2877" s="38">
        <f t="shared" si="45"/>
        <v>0.75</v>
      </c>
    </row>
    <row r="2878" spans="1:14">
      <c r="A2878" s="29">
        <v>45247</v>
      </c>
      <c r="B2878" s="22" t="s">
        <v>77</v>
      </c>
      <c r="C2878" s="22" t="s">
        <v>47</v>
      </c>
      <c r="D2878" s="48" t="s">
        <v>5</v>
      </c>
      <c r="E2878" t="s">
        <v>159</v>
      </c>
      <c r="F2878">
        <v>2023</v>
      </c>
      <c r="G2878" t="s">
        <v>326</v>
      </c>
      <c r="H2878" s="42" t="s">
        <v>1216</v>
      </c>
      <c r="J2878" t="s">
        <v>248</v>
      </c>
      <c r="L2878" s="34">
        <v>2</v>
      </c>
      <c r="M2878" s="38">
        <v>0.75</v>
      </c>
      <c r="N2878" s="38">
        <f t="shared" si="45"/>
        <v>1.5</v>
      </c>
    </row>
    <row r="2879" spans="1:14">
      <c r="A2879" s="29">
        <v>45247</v>
      </c>
      <c r="B2879" s="22" t="s">
        <v>77</v>
      </c>
      <c r="C2879" s="22" t="s">
        <v>47</v>
      </c>
      <c r="D2879" s="48" t="s">
        <v>5</v>
      </c>
      <c r="E2879" t="s">
        <v>159</v>
      </c>
      <c r="F2879">
        <v>2023</v>
      </c>
      <c r="G2879" t="s">
        <v>319</v>
      </c>
      <c r="H2879" s="42" t="s">
        <v>1217</v>
      </c>
      <c r="J2879" t="s">
        <v>248</v>
      </c>
      <c r="L2879" s="34">
        <v>2</v>
      </c>
      <c r="M2879" s="38">
        <v>0.75</v>
      </c>
      <c r="N2879" s="38">
        <f t="shared" si="45"/>
        <v>1.5</v>
      </c>
    </row>
    <row r="2880" spans="1:14">
      <c r="A2880" s="29">
        <v>45250</v>
      </c>
      <c r="B2880" s="22" t="s">
        <v>109</v>
      </c>
      <c r="C2880" s="22" t="s">
        <v>57</v>
      </c>
      <c r="D2880" s="48" t="s">
        <v>5</v>
      </c>
      <c r="E2880" t="s">
        <v>308</v>
      </c>
      <c r="F2880">
        <v>2023</v>
      </c>
      <c r="G2880" t="s">
        <v>57</v>
      </c>
      <c r="H2880" s="42" t="s">
        <v>898</v>
      </c>
      <c r="J2880" t="s">
        <v>248</v>
      </c>
      <c r="L2880" s="34">
        <v>2</v>
      </c>
      <c r="M2880" s="38">
        <v>0.75</v>
      </c>
      <c r="N2880" s="38">
        <f t="shared" si="45"/>
        <v>1.5</v>
      </c>
    </row>
    <row r="2881" spans="1:14">
      <c r="A2881" s="29">
        <v>45250</v>
      </c>
      <c r="B2881" s="22" t="s">
        <v>109</v>
      </c>
      <c r="C2881" s="22" t="s">
        <v>57</v>
      </c>
      <c r="D2881" s="48" t="s">
        <v>5</v>
      </c>
      <c r="E2881" t="s">
        <v>503</v>
      </c>
      <c r="F2881">
        <v>2023</v>
      </c>
      <c r="G2881" t="s">
        <v>57</v>
      </c>
      <c r="H2881" s="42" t="s">
        <v>1218</v>
      </c>
      <c r="J2881" t="s">
        <v>248</v>
      </c>
      <c r="L2881" s="34">
        <v>1</v>
      </c>
      <c r="M2881" s="38">
        <v>0.75</v>
      </c>
      <c r="N2881" s="38">
        <f t="shared" si="45"/>
        <v>0.75</v>
      </c>
    </row>
    <row r="2882" spans="1:14">
      <c r="A2882" s="29">
        <v>45252</v>
      </c>
      <c r="B2882" s="22" t="s">
        <v>16</v>
      </c>
      <c r="C2882" s="22" t="s">
        <v>49</v>
      </c>
      <c r="D2882" s="48" t="s">
        <v>14</v>
      </c>
      <c r="E2882" t="s">
        <v>1219</v>
      </c>
      <c r="F2882">
        <v>2023</v>
      </c>
      <c r="G2882" t="s">
        <v>57</v>
      </c>
      <c r="H2882" s="42" t="s">
        <v>1220</v>
      </c>
      <c r="J2882" t="s">
        <v>248</v>
      </c>
      <c r="L2882" s="34">
        <v>6</v>
      </c>
      <c r="M2882" s="38">
        <v>0.75</v>
      </c>
      <c r="N2882" s="38">
        <f t="shared" si="45"/>
        <v>4.5</v>
      </c>
    </row>
    <row r="2883" spans="1:14">
      <c r="A2883" s="29">
        <v>45252</v>
      </c>
      <c r="B2883" s="22" t="s">
        <v>79</v>
      </c>
      <c r="C2883" s="22" t="s">
        <v>57</v>
      </c>
      <c r="D2883" s="48" t="s">
        <v>5</v>
      </c>
      <c r="E2883" t="s">
        <v>159</v>
      </c>
      <c r="F2883">
        <v>2023</v>
      </c>
      <c r="G2883" t="s">
        <v>326</v>
      </c>
      <c r="H2883" s="42" t="s">
        <v>796</v>
      </c>
      <c r="J2883" t="s">
        <v>248</v>
      </c>
      <c r="L2883" s="34">
        <v>2</v>
      </c>
      <c r="M2883" s="38">
        <v>0.75</v>
      </c>
      <c r="N2883" s="38">
        <f t="shared" si="45"/>
        <v>1.5</v>
      </c>
    </row>
    <row r="2884" spans="1:14">
      <c r="A2884" s="29">
        <v>45252</v>
      </c>
      <c r="B2884" s="22" t="s">
        <v>79</v>
      </c>
      <c r="C2884" s="22" t="s">
        <v>57</v>
      </c>
      <c r="D2884" s="48" t="s">
        <v>5</v>
      </c>
      <c r="E2884" t="s">
        <v>159</v>
      </c>
      <c r="F2884">
        <v>2023</v>
      </c>
      <c r="G2884" t="s">
        <v>247</v>
      </c>
      <c r="H2884" s="42" t="s">
        <v>1221</v>
      </c>
      <c r="J2884" t="s">
        <v>248</v>
      </c>
      <c r="L2884" s="34">
        <v>1</v>
      </c>
      <c r="M2884" s="38">
        <v>0.75</v>
      </c>
      <c r="N2884" s="38">
        <f t="shared" si="45"/>
        <v>0.75</v>
      </c>
    </row>
    <row r="2885" spans="1:14">
      <c r="A2885" s="29">
        <v>45253</v>
      </c>
      <c r="B2885" s="22"/>
      <c r="C2885" s="22" t="s">
        <v>28</v>
      </c>
      <c r="D2885" s="48" t="s">
        <v>5</v>
      </c>
      <c r="E2885" t="s">
        <v>157</v>
      </c>
      <c r="F2885">
        <v>2022</v>
      </c>
      <c r="G2885" t="s">
        <v>427</v>
      </c>
      <c r="H2885" s="42" t="s">
        <v>1222</v>
      </c>
      <c r="J2885" t="s">
        <v>248</v>
      </c>
      <c r="L2885" s="34">
        <v>3</v>
      </c>
      <c r="M2885" s="38">
        <v>0.75</v>
      </c>
      <c r="N2885" s="38">
        <f t="shared" si="45"/>
        <v>2.25</v>
      </c>
    </row>
    <row r="2886" spans="1:14">
      <c r="A2886" s="29">
        <v>45253</v>
      </c>
      <c r="B2886" s="22" t="s">
        <v>1223</v>
      </c>
      <c r="C2886" s="22" t="s">
        <v>1224</v>
      </c>
      <c r="D2886" s="48" t="s">
        <v>5</v>
      </c>
      <c r="E2886" t="s">
        <v>161</v>
      </c>
      <c r="F2886">
        <v>2023</v>
      </c>
      <c r="G2886" t="s">
        <v>57</v>
      </c>
      <c r="H2886" s="42" t="s">
        <v>1196</v>
      </c>
      <c r="J2886" t="s">
        <v>248</v>
      </c>
      <c r="L2886" s="34">
        <v>2</v>
      </c>
      <c r="M2886" s="38">
        <v>0.75</v>
      </c>
      <c r="N2886" s="38">
        <f t="shared" si="45"/>
        <v>1.5</v>
      </c>
    </row>
    <row r="2887" spans="1:14">
      <c r="A2887" s="29">
        <v>45253</v>
      </c>
      <c r="B2887" s="22" t="s">
        <v>1223</v>
      </c>
      <c r="C2887" s="22" t="s">
        <v>1224</v>
      </c>
      <c r="D2887" s="48" t="s">
        <v>11</v>
      </c>
      <c r="E2887" t="s">
        <v>1225</v>
      </c>
      <c r="F2887">
        <v>2022</v>
      </c>
      <c r="G2887" t="s">
        <v>57</v>
      </c>
      <c r="H2887" s="42" t="s">
        <v>57</v>
      </c>
      <c r="J2887" t="s">
        <v>248</v>
      </c>
      <c r="K2887" t="s">
        <v>1226</v>
      </c>
      <c r="L2887" s="34">
        <v>2</v>
      </c>
      <c r="M2887" s="38">
        <v>0.75</v>
      </c>
      <c r="N2887" s="38">
        <f t="shared" si="45"/>
        <v>1.5</v>
      </c>
    </row>
    <row r="2888" spans="1:14">
      <c r="A2888" s="29">
        <v>45253</v>
      </c>
      <c r="B2888" s="22" t="s">
        <v>56</v>
      </c>
      <c r="C2888" s="22" t="s">
        <v>1224</v>
      </c>
      <c r="D2888" s="48" t="s">
        <v>5</v>
      </c>
      <c r="E2888" t="s">
        <v>161</v>
      </c>
      <c r="F2888">
        <v>2023</v>
      </c>
      <c r="G2888" t="s">
        <v>57</v>
      </c>
      <c r="H2888" s="42" t="s">
        <v>1196</v>
      </c>
      <c r="J2888" t="s">
        <v>248</v>
      </c>
      <c r="L2888" s="34">
        <v>2</v>
      </c>
      <c r="M2888" s="38">
        <v>0.75</v>
      </c>
      <c r="N2888" s="38">
        <f t="shared" si="45"/>
        <v>1.5</v>
      </c>
    </row>
    <row r="2889" spans="1:14">
      <c r="A2889" s="29">
        <v>45253</v>
      </c>
      <c r="B2889" s="22" t="s">
        <v>56</v>
      </c>
      <c r="C2889" s="22" t="s">
        <v>1224</v>
      </c>
      <c r="D2889" s="48" t="s">
        <v>5</v>
      </c>
      <c r="E2889" t="s">
        <v>162</v>
      </c>
      <c r="F2889">
        <v>2023</v>
      </c>
      <c r="G2889" t="s">
        <v>357</v>
      </c>
      <c r="H2889" s="42" t="s">
        <v>57</v>
      </c>
      <c r="J2889" t="s">
        <v>248</v>
      </c>
      <c r="K2889" s="8" t="s">
        <v>1227</v>
      </c>
      <c r="L2889" s="34">
        <v>1</v>
      </c>
      <c r="M2889" s="38">
        <v>0.75</v>
      </c>
      <c r="N2889" s="38">
        <f t="shared" si="45"/>
        <v>0.75</v>
      </c>
    </row>
    <row r="2890" spans="1:14">
      <c r="A2890" s="29">
        <v>45253</v>
      </c>
      <c r="B2890" s="22" t="s">
        <v>56</v>
      </c>
      <c r="C2890" s="22" t="s">
        <v>1224</v>
      </c>
      <c r="D2890" s="48" t="s">
        <v>5</v>
      </c>
      <c r="E2890" t="s">
        <v>167</v>
      </c>
      <c r="F2890">
        <v>2023</v>
      </c>
      <c r="G2890" t="s">
        <v>359</v>
      </c>
      <c r="H2890" s="42" t="s">
        <v>57</v>
      </c>
      <c r="J2890" t="s">
        <v>248</v>
      </c>
      <c r="K2890" s="8" t="s">
        <v>1228</v>
      </c>
      <c r="L2890" s="34">
        <v>1</v>
      </c>
      <c r="M2890" s="38">
        <v>0.75</v>
      </c>
      <c r="N2890" s="38">
        <f t="shared" si="45"/>
        <v>0.75</v>
      </c>
    </row>
    <row r="2891" spans="1:14">
      <c r="A2891" s="29">
        <v>45253</v>
      </c>
      <c r="B2891" s="22" t="s">
        <v>56</v>
      </c>
      <c r="C2891" s="22" t="s">
        <v>1224</v>
      </c>
      <c r="D2891" s="48" t="s">
        <v>8</v>
      </c>
      <c r="E2891" t="s">
        <v>190</v>
      </c>
      <c r="F2891">
        <v>2023</v>
      </c>
      <c r="G2891" t="s">
        <v>57</v>
      </c>
      <c r="H2891" s="42" t="s">
        <v>57</v>
      </c>
      <c r="J2891" t="s">
        <v>248</v>
      </c>
      <c r="K2891" t="s">
        <v>1229</v>
      </c>
      <c r="L2891" s="34">
        <v>2</v>
      </c>
      <c r="M2891" s="38">
        <v>0.75</v>
      </c>
      <c r="N2891" s="38">
        <f t="shared" si="45"/>
        <v>1.5</v>
      </c>
    </row>
    <row r="2892" spans="1:14">
      <c r="A2892" s="32">
        <v>45257</v>
      </c>
      <c r="B2892" s="22" t="s">
        <v>1230</v>
      </c>
      <c r="C2892" s="22" t="s">
        <v>57</v>
      </c>
      <c r="D2892" s="48" t="s">
        <v>5</v>
      </c>
      <c r="E2892" t="s">
        <v>157</v>
      </c>
      <c r="F2892">
        <v>2023</v>
      </c>
      <c r="G2892" t="s">
        <v>326</v>
      </c>
      <c r="H2892" s="42" t="s">
        <v>1231</v>
      </c>
      <c r="J2892" t="s">
        <v>248</v>
      </c>
      <c r="L2892" s="34">
        <v>4</v>
      </c>
      <c r="M2892" s="38">
        <v>0.75</v>
      </c>
      <c r="N2892" s="38">
        <f t="shared" si="45"/>
        <v>3</v>
      </c>
    </row>
    <row r="2893" spans="1:14">
      <c r="A2893" s="29">
        <v>45257</v>
      </c>
      <c r="B2893" s="22" t="s">
        <v>109</v>
      </c>
      <c r="C2893" s="22" t="s">
        <v>57</v>
      </c>
      <c r="D2893" s="48" t="s">
        <v>5</v>
      </c>
      <c r="E2893" t="s">
        <v>503</v>
      </c>
      <c r="F2893">
        <v>2023</v>
      </c>
      <c r="G2893" t="s">
        <v>57</v>
      </c>
      <c r="H2893" s="42" t="s">
        <v>1218</v>
      </c>
      <c r="J2893" t="s">
        <v>248</v>
      </c>
      <c r="L2893" s="34">
        <v>3</v>
      </c>
      <c r="M2893" s="38">
        <v>0.75</v>
      </c>
      <c r="N2893" s="38">
        <f t="shared" si="45"/>
        <v>2.25</v>
      </c>
    </row>
    <row r="2894" spans="1:14">
      <c r="A2894" s="29">
        <v>45258</v>
      </c>
      <c r="B2894" s="22" t="s">
        <v>16</v>
      </c>
      <c r="C2894" s="22" t="s">
        <v>49</v>
      </c>
      <c r="D2894" s="48" t="s">
        <v>5</v>
      </c>
      <c r="E2894" t="s">
        <v>157</v>
      </c>
      <c r="F2894">
        <v>2023</v>
      </c>
      <c r="G2894" t="s">
        <v>326</v>
      </c>
      <c r="H2894" s="42" t="s">
        <v>1231</v>
      </c>
      <c r="J2894" t="s">
        <v>248</v>
      </c>
      <c r="L2894" s="34">
        <v>4</v>
      </c>
      <c r="M2894" s="38">
        <v>0.75</v>
      </c>
      <c r="N2894" s="38">
        <f t="shared" si="45"/>
        <v>3</v>
      </c>
    </row>
    <row r="2895" spans="1:14">
      <c r="A2895" s="29">
        <v>45258</v>
      </c>
      <c r="B2895" s="22" t="s">
        <v>16</v>
      </c>
      <c r="C2895" s="22" t="s">
        <v>49</v>
      </c>
      <c r="D2895" s="48" t="s">
        <v>5</v>
      </c>
      <c r="E2895" t="s">
        <v>157</v>
      </c>
      <c r="F2895">
        <v>2023</v>
      </c>
      <c r="G2895" t="s">
        <v>247</v>
      </c>
      <c r="H2895" s="42" t="s">
        <v>57</v>
      </c>
      <c r="J2895" t="s">
        <v>248</v>
      </c>
      <c r="L2895" s="34">
        <v>4</v>
      </c>
      <c r="M2895" s="38">
        <v>0.75</v>
      </c>
      <c r="N2895" s="38">
        <f t="shared" si="45"/>
        <v>3</v>
      </c>
    </row>
    <row r="2896" spans="1:14">
      <c r="A2896" s="29">
        <v>45258</v>
      </c>
      <c r="B2896" s="22" t="s">
        <v>16</v>
      </c>
      <c r="C2896" s="22" t="s">
        <v>49</v>
      </c>
      <c r="D2896" s="48" t="s">
        <v>5</v>
      </c>
      <c r="E2896" t="s">
        <v>157</v>
      </c>
      <c r="F2896">
        <v>2023</v>
      </c>
      <c r="G2896" t="s">
        <v>319</v>
      </c>
      <c r="H2896" s="42" t="s">
        <v>57</v>
      </c>
      <c r="J2896" t="s">
        <v>248</v>
      </c>
      <c r="L2896" s="34">
        <v>4</v>
      </c>
      <c r="M2896" s="38">
        <v>0.75</v>
      </c>
      <c r="N2896" s="38">
        <f t="shared" si="45"/>
        <v>3</v>
      </c>
    </row>
    <row r="2897" spans="1:14">
      <c r="A2897" s="29">
        <v>45258</v>
      </c>
      <c r="B2897" s="22" t="s">
        <v>16</v>
      </c>
      <c r="C2897" s="22" t="s">
        <v>49</v>
      </c>
      <c r="D2897" s="48" t="s">
        <v>5</v>
      </c>
      <c r="E2897" t="s">
        <v>158</v>
      </c>
      <c r="F2897">
        <v>2023</v>
      </c>
      <c r="G2897" t="s">
        <v>1232</v>
      </c>
      <c r="H2897" s="42" t="s">
        <v>57</v>
      </c>
      <c r="J2897" t="s">
        <v>248</v>
      </c>
      <c r="L2897" s="34">
        <v>4</v>
      </c>
      <c r="M2897" s="38">
        <v>0.75</v>
      </c>
      <c r="N2897" s="38">
        <f t="shared" si="45"/>
        <v>3</v>
      </c>
    </row>
    <row r="2898" spans="1:14">
      <c r="A2898" s="29">
        <v>45258</v>
      </c>
      <c r="B2898" s="22" t="s">
        <v>16</v>
      </c>
      <c r="C2898" s="22" t="s">
        <v>49</v>
      </c>
      <c r="D2898" s="48" t="s">
        <v>5</v>
      </c>
      <c r="E2898" t="s">
        <v>161</v>
      </c>
      <c r="F2898">
        <v>2023</v>
      </c>
      <c r="G2898" t="s">
        <v>57</v>
      </c>
      <c r="H2898" s="42" t="s">
        <v>1196</v>
      </c>
      <c r="J2898" t="s">
        <v>248</v>
      </c>
      <c r="L2898" s="34">
        <v>4</v>
      </c>
      <c r="M2898" s="38">
        <v>0.75</v>
      </c>
      <c r="N2898" s="38">
        <f t="shared" si="45"/>
        <v>3</v>
      </c>
    </row>
    <row r="2899" spans="1:14">
      <c r="A2899" s="29">
        <v>45258</v>
      </c>
      <c r="B2899" s="22" t="s">
        <v>26</v>
      </c>
      <c r="C2899" s="22" t="s">
        <v>57</v>
      </c>
      <c r="D2899" s="48" t="s">
        <v>5</v>
      </c>
      <c r="E2899" t="s">
        <v>159</v>
      </c>
      <c r="F2899">
        <v>2023</v>
      </c>
      <c r="G2899" t="s">
        <v>251</v>
      </c>
      <c r="H2899" s="42" t="s">
        <v>1217</v>
      </c>
      <c r="J2899" t="s">
        <v>248</v>
      </c>
      <c r="L2899" s="34">
        <v>2</v>
      </c>
      <c r="M2899" s="38">
        <v>0.75</v>
      </c>
      <c r="N2899" s="38">
        <f t="shared" si="45"/>
        <v>1.5</v>
      </c>
    </row>
    <row r="2900" spans="1:14">
      <c r="A2900" s="29">
        <v>45258</v>
      </c>
      <c r="B2900" s="22" t="s">
        <v>26</v>
      </c>
      <c r="C2900" s="22" t="s">
        <v>57</v>
      </c>
      <c r="D2900" s="48" t="s">
        <v>5</v>
      </c>
      <c r="E2900" t="s">
        <v>159</v>
      </c>
      <c r="F2900">
        <v>2023</v>
      </c>
      <c r="G2900" t="s">
        <v>252</v>
      </c>
      <c r="H2900" s="42" t="s">
        <v>1233</v>
      </c>
      <c r="J2900" t="s">
        <v>248</v>
      </c>
      <c r="L2900" s="34">
        <v>2</v>
      </c>
      <c r="M2900" s="38">
        <v>0.75</v>
      </c>
      <c r="N2900" s="38">
        <f t="shared" si="45"/>
        <v>1.5</v>
      </c>
    </row>
    <row r="2901" spans="1:14">
      <c r="A2901" s="29">
        <v>45258</v>
      </c>
      <c r="B2901" s="22" t="s">
        <v>57</v>
      </c>
      <c r="C2901" s="22" t="s">
        <v>1234</v>
      </c>
      <c r="D2901" s="48" t="s">
        <v>5</v>
      </c>
      <c r="E2901" t="s">
        <v>164</v>
      </c>
      <c r="F2901">
        <v>2023</v>
      </c>
      <c r="G2901" t="s">
        <v>57</v>
      </c>
      <c r="H2901" s="42" t="s">
        <v>1197</v>
      </c>
      <c r="J2901" t="s">
        <v>248</v>
      </c>
      <c r="L2901" s="34">
        <v>4</v>
      </c>
      <c r="M2901" s="38">
        <v>0.75</v>
      </c>
      <c r="N2901" s="38">
        <f t="shared" si="45"/>
        <v>3</v>
      </c>
    </row>
    <row r="2902" spans="1:14">
      <c r="A2902" s="29">
        <v>45258</v>
      </c>
      <c r="B2902" s="22" t="s">
        <v>57</v>
      </c>
      <c r="C2902" s="22" t="s">
        <v>1234</v>
      </c>
      <c r="D2902" s="48" t="s">
        <v>8</v>
      </c>
      <c r="E2902" t="s">
        <v>180</v>
      </c>
      <c r="F2902">
        <v>2023</v>
      </c>
      <c r="G2902" t="s">
        <v>1235</v>
      </c>
      <c r="H2902" s="42"/>
      <c r="J2902" t="s">
        <v>248</v>
      </c>
      <c r="L2902" s="34">
        <v>4</v>
      </c>
      <c r="M2902" s="38">
        <v>0.75</v>
      </c>
      <c r="N2902" s="38">
        <f t="shared" si="45"/>
        <v>3</v>
      </c>
    </row>
    <row r="2903" spans="1:14">
      <c r="A2903" s="29">
        <v>45258</v>
      </c>
      <c r="B2903" s="22" t="s">
        <v>57</v>
      </c>
      <c r="C2903" s="22" t="s">
        <v>1234</v>
      </c>
      <c r="D2903" s="48" t="s">
        <v>8</v>
      </c>
      <c r="E2903" t="s">
        <v>178</v>
      </c>
      <c r="F2903">
        <v>2023</v>
      </c>
      <c r="G2903" t="s">
        <v>57</v>
      </c>
      <c r="H2903" s="42" t="s">
        <v>1236</v>
      </c>
      <c r="J2903" t="s">
        <v>248</v>
      </c>
      <c r="L2903" s="34">
        <v>4</v>
      </c>
      <c r="M2903" s="38">
        <v>0.75</v>
      </c>
      <c r="N2903" s="38">
        <f t="shared" si="45"/>
        <v>3</v>
      </c>
    </row>
    <row r="2904" spans="1:14">
      <c r="A2904" s="29">
        <v>45259</v>
      </c>
      <c r="B2904" s="22" t="s">
        <v>77</v>
      </c>
      <c r="C2904" s="22" t="s">
        <v>57</v>
      </c>
      <c r="D2904" s="48" t="s">
        <v>5</v>
      </c>
      <c r="E2904" t="s">
        <v>159</v>
      </c>
      <c r="F2904">
        <v>2023</v>
      </c>
      <c r="G2904" t="s">
        <v>326</v>
      </c>
      <c r="H2904" s="42" t="s">
        <v>1237</v>
      </c>
      <c r="J2904" t="s">
        <v>248</v>
      </c>
      <c r="L2904" s="34">
        <v>2</v>
      </c>
      <c r="M2904" s="38">
        <v>0.75</v>
      </c>
      <c r="N2904" s="38">
        <f t="shared" si="45"/>
        <v>1.5</v>
      </c>
    </row>
    <row r="2905" spans="1:14">
      <c r="A2905" s="29">
        <v>45259</v>
      </c>
      <c r="B2905" s="22" t="s">
        <v>77</v>
      </c>
      <c r="C2905" s="22" t="s">
        <v>57</v>
      </c>
      <c r="D2905" s="48" t="s">
        <v>5</v>
      </c>
      <c r="E2905" t="s">
        <v>159</v>
      </c>
      <c r="F2905">
        <v>2023</v>
      </c>
      <c r="G2905" t="s">
        <v>319</v>
      </c>
      <c r="H2905" s="42" t="s">
        <v>1238</v>
      </c>
      <c r="J2905" t="s">
        <v>248</v>
      </c>
      <c r="L2905" s="34">
        <v>2</v>
      </c>
      <c r="M2905" s="38">
        <v>0.75</v>
      </c>
      <c r="N2905" s="38">
        <f t="shared" si="45"/>
        <v>1.5</v>
      </c>
    </row>
    <row r="2906" spans="1:14">
      <c r="A2906" s="29">
        <v>45259</v>
      </c>
      <c r="B2906" s="22" t="s">
        <v>64</v>
      </c>
      <c r="C2906" s="22" t="s">
        <v>57</v>
      </c>
      <c r="D2906" s="48" t="s">
        <v>5</v>
      </c>
      <c r="E2906" t="s">
        <v>366</v>
      </c>
      <c r="F2906">
        <v>2023</v>
      </c>
      <c r="G2906" t="s">
        <v>57</v>
      </c>
      <c r="H2906" s="42" t="s">
        <v>1239</v>
      </c>
      <c r="J2906" t="s">
        <v>248</v>
      </c>
      <c r="L2906" s="34">
        <v>1</v>
      </c>
      <c r="M2906" s="38">
        <v>0.75</v>
      </c>
      <c r="N2906" s="38">
        <f t="shared" si="45"/>
        <v>0.75</v>
      </c>
    </row>
    <row r="2907" spans="1:14">
      <c r="A2907" s="29">
        <v>45259</v>
      </c>
      <c r="B2907" s="22" t="s">
        <v>64</v>
      </c>
      <c r="C2907" s="22" t="s">
        <v>57</v>
      </c>
      <c r="D2907" s="48" t="s">
        <v>5</v>
      </c>
      <c r="E2907" t="s">
        <v>1240</v>
      </c>
      <c r="F2907">
        <v>2023</v>
      </c>
      <c r="G2907" t="s">
        <v>57</v>
      </c>
      <c r="H2907" s="42" t="s">
        <v>57</v>
      </c>
      <c r="J2907" t="s">
        <v>248</v>
      </c>
      <c r="L2907" s="34">
        <v>1</v>
      </c>
      <c r="M2907" s="38">
        <v>0.75</v>
      </c>
      <c r="N2907" s="38">
        <f t="shared" si="45"/>
        <v>0.75</v>
      </c>
    </row>
    <row r="2908" spans="1:14">
      <c r="A2908" s="29">
        <v>45259</v>
      </c>
      <c r="B2908" s="22" t="s">
        <v>64</v>
      </c>
      <c r="C2908" s="22" t="s">
        <v>57</v>
      </c>
      <c r="D2908" s="48" t="s">
        <v>5</v>
      </c>
      <c r="E2908" t="s">
        <v>1241</v>
      </c>
      <c r="F2908">
        <v>2023</v>
      </c>
      <c r="G2908" t="s">
        <v>1242</v>
      </c>
      <c r="H2908" s="42" t="s">
        <v>1243</v>
      </c>
      <c r="J2908" t="s">
        <v>248</v>
      </c>
      <c r="L2908" s="34">
        <v>1</v>
      </c>
      <c r="M2908" s="38">
        <v>0.75</v>
      </c>
      <c r="N2908" s="38">
        <f t="shared" si="45"/>
        <v>0.75</v>
      </c>
    </row>
    <row r="2909" spans="1:14">
      <c r="A2909" s="29">
        <v>45259</v>
      </c>
      <c r="B2909" s="22" t="s">
        <v>64</v>
      </c>
      <c r="C2909" s="22" t="s">
        <v>57</v>
      </c>
      <c r="D2909" s="48" t="s">
        <v>8</v>
      </c>
      <c r="E2909" t="s">
        <v>1244</v>
      </c>
      <c r="F2909">
        <v>2023</v>
      </c>
      <c r="G2909" t="s">
        <v>57</v>
      </c>
      <c r="H2909" s="42" t="s">
        <v>1090</v>
      </c>
      <c r="J2909" t="s">
        <v>248</v>
      </c>
      <c r="L2909" s="34">
        <v>1</v>
      </c>
      <c r="M2909" s="38">
        <v>0.75</v>
      </c>
      <c r="N2909" s="38">
        <f t="shared" si="45"/>
        <v>0.75</v>
      </c>
    </row>
    <row r="2910" spans="1:14">
      <c r="A2910" s="29">
        <v>45259</v>
      </c>
      <c r="B2910" s="22" t="s">
        <v>64</v>
      </c>
      <c r="C2910" s="22" t="s">
        <v>57</v>
      </c>
      <c r="D2910" s="48" t="s">
        <v>8</v>
      </c>
      <c r="E2910" t="s">
        <v>1245</v>
      </c>
      <c r="F2910">
        <v>2023</v>
      </c>
      <c r="G2910" t="s">
        <v>57</v>
      </c>
      <c r="H2910" s="42" t="s">
        <v>1246</v>
      </c>
      <c r="J2910" t="s">
        <v>248</v>
      </c>
      <c r="L2910" s="34">
        <v>1</v>
      </c>
      <c r="M2910" s="38">
        <v>0.75</v>
      </c>
      <c r="N2910" s="38">
        <f t="shared" si="45"/>
        <v>0.75</v>
      </c>
    </row>
    <row r="2911" spans="1:14">
      <c r="A2911" s="29">
        <v>45259</v>
      </c>
      <c r="B2911" s="22" t="s">
        <v>64</v>
      </c>
      <c r="C2911" s="22" t="s">
        <v>57</v>
      </c>
      <c r="D2911" s="48" t="s">
        <v>8</v>
      </c>
      <c r="E2911" t="s">
        <v>1130</v>
      </c>
      <c r="F2911">
        <v>2023</v>
      </c>
      <c r="G2911" t="s">
        <v>57</v>
      </c>
      <c r="H2911" s="42" t="s">
        <v>57</v>
      </c>
      <c r="J2911" t="s">
        <v>248</v>
      </c>
      <c r="L2911" s="34">
        <v>1</v>
      </c>
      <c r="M2911" s="38">
        <v>0.75</v>
      </c>
      <c r="N2911" s="38">
        <f t="shared" si="45"/>
        <v>0.75</v>
      </c>
    </row>
    <row r="2912" spans="1:14">
      <c r="A2912" s="29">
        <v>45259</v>
      </c>
      <c r="B2912" s="22" t="s">
        <v>64</v>
      </c>
      <c r="C2912" s="22" t="s">
        <v>57</v>
      </c>
      <c r="D2912" s="48" t="s">
        <v>11</v>
      </c>
      <c r="E2912" t="s">
        <v>1247</v>
      </c>
      <c r="F2912">
        <v>2023</v>
      </c>
      <c r="G2912" t="s">
        <v>1248</v>
      </c>
      <c r="H2912" s="42" t="s">
        <v>1249</v>
      </c>
      <c r="J2912" t="s">
        <v>248</v>
      </c>
      <c r="L2912" s="34">
        <v>1</v>
      </c>
      <c r="M2912" s="38">
        <v>0.75</v>
      </c>
      <c r="N2912" s="38">
        <f t="shared" si="45"/>
        <v>0.75</v>
      </c>
    </row>
    <row r="2913" spans="1:14">
      <c r="A2913" s="29">
        <v>45259</v>
      </c>
      <c r="B2913" s="22" t="s">
        <v>64</v>
      </c>
      <c r="C2913" s="22" t="s">
        <v>57</v>
      </c>
      <c r="D2913" s="48" t="s">
        <v>11</v>
      </c>
      <c r="E2913" t="s">
        <v>179</v>
      </c>
      <c r="F2913">
        <v>2022</v>
      </c>
      <c r="H2913" s="42" t="s">
        <v>1250</v>
      </c>
      <c r="J2913" t="s">
        <v>248</v>
      </c>
      <c r="L2913" s="34">
        <v>1</v>
      </c>
      <c r="M2913" s="38">
        <v>0.75</v>
      </c>
      <c r="N2913" s="38">
        <f t="shared" si="45"/>
        <v>0.75</v>
      </c>
    </row>
    <row r="2914" spans="1:14">
      <c r="A2914" s="29">
        <v>45259</v>
      </c>
      <c r="B2914" s="22" t="s">
        <v>64</v>
      </c>
      <c r="C2914" s="22" t="s">
        <v>57</v>
      </c>
      <c r="D2914" s="48" t="s">
        <v>11</v>
      </c>
      <c r="E2914" t="s">
        <v>179</v>
      </c>
      <c r="F2914">
        <v>2023</v>
      </c>
      <c r="G2914" t="s">
        <v>1251</v>
      </c>
      <c r="H2914" s="42" t="s">
        <v>57</v>
      </c>
      <c r="J2914" t="s">
        <v>248</v>
      </c>
      <c r="K2914" t="s">
        <v>1252</v>
      </c>
      <c r="L2914" s="34">
        <v>1</v>
      </c>
      <c r="M2914" s="38">
        <v>0.75</v>
      </c>
      <c r="N2914" s="38">
        <f t="shared" si="45"/>
        <v>0.75</v>
      </c>
    </row>
    <row r="2915" spans="1:14">
      <c r="A2915" s="29">
        <v>45259</v>
      </c>
      <c r="B2915" s="22" t="s">
        <v>64</v>
      </c>
      <c r="C2915" s="22" t="s">
        <v>57</v>
      </c>
      <c r="D2915" s="48" t="s">
        <v>11</v>
      </c>
      <c r="E2915" t="s">
        <v>179</v>
      </c>
      <c r="F2915">
        <v>2023</v>
      </c>
      <c r="G2915" t="s">
        <v>1253</v>
      </c>
      <c r="H2915" s="42" t="s">
        <v>57</v>
      </c>
      <c r="J2915" t="s">
        <v>248</v>
      </c>
      <c r="K2915" t="s">
        <v>1254</v>
      </c>
      <c r="L2915" s="34">
        <v>1</v>
      </c>
      <c r="M2915" s="38">
        <v>0.75</v>
      </c>
      <c r="N2915" s="38">
        <f t="shared" si="45"/>
        <v>0.75</v>
      </c>
    </row>
    <row r="2916" spans="1:14">
      <c r="A2916" s="29">
        <v>45259</v>
      </c>
      <c r="B2916" s="22" t="s">
        <v>37</v>
      </c>
      <c r="C2916" s="22" t="s">
        <v>57</v>
      </c>
      <c r="D2916" s="48" t="s">
        <v>5</v>
      </c>
      <c r="E2916" t="s">
        <v>157</v>
      </c>
      <c r="F2916">
        <v>2023</v>
      </c>
      <c r="G2916" t="s">
        <v>326</v>
      </c>
      <c r="H2916" s="42" t="s">
        <v>1231</v>
      </c>
      <c r="J2916" t="s">
        <v>248</v>
      </c>
      <c r="L2916" s="34">
        <v>1</v>
      </c>
      <c r="M2916" s="38">
        <v>0.75</v>
      </c>
      <c r="N2916" s="38">
        <f t="shared" si="45"/>
        <v>0.75</v>
      </c>
    </row>
    <row r="2917" spans="1:14">
      <c r="A2917" s="29">
        <v>45259</v>
      </c>
      <c r="B2917" s="22" t="s">
        <v>67</v>
      </c>
      <c r="C2917" s="22" t="s">
        <v>57</v>
      </c>
      <c r="D2917" s="48" t="s">
        <v>5</v>
      </c>
      <c r="E2917" t="s">
        <v>503</v>
      </c>
      <c r="F2917">
        <v>2023</v>
      </c>
      <c r="G2917" t="s">
        <v>57</v>
      </c>
      <c r="H2917" s="42" t="s">
        <v>1218</v>
      </c>
      <c r="J2917" t="s">
        <v>248</v>
      </c>
      <c r="L2917" s="34">
        <v>1</v>
      </c>
      <c r="M2917" s="38">
        <v>0.75</v>
      </c>
      <c r="N2917" s="38">
        <f t="shared" si="45"/>
        <v>0.75</v>
      </c>
    </row>
    <row r="2918" spans="1:14">
      <c r="A2918" s="29">
        <v>45261</v>
      </c>
      <c r="B2918" s="22" t="s">
        <v>63</v>
      </c>
      <c r="C2918" s="22" t="s">
        <v>57</v>
      </c>
      <c r="D2918" s="48" t="s">
        <v>5</v>
      </c>
      <c r="E2918" t="s">
        <v>159</v>
      </c>
      <c r="F2918">
        <v>2022</v>
      </c>
      <c r="G2918" t="s">
        <v>57</v>
      </c>
      <c r="H2918" s="42" t="s">
        <v>57</v>
      </c>
      <c r="J2918" t="s">
        <v>248</v>
      </c>
      <c r="K2918" t="s">
        <v>1255</v>
      </c>
      <c r="L2918" s="34">
        <v>3</v>
      </c>
      <c r="M2918" s="38">
        <v>0.75</v>
      </c>
      <c r="N2918" s="38">
        <f t="shared" si="45"/>
        <v>2.25</v>
      </c>
    </row>
    <row r="2919" spans="1:14">
      <c r="A2919" s="29">
        <v>45262</v>
      </c>
      <c r="B2919" s="22" t="s">
        <v>109</v>
      </c>
      <c r="C2919" s="22" t="s">
        <v>57</v>
      </c>
      <c r="D2919" s="48" t="s">
        <v>5</v>
      </c>
      <c r="E2919" t="s">
        <v>308</v>
      </c>
      <c r="F2919">
        <v>2023</v>
      </c>
      <c r="G2919" t="s">
        <v>57</v>
      </c>
      <c r="H2919" s="42" t="s">
        <v>898</v>
      </c>
      <c r="J2919" t="s">
        <v>248</v>
      </c>
      <c r="L2919" s="34">
        <v>6</v>
      </c>
      <c r="M2919" s="38">
        <v>0.75</v>
      </c>
      <c r="N2919" s="38">
        <f t="shared" si="45"/>
        <v>4.5</v>
      </c>
    </row>
    <row r="2920" spans="1:14">
      <c r="A2920" s="29">
        <v>45264</v>
      </c>
      <c r="B2920" s="22" t="s">
        <v>63</v>
      </c>
      <c r="C2920" s="22" t="s">
        <v>57</v>
      </c>
      <c r="D2920" s="48" t="s">
        <v>5</v>
      </c>
      <c r="E2920" t="s">
        <v>163</v>
      </c>
      <c r="F2920">
        <v>2023</v>
      </c>
      <c r="G2920" t="s">
        <v>319</v>
      </c>
      <c r="H2920" s="42" t="s">
        <v>1256</v>
      </c>
      <c r="J2920" t="s">
        <v>248</v>
      </c>
      <c r="L2920" s="34">
        <v>4</v>
      </c>
      <c r="M2920" s="38">
        <v>0.75</v>
      </c>
      <c r="N2920" s="38">
        <f t="shared" si="45"/>
        <v>3</v>
      </c>
    </row>
    <row r="2921" spans="1:14">
      <c r="A2921" s="29">
        <v>45264</v>
      </c>
      <c r="B2921" s="22" t="s">
        <v>63</v>
      </c>
      <c r="C2921" s="22" t="s">
        <v>57</v>
      </c>
      <c r="D2921" s="48" t="s">
        <v>5</v>
      </c>
      <c r="E2921" t="s">
        <v>157</v>
      </c>
      <c r="F2921">
        <v>2023</v>
      </c>
      <c r="G2921" t="s">
        <v>326</v>
      </c>
      <c r="H2921" s="42" t="s">
        <v>1231</v>
      </c>
      <c r="J2921" t="s">
        <v>248</v>
      </c>
      <c r="L2921" s="34">
        <v>4</v>
      </c>
      <c r="M2921" s="38">
        <v>0.75</v>
      </c>
      <c r="N2921" s="38">
        <f t="shared" si="45"/>
        <v>3</v>
      </c>
    </row>
    <row r="2922" spans="1:14">
      <c r="A2922" s="29">
        <v>45264</v>
      </c>
      <c r="B2922" s="22" t="s">
        <v>63</v>
      </c>
      <c r="C2922" s="22" t="s">
        <v>57</v>
      </c>
      <c r="D2922" s="48" t="s">
        <v>5</v>
      </c>
      <c r="E2922" t="s">
        <v>157</v>
      </c>
      <c r="F2922">
        <v>2023</v>
      </c>
      <c r="G2922" t="s">
        <v>247</v>
      </c>
      <c r="H2922" s="42" t="s">
        <v>1257</v>
      </c>
      <c r="J2922" t="s">
        <v>248</v>
      </c>
      <c r="L2922" s="34">
        <v>4</v>
      </c>
      <c r="M2922" s="38">
        <v>0.75</v>
      </c>
      <c r="N2922" s="38">
        <f t="shared" si="45"/>
        <v>3</v>
      </c>
    </row>
    <row r="2923" spans="1:14">
      <c r="A2923" s="29">
        <v>45264</v>
      </c>
      <c r="B2923" s="22" t="s">
        <v>63</v>
      </c>
      <c r="C2923" s="22" t="s">
        <v>57</v>
      </c>
      <c r="D2923" s="48" t="s">
        <v>5</v>
      </c>
      <c r="E2923" t="s">
        <v>157</v>
      </c>
      <c r="F2923">
        <v>2023</v>
      </c>
      <c r="G2923" t="s">
        <v>1258</v>
      </c>
      <c r="H2923" s="42" t="s">
        <v>1259</v>
      </c>
      <c r="J2923" t="s">
        <v>248</v>
      </c>
      <c r="L2923" s="34">
        <v>3</v>
      </c>
      <c r="M2923" s="38">
        <v>0.75</v>
      </c>
      <c r="N2923" s="38">
        <f t="shared" si="45"/>
        <v>2.25</v>
      </c>
    </row>
    <row r="2924" spans="1:14">
      <c r="A2924" s="29">
        <v>45264</v>
      </c>
      <c r="B2924" s="22" t="s">
        <v>79</v>
      </c>
      <c r="C2924" s="22" t="s">
        <v>57</v>
      </c>
      <c r="D2924" s="48" t="s">
        <v>5</v>
      </c>
      <c r="E2924" t="s">
        <v>158</v>
      </c>
      <c r="F2924">
        <v>2023</v>
      </c>
      <c r="G2924" t="s">
        <v>57</v>
      </c>
      <c r="H2924" s="42" t="s">
        <v>1260</v>
      </c>
      <c r="J2924" t="s">
        <v>248</v>
      </c>
      <c r="L2924" s="34">
        <v>1</v>
      </c>
      <c r="M2924" s="38">
        <v>0.75</v>
      </c>
      <c r="N2924" s="38">
        <f t="shared" si="45"/>
        <v>0.75</v>
      </c>
    </row>
    <row r="2925" spans="1:14">
      <c r="A2925" s="29">
        <v>45264</v>
      </c>
      <c r="B2925" s="22" t="s">
        <v>79</v>
      </c>
      <c r="C2925" s="22" t="s">
        <v>57</v>
      </c>
      <c r="D2925" s="48" t="s">
        <v>5</v>
      </c>
      <c r="E2925" t="s">
        <v>255</v>
      </c>
      <c r="F2925">
        <v>2023</v>
      </c>
      <c r="G2925" t="s">
        <v>57</v>
      </c>
      <c r="H2925" s="42" t="s">
        <v>1197</v>
      </c>
      <c r="J2925" t="s">
        <v>248</v>
      </c>
      <c r="L2925" s="34">
        <v>1</v>
      </c>
      <c r="M2925" s="38">
        <v>0.75</v>
      </c>
      <c r="N2925" s="38">
        <f t="shared" si="45"/>
        <v>0.75</v>
      </c>
    </row>
    <row r="2926" spans="1:14">
      <c r="A2926" s="29">
        <v>45264</v>
      </c>
      <c r="B2926" s="22" t="s">
        <v>79</v>
      </c>
      <c r="C2926" s="22" t="s">
        <v>57</v>
      </c>
      <c r="D2926" s="48" t="s">
        <v>5</v>
      </c>
      <c r="E2926" t="s">
        <v>161</v>
      </c>
      <c r="F2926">
        <v>2023</v>
      </c>
      <c r="G2926" t="s">
        <v>57</v>
      </c>
      <c r="H2926" s="42" t="s">
        <v>1196</v>
      </c>
      <c r="J2926" t="s">
        <v>248</v>
      </c>
      <c r="L2926" s="34">
        <v>1</v>
      </c>
      <c r="M2926" s="38">
        <v>0.75</v>
      </c>
      <c r="N2926" s="38">
        <f t="shared" si="45"/>
        <v>0.75</v>
      </c>
    </row>
    <row r="2927" spans="1:14">
      <c r="A2927" s="29">
        <v>45264</v>
      </c>
      <c r="B2927" s="22" t="s">
        <v>79</v>
      </c>
      <c r="C2927" s="22" t="s">
        <v>57</v>
      </c>
      <c r="D2927" s="48" t="s">
        <v>8</v>
      </c>
      <c r="E2927" t="s">
        <v>179</v>
      </c>
      <c r="F2927">
        <v>2023</v>
      </c>
      <c r="G2927" t="s">
        <v>57</v>
      </c>
      <c r="H2927" s="42" t="s">
        <v>1202</v>
      </c>
      <c r="J2927" t="s">
        <v>248</v>
      </c>
      <c r="L2927" s="34">
        <v>1</v>
      </c>
      <c r="M2927" s="38">
        <v>0.75</v>
      </c>
      <c r="N2927" s="38">
        <f t="shared" si="45"/>
        <v>0.75</v>
      </c>
    </row>
    <row r="2928" spans="1:14">
      <c r="A2928" s="29">
        <v>45264</v>
      </c>
      <c r="B2928" s="22" t="s">
        <v>79</v>
      </c>
      <c r="C2928" s="22" t="s">
        <v>57</v>
      </c>
      <c r="D2928" s="48" t="s">
        <v>8</v>
      </c>
      <c r="E2928" t="s">
        <v>182</v>
      </c>
      <c r="F2928">
        <v>2023</v>
      </c>
      <c r="G2928" t="s">
        <v>57</v>
      </c>
      <c r="H2928" s="42" t="s">
        <v>1261</v>
      </c>
      <c r="J2928" t="s">
        <v>248</v>
      </c>
      <c r="L2928" s="34">
        <v>1</v>
      </c>
      <c r="M2928" s="38">
        <v>0.75</v>
      </c>
      <c r="N2928" s="38">
        <f t="shared" si="45"/>
        <v>0.75</v>
      </c>
    </row>
    <row r="2929" spans="1:14">
      <c r="A2929" s="29">
        <v>45264</v>
      </c>
      <c r="B2929" s="22" t="s">
        <v>57</v>
      </c>
      <c r="C2929" s="22" t="s">
        <v>36</v>
      </c>
      <c r="D2929" s="48" t="s">
        <v>5</v>
      </c>
      <c r="E2929" t="s">
        <v>163</v>
      </c>
      <c r="F2929">
        <v>2023</v>
      </c>
      <c r="G2929" t="s">
        <v>319</v>
      </c>
      <c r="H2929" s="42" t="s">
        <v>1256</v>
      </c>
      <c r="J2929" t="s">
        <v>248</v>
      </c>
      <c r="L2929" s="34">
        <v>2</v>
      </c>
      <c r="M2929" s="38">
        <v>0.75</v>
      </c>
      <c r="N2929" s="38">
        <f t="shared" si="45"/>
        <v>1.5</v>
      </c>
    </row>
    <row r="2930" spans="1:14">
      <c r="A2930" s="29">
        <v>45265</v>
      </c>
      <c r="B2930" s="22" t="s">
        <v>57</v>
      </c>
      <c r="C2930" s="22" t="s">
        <v>20</v>
      </c>
      <c r="D2930" s="48" t="s">
        <v>5</v>
      </c>
      <c r="E2930" t="s">
        <v>157</v>
      </c>
      <c r="F2930">
        <v>2023</v>
      </c>
      <c r="G2930" t="s">
        <v>326</v>
      </c>
      <c r="H2930" s="42" t="s">
        <v>1231</v>
      </c>
      <c r="J2930" t="s">
        <v>248</v>
      </c>
      <c r="L2930" s="34">
        <v>2</v>
      </c>
      <c r="M2930" s="38">
        <v>0.75</v>
      </c>
      <c r="N2930" s="38">
        <f t="shared" ref="N2930:N2993" si="46">M2930*L2930</f>
        <v>1.5</v>
      </c>
    </row>
    <row r="2931" spans="1:14">
      <c r="A2931" s="29">
        <v>45265</v>
      </c>
      <c r="B2931" s="22" t="s">
        <v>57</v>
      </c>
      <c r="C2931" s="22" t="s">
        <v>20</v>
      </c>
      <c r="D2931" s="48" t="s">
        <v>5</v>
      </c>
      <c r="E2931" t="s">
        <v>157</v>
      </c>
      <c r="F2931">
        <v>2023</v>
      </c>
      <c r="G2931" t="s">
        <v>1262</v>
      </c>
      <c r="H2931" s="42" t="s">
        <v>1257</v>
      </c>
      <c r="J2931" t="s">
        <v>248</v>
      </c>
      <c r="L2931" s="34">
        <v>2</v>
      </c>
      <c r="M2931" s="38">
        <v>0.75</v>
      </c>
      <c r="N2931" s="38">
        <f t="shared" si="46"/>
        <v>1.5</v>
      </c>
    </row>
    <row r="2932" spans="1:14">
      <c r="A2932" s="29">
        <v>45265</v>
      </c>
      <c r="B2932" s="22" t="s">
        <v>57</v>
      </c>
      <c r="C2932" s="22" t="s">
        <v>20</v>
      </c>
      <c r="D2932" s="48" t="s">
        <v>5</v>
      </c>
      <c r="E2932" t="s">
        <v>255</v>
      </c>
      <c r="F2932">
        <v>2023</v>
      </c>
      <c r="G2932" t="s">
        <v>57</v>
      </c>
      <c r="H2932" s="42" t="s">
        <v>1197</v>
      </c>
      <c r="J2932" t="s">
        <v>248</v>
      </c>
      <c r="L2932" s="34">
        <v>2</v>
      </c>
      <c r="M2932" s="38">
        <v>0.75</v>
      </c>
      <c r="N2932" s="38">
        <f t="shared" si="46"/>
        <v>1.5</v>
      </c>
    </row>
    <row r="2933" spans="1:14">
      <c r="A2933" s="29">
        <v>45265</v>
      </c>
      <c r="B2933" s="22" t="s">
        <v>57</v>
      </c>
      <c r="C2933" s="22" t="s">
        <v>20</v>
      </c>
      <c r="D2933" s="48" t="s">
        <v>8</v>
      </c>
      <c r="E2933" t="s">
        <v>1130</v>
      </c>
      <c r="F2933">
        <v>2023</v>
      </c>
      <c r="G2933" t="s">
        <v>57</v>
      </c>
      <c r="H2933" s="42" t="s">
        <v>57</v>
      </c>
      <c r="J2933" t="s">
        <v>248</v>
      </c>
      <c r="K2933" s="8" t="s">
        <v>1263</v>
      </c>
      <c r="L2933" s="34">
        <v>2</v>
      </c>
      <c r="M2933" s="38">
        <v>0.75</v>
      </c>
      <c r="N2933" s="38">
        <f t="shared" si="46"/>
        <v>1.5</v>
      </c>
    </row>
    <row r="2934" spans="1:14">
      <c r="A2934" s="29">
        <v>45265</v>
      </c>
      <c r="B2934" s="22" t="s">
        <v>63</v>
      </c>
      <c r="C2934" s="22" t="s">
        <v>57</v>
      </c>
      <c r="D2934" s="48" t="s">
        <v>11</v>
      </c>
      <c r="E2934" t="s">
        <v>1247</v>
      </c>
      <c r="F2934">
        <v>2023</v>
      </c>
      <c r="G2934" t="s">
        <v>57</v>
      </c>
      <c r="H2934" s="42" t="s">
        <v>57</v>
      </c>
      <c r="J2934" t="s">
        <v>248</v>
      </c>
      <c r="K2934" t="s">
        <v>1264</v>
      </c>
      <c r="L2934" s="34">
        <v>3</v>
      </c>
      <c r="M2934" s="38">
        <v>0.75</v>
      </c>
      <c r="N2934" s="38">
        <f t="shared" si="46"/>
        <v>2.25</v>
      </c>
    </row>
    <row r="2935" spans="1:14">
      <c r="A2935" s="29">
        <v>45265</v>
      </c>
      <c r="B2935" s="22" t="s">
        <v>96</v>
      </c>
      <c r="C2935" s="22" t="s">
        <v>57</v>
      </c>
      <c r="D2935" s="48" t="s">
        <v>5</v>
      </c>
      <c r="E2935" t="s">
        <v>159</v>
      </c>
      <c r="F2935">
        <v>2023</v>
      </c>
      <c r="G2935" t="s">
        <v>57</v>
      </c>
      <c r="H2935" s="42" t="s">
        <v>57</v>
      </c>
      <c r="J2935" t="s">
        <v>248</v>
      </c>
      <c r="K2935" t="s">
        <v>1265</v>
      </c>
      <c r="L2935" s="34">
        <v>2</v>
      </c>
      <c r="M2935" s="38">
        <v>0.75</v>
      </c>
      <c r="N2935" s="38">
        <f t="shared" si="46"/>
        <v>1.5</v>
      </c>
    </row>
    <row r="2936" spans="1:14">
      <c r="A2936" s="29">
        <v>45265</v>
      </c>
      <c r="B2936" s="22" t="s">
        <v>79</v>
      </c>
      <c r="C2936" s="22" t="s">
        <v>57</v>
      </c>
      <c r="D2936" s="48" t="s">
        <v>5</v>
      </c>
      <c r="E2936" t="s">
        <v>157</v>
      </c>
      <c r="F2936">
        <v>2023</v>
      </c>
      <c r="G2936" t="s">
        <v>57</v>
      </c>
      <c r="H2936" s="42" t="s">
        <v>1266</v>
      </c>
      <c r="J2936" t="s">
        <v>248</v>
      </c>
      <c r="K2936" t="s">
        <v>1267</v>
      </c>
      <c r="L2936" s="34">
        <v>3</v>
      </c>
      <c r="M2936" s="38">
        <v>0.75</v>
      </c>
      <c r="N2936" s="38">
        <f t="shared" si="46"/>
        <v>2.25</v>
      </c>
    </row>
    <row r="2937" spans="1:14">
      <c r="A2937" s="29">
        <v>45265</v>
      </c>
      <c r="B2937" s="22" t="s">
        <v>1268</v>
      </c>
      <c r="C2937" s="22" t="s">
        <v>57</v>
      </c>
      <c r="D2937" s="48" t="s">
        <v>8</v>
      </c>
      <c r="E2937" t="s">
        <v>1269</v>
      </c>
      <c r="F2937">
        <v>2023</v>
      </c>
      <c r="G2937" t="s">
        <v>57</v>
      </c>
      <c r="H2937" s="42" t="s">
        <v>57</v>
      </c>
      <c r="J2937" t="s">
        <v>248</v>
      </c>
      <c r="K2937" t="s">
        <v>1136</v>
      </c>
      <c r="L2937" s="34">
        <v>8</v>
      </c>
      <c r="M2937" s="38">
        <v>0.75</v>
      </c>
      <c r="N2937" s="38">
        <f t="shared" si="46"/>
        <v>6</v>
      </c>
    </row>
    <row r="2938" spans="1:14">
      <c r="A2938" s="29">
        <v>45265</v>
      </c>
      <c r="B2938" s="22" t="s">
        <v>3</v>
      </c>
      <c r="C2938" s="22" t="s">
        <v>57</v>
      </c>
      <c r="D2938" s="48" t="s">
        <v>5</v>
      </c>
      <c r="E2938" t="s">
        <v>163</v>
      </c>
      <c r="F2938">
        <v>2023</v>
      </c>
      <c r="G2938" t="s">
        <v>1270</v>
      </c>
      <c r="H2938" s="42" t="s">
        <v>1257</v>
      </c>
      <c r="J2938" t="s">
        <v>248</v>
      </c>
      <c r="L2938" s="34">
        <v>1</v>
      </c>
      <c r="M2938" s="38">
        <v>0.75</v>
      </c>
      <c r="N2938" s="38">
        <f t="shared" si="46"/>
        <v>0.75</v>
      </c>
    </row>
    <row r="2939" spans="1:14">
      <c r="A2939" s="29">
        <v>45265</v>
      </c>
      <c r="B2939" s="22" t="s">
        <v>3</v>
      </c>
      <c r="C2939" s="22" t="s">
        <v>57</v>
      </c>
      <c r="D2939" s="48" t="s">
        <v>5</v>
      </c>
      <c r="E2939" t="s">
        <v>157</v>
      </c>
      <c r="F2939">
        <v>2023</v>
      </c>
      <c r="G2939" t="s">
        <v>319</v>
      </c>
      <c r="H2939" s="42" t="s">
        <v>1271</v>
      </c>
      <c r="J2939" t="s">
        <v>248</v>
      </c>
      <c r="L2939" s="34">
        <v>1</v>
      </c>
      <c r="M2939" s="38">
        <v>0.75</v>
      </c>
      <c r="N2939" s="38">
        <f t="shared" si="46"/>
        <v>0.75</v>
      </c>
    </row>
    <row r="2940" spans="1:14">
      <c r="A2940" s="29">
        <v>45266</v>
      </c>
      <c r="B2940" s="22" t="s">
        <v>75</v>
      </c>
      <c r="C2940" s="22" t="s">
        <v>57</v>
      </c>
      <c r="D2940" s="48" t="s">
        <v>8</v>
      </c>
      <c r="E2940" t="s">
        <v>1130</v>
      </c>
      <c r="F2940">
        <v>2023</v>
      </c>
      <c r="G2940" t="s">
        <v>57</v>
      </c>
      <c r="H2940" s="42" t="s">
        <v>57</v>
      </c>
      <c r="J2940" t="s">
        <v>248</v>
      </c>
      <c r="L2940" s="34">
        <v>2</v>
      </c>
      <c r="M2940" s="38">
        <v>0.75</v>
      </c>
      <c r="N2940" s="38">
        <f t="shared" si="46"/>
        <v>1.5</v>
      </c>
    </row>
    <row r="2941" spans="1:14">
      <c r="A2941" s="29">
        <v>45266</v>
      </c>
      <c r="B2941" s="22" t="s">
        <v>64</v>
      </c>
      <c r="C2941" s="22" t="s">
        <v>57</v>
      </c>
      <c r="D2941" s="48" t="s">
        <v>5</v>
      </c>
      <c r="E2941" t="s">
        <v>262</v>
      </c>
      <c r="F2941">
        <v>2023</v>
      </c>
      <c r="G2941" t="s">
        <v>57</v>
      </c>
      <c r="H2941" s="42" t="s">
        <v>1239</v>
      </c>
      <c r="J2941" t="s">
        <v>248</v>
      </c>
      <c r="K2941" t="s">
        <v>1272</v>
      </c>
      <c r="L2941" s="34">
        <v>1</v>
      </c>
      <c r="M2941" s="38">
        <v>0.75</v>
      </c>
      <c r="N2941" s="38">
        <f t="shared" si="46"/>
        <v>0.75</v>
      </c>
    </row>
    <row r="2942" spans="1:14">
      <c r="A2942" s="29">
        <v>45266</v>
      </c>
      <c r="B2942" s="22" t="s">
        <v>64</v>
      </c>
      <c r="C2942" s="22" t="s">
        <v>57</v>
      </c>
      <c r="D2942" s="48" t="s">
        <v>5</v>
      </c>
      <c r="E2942" t="s">
        <v>159</v>
      </c>
      <c r="F2942">
        <v>2023</v>
      </c>
      <c r="G2942" t="s">
        <v>326</v>
      </c>
      <c r="H2942" s="42" t="s">
        <v>1237</v>
      </c>
      <c r="J2942" t="s">
        <v>248</v>
      </c>
      <c r="K2942" t="s">
        <v>1273</v>
      </c>
      <c r="L2942" s="34">
        <v>1</v>
      </c>
      <c r="M2942" s="38">
        <v>0.75</v>
      </c>
      <c r="N2942" s="38">
        <f t="shared" si="46"/>
        <v>0.75</v>
      </c>
    </row>
    <row r="2943" spans="1:14">
      <c r="A2943" s="29">
        <v>45266</v>
      </c>
      <c r="B2943" s="22" t="s">
        <v>64</v>
      </c>
      <c r="C2943" s="22" t="s">
        <v>57</v>
      </c>
      <c r="D2943" s="48" t="s">
        <v>5</v>
      </c>
      <c r="E2943" t="s">
        <v>157</v>
      </c>
      <c r="F2943">
        <v>2023</v>
      </c>
      <c r="G2943" t="s">
        <v>1274</v>
      </c>
      <c r="H2943" s="42" t="s">
        <v>57</v>
      </c>
      <c r="J2943" t="s">
        <v>248</v>
      </c>
      <c r="K2943" t="s">
        <v>1275</v>
      </c>
      <c r="L2943" s="34">
        <v>1</v>
      </c>
      <c r="M2943" s="38">
        <v>0.75</v>
      </c>
      <c r="N2943" s="38">
        <f t="shared" si="46"/>
        <v>0.75</v>
      </c>
    </row>
    <row r="2944" spans="1:14">
      <c r="A2944" s="29">
        <v>45266</v>
      </c>
      <c r="B2944" s="22" t="s">
        <v>64</v>
      </c>
      <c r="C2944" s="22" t="s">
        <v>57</v>
      </c>
      <c r="D2944" s="48" t="s">
        <v>8</v>
      </c>
      <c r="E2944" t="s">
        <v>1130</v>
      </c>
      <c r="F2944">
        <v>2023</v>
      </c>
      <c r="G2944" t="s">
        <v>57</v>
      </c>
      <c r="H2944" s="42" t="s">
        <v>57</v>
      </c>
      <c r="J2944" t="s">
        <v>248</v>
      </c>
      <c r="L2944" s="34">
        <v>1</v>
      </c>
      <c r="M2944" s="38">
        <v>0.75</v>
      </c>
      <c r="N2944" s="38">
        <f t="shared" si="46"/>
        <v>0.75</v>
      </c>
    </row>
    <row r="2945" spans="1:14">
      <c r="A2945" s="29">
        <v>45266</v>
      </c>
      <c r="B2945" s="22"/>
      <c r="C2945" s="22"/>
      <c r="D2945" s="48" t="s">
        <v>5</v>
      </c>
      <c r="E2945" t="s">
        <v>157</v>
      </c>
      <c r="F2945">
        <v>2023</v>
      </c>
      <c r="G2945" t="s">
        <v>247</v>
      </c>
      <c r="H2945" s="42" t="s">
        <v>1257</v>
      </c>
      <c r="J2945" t="s">
        <v>248</v>
      </c>
      <c r="L2945" s="34">
        <v>2</v>
      </c>
      <c r="M2945" s="38">
        <v>0.75</v>
      </c>
      <c r="N2945" s="38">
        <f t="shared" si="46"/>
        <v>1.5</v>
      </c>
    </row>
    <row r="2946" spans="1:14">
      <c r="A2946" s="29">
        <v>45266</v>
      </c>
      <c r="B2946" s="22"/>
      <c r="C2946" s="22"/>
      <c r="D2946" s="48" t="s">
        <v>5</v>
      </c>
      <c r="E2946" t="s">
        <v>157</v>
      </c>
      <c r="F2946">
        <v>2023</v>
      </c>
      <c r="G2946" t="s">
        <v>319</v>
      </c>
      <c r="H2946" s="42" t="s">
        <v>1271</v>
      </c>
      <c r="J2946" t="s">
        <v>248</v>
      </c>
      <c r="L2946" s="34">
        <v>2</v>
      </c>
      <c r="M2946" s="38">
        <v>0.75</v>
      </c>
      <c r="N2946" s="38">
        <f t="shared" si="46"/>
        <v>1.5</v>
      </c>
    </row>
    <row r="2947" spans="1:14">
      <c r="A2947" s="29">
        <v>45266</v>
      </c>
      <c r="B2947" s="22"/>
      <c r="C2947" s="22"/>
      <c r="D2947" s="48" t="s">
        <v>5</v>
      </c>
      <c r="E2947" t="s">
        <v>157</v>
      </c>
      <c r="F2947">
        <v>2023</v>
      </c>
      <c r="G2947" t="s">
        <v>326</v>
      </c>
      <c r="H2947" s="42" t="s">
        <v>1231</v>
      </c>
      <c r="J2947" t="s">
        <v>248</v>
      </c>
      <c r="L2947" s="34">
        <v>2</v>
      </c>
      <c r="M2947" s="38">
        <v>0.75</v>
      </c>
      <c r="N2947" s="38">
        <f t="shared" si="46"/>
        <v>1.5</v>
      </c>
    </row>
    <row r="2948" spans="1:14">
      <c r="A2948" s="29">
        <v>45266</v>
      </c>
      <c r="B2948" s="22" t="s">
        <v>16</v>
      </c>
      <c r="C2948" s="22" t="s">
        <v>49</v>
      </c>
      <c r="D2948" s="48" t="s">
        <v>5</v>
      </c>
      <c r="E2948" t="s">
        <v>157</v>
      </c>
      <c r="F2948">
        <v>2023</v>
      </c>
      <c r="G2948" t="s">
        <v>247</v>
      </c>
      <c r="H2948" s="42" t="s">
        <v>1257</v>
      </c>
      <c r="J2948" t="s">
        <v>248</v>
      </c>
      <c r="L2948" s="34">
        <v>3</v>
      </c>
      <c r="M2948" s="38">
        <v>0.75</v>
      </c>
      <c r="N2948" s="38">
        <f t="shared" si="46"/>
        <v>2.25</v>
      </c>
    </row>
    <row r="2949" spans="1:14">
      <c r="A2949" s="29">
        <v>45266</v>
      </c>
      <c r="B2949" s="22" t="s">
        <v>16</v>
      </c>
      <c r="C2949" s="22" t="s">
        <v>49</v>
      </c>
      <c r="D2949" s="48" t="s">
        <v>5</v>
      </c>
      <c r="E2949" t="s">
        <v>157</v>
      </c>
      <c r="F2949">
        <v>2023</v>
      </c>
      <c r="G2949" t="s">
        <v>326</v>
      </c>
      <c r="H2949" s="42" t="s">
        <v>1231</v>
      </c>
      <c r="J2949" t="s">
        <v>248</v>
      </c>
      <c r="L2949" s="34">
        <v>3</v>
      </c>
      <c r="M2949" s="38">
        <v>0.75</v>
      </c>
      <c r="N2949" s="38">
        <f t="shared" si="46"/>
        <v>2.25</v>
      </c>
    </row>
    <row r="2950" spans="1:14">
      <c r="A2950" s="29">
        <v>45266</v>
      </c>
      <c r="B2950" s="22" t="s">
        <v>16</v>
      </c>
      <c r="C2950" s="22" t="s">
        <v>49</v>
      </c>
      <c r="D2950" s="48" t="s">
        <v>5</v>
      </c>
      <c r="E2950" t="s">
        <v>157</v>
      </c>
      <c r="F2950">
        <v>2023</v>
      </c>
      <c r="G2950" t="s">
        <v>319</v>
      </c>
      <c r="H2950" s="42" t="s">
        <v>874</v>
      </c>
      <c r="J2950" t="s">
        <v>248</v>
      </c>
      <c r="L2950" s="34">
        <v>3</v>
      </c>
      <c r="M2950" s="38">
        <v>0.75</v>
      </c>
      <c r="N2950" s="38">
        <f t="shared" si="46"/>
        <v>2.25</v>
      </c>
    </row>
    <row r="2951" spans="1:14">
      <c r="A2951" s="29">
        <v>45266</v>
      </c>
      <c r="B2951" s="22" t="s">
        <v>16</v>
      </c>
      <c r="C2951" s="22" t="s">
        <v>49</v>
      </c>
      <c r="D2951" s="48" t="s">
        <v>5</v>
      </c>
      <c r="E2951" t="s">
        <v>1276</v>
      </c>
      <c r="F2951">
        <v>2023</v>
      </c>
      <c r="G2951" t="s">
        <v>57</v>
      </c>
      <c r="H2951" s="42" t="s">
        <v>1277</v>
      </c>
      <c r="J2951" t="s">
        <v>248</v>
      </c>
      <c r="L2951" s="34">
        <v>3</v>
      </c>
      <c r="M2951" s="38">
        <v>0.75</v>
      </c>
      <c r="N2951" s="38">
        <f t="shared" si="46"/>
        <v>2.25</v>
      </c>
    </row>
    <row r="2952" spans="1:14">
      <c r="A2952" s="29">
        <v>45266</v>
      </c>
      <c r="B2952" s="22" t="s">
        <v>16</v>
      </c>
      <c r="C2952" s="22" t="s">
        <v>49</v>
      </c>
      <c r="D2952" s="48" t="s">
        <v>14</v>
      </c>
      <c r="E2952" t="s">
        <v>1278</v>
      </c>
      <c r="F2952">
        <v>2023</v>
      </c>
      <c r="G2952" t="s">
        <v>57</v>
      </c>
      <c r="H2952" s="42" t="s">
        <v>1220</v>
      </c>
      <c r="J2952" t="s">
        <v>248</v>
      </c>
      <c r="L2952" s="34">
        <v>3</v>
      </c>
      <c r="M2952" s="38">
        <v>0.75</v>
      </c>
      <c r="N2952" s="38">
        <f t="shared" si="46"/>
        <v>2.25</v>
      </c>
    </row>
    <row r="2953" spans="1:14">
      <c r="A2953" s="29">
        <v>45266</v>
      </c>
      <c r="B2953" s="22" t="s">
        <v>16</v>
      </c>
      <c r="C2953" s="22" t="s">
        <v>49</v>
      </c>
      <c r="D2953" s="48" t="s">
        <v>11</v>
      </c>
      <c r="E2953" t="s">
        <v>1247</v>
      </c>
      <c r="F2953">
        <v>2023</v>
      </c>
      <c r="G2953" t="s">
        <v>57</v>
      </c>
      <c r="H2953" s="42" t="s">
        <v>57</v>
      </c>
      <c r="J2953" t="s">
        <v>248</v>
      </c>
      <c r="K2953" t="s">
        <v>1279</v>
      </c>
      <c r="L2953" s="34">
        <v>3</v>
      </c>
      <c r="M2953" s="38">
        <v>0.75</v>
      </c>
      <c r="N2953" s="38">
        <f t="shared" si="46"/>
        <v>2.25</v>
      </c>
    </row>
    <row r="2954" spans="1:14">
      <c r="A2954" s="29">
        <v>45266</v>
      </c>
      <c r="B2954" s="22" t="s">
        <v>16</v>
      </c>
      <c r="C2954" s="22" t="s">
        <v>49</v>
      </c>
      <c r="D2954" s="48" t="s">
        <v>11</v>
      </c>
      <c r="E2954" t="s">
        <v>179</v>
      </c>
      <c r="F2954">
        <v>2023</v>
      </c>
      <c r="G2954" t="s">
        <v>57</v>
      </c>
      <c r="H2954" s="42" t="s">
        <v>57</v>
      </c>
      <c r="J2954" t="s">
        <v>248</v>
      </c>
      <c r="K2954" t="s">
        <v>1280</v>
      </c>
      <c r="L2954" s="34">
        <v>3</v>
      </c>
      <c r="M2954" s="38">
        <v>0.75</v>
      </c>
      <c r="N2954" s="38">
        <f t="shared" si="46"/>
        <v>2.25</v>
      </c>
    </row>
    <row r="2955" spans="1:14">
      <c r="A2955" s="29">
        <v>45266</v>
      </c>
      <c r="B2955" s="22" t="s">
        <v>1281</v>
      </c>
      <c r="C2955" s="22" t="s">
        <v>57</v>
      </c>
      <c r="D2955" s="48" t="s">
        <v>8</v>
      </c>
      <c r="E2955" t="s">
        <v>1282</v>
      </c>
      <c r="F2955">
        <v>2023</v>
      </c>
      <c r="G2955" t="s">
        <v>1283</v>
      </c>
      <c r="H2955" s="42" t="s">
        <v>57</v>
      </c>
      <c r="J2955" t="s">
        <v>248</v>
      </c>
      <c r="K2955" t="s">
        <v>1284</v>
      </c>
      <c r="L2955" s="34">
        <v>3</v>
      </c>
      <c r="M2955" s="38">
        <v>0.75</v>
      </c>
      <c r="N2955" s="38">
        <f t="shared" si="46"/>
        <v>2.25</v>
      </c>
    </row>
    <row r="2956" spans="1:14">
      <c r="A2956" s="29">
        <v>45266</v>
      </c>
      <c r="B2956" s="22" t="s">
        <v>1281</v>
      </c>
      <c r="C2956" s="22" t="s">
        <v>57</v>
      </c>
      <c r="D2956" s="48" t="s">
        <v>8</v>
      </c>
      <c r="E2956" t="s">
        <v>179</v>
      </c>
      <c r="F2956">
        <v>2023</v>
      </c>
      <c r="G2956" t="s">
        <v>1285</v>
      </c>
      <c r="H2956" s="42" t="s">
        <v>763</v>
      </c>
      <c r="J2956" t="s">
        <v>248</v>
      </c>
      <c r="K2956" t="s">
        <v>1286</v>
      </c>
      <c r="L2956" s="34">
        <v>3</v>
      </c>
      <c r="M2956" s="38">
        <v>0.75</v>
      </c>
      <c r="N2956" s="38">
        <f t="shared" si="46"/>
        <v>2.25</v>
      </c>
    </row>
    <row r="2957" spans="1:14">
      <c r="A2957" s="29">
        <v>45267</v>
      </c>
      <c r="B2957" s="22" t="s">
        <v>57</v>
      </c>
      <c r="C2957" s="22" t="s">
        <v>55</v>
      </c>
      <c r="D2957" s="48" t="s">
        <v>5</v>
      </c>
      <c r="E2957" t="s">
        <v>255</v>
      </c>
      <c r="F2957">
        <v>2023</v>
      </c>
      <c r="G2957" t="s">
        <v>57</v>
      </c>
      <c r="H2957" s="42" t="s">
        <v>1197</v>
      </c>
      <c r="J2957" t="s">
        <v>248</v>
      </c>
      <c r="L2957" s="34">
        <v>3</v>
      </c>
      <c r="M2957" s="38">
        <v>0.75</v>
      </c>
      <c r="N2957" s="38">
        <f t="shared" si="46"/>
        <v>2.25</v>
      </c>
    </row>
    <row r="2958" spans="1:14">
      <c r="A2958" s="29">
        <v>45267</v>
      </c>
      <c r="B2958" s="22" t="s">
        <v>57</v>
      </c>
      <c r="C2958" s="22" t="s">
        <v>55</v>
      </c>
      <c r="D2958" s="48" t="s">
        <v>5</v>
      </c>
      <c r="E2958" t="s">
        <v>157</v>
      </c>
      <c r="F2958">
        <v>2023</v>
      </c>
      <c r="G2958" t="s">
        <v>251</v>
      </c>
      <c r="H2958" s="42" t="s">
        <v>1271</v>
      </c>
      <c r="J2958" t="s">
        <v>248</v>
      </c>
      <c r="L2958" s="34">
        <v>3</v>
      </c>
      <c r="M2958" s="38">
        <v>0.75</v>
      </c>
      <c r="N2958" s="38">
        <f t="shared" si="46"/>
        <v>2.25</v>
      </c>
    </row>
    <row r="2959" spans="1:14">
      <c r="A2959" s="29">
        <v>45267</v>
      </c>
      <c r="B2959" s="22" t="s">
        <v>57</v>
      </c>
      <c r="C2959" s="22" t="s">
        <v>55</v>
      </c>
      <c r="D2959" s="48" t="s">
        <v>5</v>
      </c>
      <c r="E2959" t="s">
        <v>157</v>
      </c>
      <c r="F2959">
        <v>2023</v>
      </c>
      <c r="G2959" t="s">
        <v>253</v>
      </c>
      <c r="H2959" s="42" t="s">
        <v>1257</v>
      </c>
      <c r="J2959" t="s">
        <v>248</v>
      </c>
      <c r="L2959" s="34">
        <v>3</v>
      </c>
      <c r="M2959" s="38">
        <v>0.75</v>
      </c>
      <c r="N2959" s="38">
        <f t="shared" si="46"/>
        <v>2.25</v>
      </c>
    </row>
    <row r="2960" spans="1:14">
      <c r="A2960" s="29">
        <v>45267</v>
      </c>
      <c r="B2960" s="22" t="s">
        <v>57</v>
      </c>
      <c r="C2960" s="22" t="s">
        <v>55</v>
      </c>
      <c r="D2960" s="48" t="s">
        <v>5</v>
      </c>
      <c r="E2960" t="s">
        <v>157</v>
      </c>
      <c r="F2960">
        <v>2023</v>
      </c>
      <c r="G2960" t="s">
        <v>252</v>
      </c>
      <c r="H2960" s="42" t="s">
        <v>1287</v>
      </c>
      <c r="J2960" t="s">
        <v>248</v>
      </c>
      <c r="L2960" s="34">
        <v>3</v>
      </c>
      <c r="M2960" s="38">
        <v>0.75</v>
      </c>
      <c r="N2960" s="38">
        <f t="shared" si="46"/>
        <v>2.25</v>
      </c>
    </row>
    <row r="2961" spans="1:14">
      <c r="A2961" s="29">
        <v>45267</v>
      </c>
      <c r="B2961" s="22" t="s">
        <v>57</v>
      </c>
      <c r="C2961" s="22" t="s">
        <v>55</v>
      </c>
      <c r="D2961" s="48" t="s">
        <v>8</v>
      </c>
      <c r="E2961" t="s">
        <v>179</v>
      </c>
      <c r="F2961">
        <v>2023</v>
      </c>
      <c r="G2961" t="s">
        <v>57</v>
      </c>
      <c r="H2961" s="42" t="s">
        <v>763</v>
      </c>
      <c r="J2961" t="s">
        <v>248</v>
      </c>
      <c r="L2961" s="34">
        <v>3</v>
      </c>
      <c r="M2961" s="38">
        <v>0.75</v>
      </c>
      <c r="N2961" s="38">
        <f t="shared" si="46"/>
        <v>2.25</v>
      </c>
    </row>
    <row r="2962" spans="1:14">
      <c r="A2962" s="29">
        <v>45267</v>
      </c>
      <c r="B2962" s="22" t="s">
        <v>57</v>
      </c>
      <c r="C2962" s="22" t="s">
        <v>55</v>
      </c>
      <c r="D2962" s="48" t="s">
        <v>8</v>
      </c>
      <c r="E2962" t="s">
        <v>190</v>
      </c>
      <c r="F2962">
        <v>2023</v>
      </c>
      <c r="G2962" t="s">
        <v>57</v>
      </c>
      <c r="H2962" s="42" t="s">
        <v>1209</v>
      </c>
      <c r="J2962" t="s">
        <v>248</v>
      </c>
      <c r="L2962" s="34">
        <v>3</v>
      </c>
      <c r="M2962" s="38">
        <v>0.75</v>
      </c>
      <c r="N2962" s="38">
        <f t="shared" si="46"/>
        <v>2.25</v>
      </c>
    </row>
    <row r="2963" spans="1:14">
      <c r="A2963" s="29">
        <v>45267</v>
      </c>
      <c r="B2963" s="22" t="s">
        <v>57</v>
      </c>
      <c r="C2963" s="22" t="s">
        <v>55</v>
      </c>
      <c r="D2963" s="48" t="s">
        <v>11</v>
      </c>
      <c r="E2963" t="s">
        <v>179</v>
      </c>
      <c r="F2963">
        <v>2023</v>
      </c>
      <c r="G2963" t="s">
        <v>57</v>
      </c>
      <c r="H2963" s="42" t="s">
        <v>1288</v>
      </c>
      <c r="J2963" t="s">
        <v>248</v>
      </c>
      <c r="L2963" s="34">
        <v>3</v>
      </c>
      <c r="M2963" s="38">
        <v>0.75</v>
      </c>
      <c r="N2963" s="38">
        <f t="shared" si="46"/>
        <v>2.25</v>
      </c>
    </row>
    <row r="2964" spans="1:14">
      <c r="A2964" s="29">
        <v>45267</v>
      </c>
      <c r="B2964" s="22" t="s">
        <v>109</v>
      </c>
      <c r="C2964" s="22" t="s">
        <v>57</v>
      </c>
      <c r="D2964" s="48" t="s">
        <v>5</v>
      </c>
      <c r="E2964" t="s">
        <v>163</v>
      </c>
      <c r="F2964">
        <v>2023</v>
      </c>
      <c r="G2964" t="s">
        <v>326</v>
      </c>
      <c r="H2964" s="42" t="s">
        <v>1289</v>
      </c>
      <c r="J2964" t="s">
        <v>248</v>
      </c>
      <c r="L2964" s="34">
        <v>3</v>
      </c>
      <c r="M2964" s="38">
        <v>0.75</v>
      </c>
      <c r="N2964" s="38">
        <f t="shared" si="46"/>
        <v>2.25</v>
      </c>
    </row>
    <row r="2965" spans="1:14">
      <c r="A2965" s="29">
        <v>45268</v>
      </c>
      <c r="B2965" s="22" t="s">
        <v>16</v>
      </c>
      <c r="C2965" s="22" t="s">
        <v>49</v>
      </c>
      <c r="D2965" s="48" t="s">
        <v>5</v>
      </c>
      <c r="E2965" t="s">
        <v>158</v>
      </c>
      <c r="F2965">
        <v>2023</v>
      </c>
      <c r="G2965" t="s">
        <v>57</v>
      </c>
      <c r="H2965" s="42" t="s">
        <v>57</v>
      </c>
      <c r="J2965" t="s">
        <v>248</v>
      </c>
      <c r="K2965" s="21" t="s">
        <v>1232</v>
      </c>
      <c r="L2965" s="34">
        <v>4</v>
      </c>
      <c r="M2965" s="38">
        <v>0.75</v>
      </c>
      <c r="N2965" s="38">
        <f t="shared" si="46"/>
        <v>3</v>
      </c>
    </row>
    <row r="2966" spans="1:14">
      <c r="A2966" s="29">
        <v>45271</v>
      </c>
      <c r="B2966" s="22" t="s">
        <v>17</v>
      </c>
      <c r="C2966" s="22" t="s">
        <v>57</v>
      </c>
      <c r="D2966" s="48" t="s">
        <v>5</v>
      </c>
      <c r="E2966" t="s">
        <v>308</v>
      </c>
      <c r="F2966">
        <v>2023</v>
      </c>
      <c r="G2966" t="s">
        <v>57</v>
      </c>
      <c r="H2966" s="42" t="s">
        <v>898</v>
      </c>
      <c r="J2966" t="s">
        <v>248</v>
      </c>
      <c r="L2966" s="34">
        <v>3</v>
      </c>
      <c r="M2966" s="38">
        <v>0.75</v>
      </c>
      <c r="N2966" s="38">
        <f t="shared" si="46"/>
        <v>2.25</v>
      </c>
    </row>
    <row r="2967" spans="1:14">
      <c r="A2967" s="29">
        <v>45271</v>
      </c>
      <c r="B2967" s="22" t="s">
        <v>17</v>
      </c>
      <c r="C2967" s="22" t="s">
        <v>57</v>
      </c>
      <c r="D2967" s="48" t="s">
        <v>5</v>
      </c>
      <c r="E2967" t="s">
        <v>1290</v>
      </c>
      <c r="F2967">
        <v>2023</v>
      </c>
      <c r="G2967" t="s">
        <v>57</v>
      </c>
      <c r="H2967" s="42" t="s">
        <v>1291</v>
      </c>
      <c r="J2967" t="s">
        <v>248</v>
      </c>
      <c r="L2967" s="34">
        <v>3</v>
      </c>
      <c r="M2967" s="38">
        <v>0.75</v>
      </c>
      <c r="N2967" s="38">
        <f t="shared" si="46"/>
        <v>2.25</v>
      </c>
    </row>
    <row r="2968" spans="1:14">
      <c r="A2968" s="29">
        <v>45271</v>
      </c>
      <c r="B2968" s="22" t="s">
        <v>17</v>
      </c>
      <c r="C2968" s="22" t="s">
        <v>57</v>
      </c>
      <c r="D2968" s="48" t="s">
        <v>5</v>
      </c>
      <c r="E2968" t="s">
        <v>157</v>
      </c>
      <c r="F2968">
        <v>2023</v>
      </c>
      <c r="G2968" t="s">
        <v>252</v>
      </c>
      <c r="H2968" s="42" t="s">
        <v>1287</v>
      </c>
      <c r="J2968" t="s">
        <v>248</v>
      </c>
      <c r="L2968" s="34">
        <v>3</v>
      </c>
      <c r="M2968" s="38">
        <v>0.75</v>
      </c>
      <c r="N2968" s="38">
        <f t="shared" si="46"/>
        <v>2.25</v>
      </c>
    </row>
    <row r="2969" spans="1:14">
      <c r="A2969" s="29">
        <v>45271</v>
      </c>
      <c r="B2969" s="22" t="s">
        <v>17</v>
      </c>
      <c r="C2969" s="22" t="s">
        <v>57</v>
      </c>
      <c r="D2969" s="48" t="s">
        <v>5</v>
      </c>
      <c r="E2969" t="s">
        <v>157</v>
      </c>
      <c r="F2969">
        <v>2022</v>
      </c>
      <c r="G2969" t="s">
        <v>507</v>
      </c>
      <c r="H2969" s="42" t="s">
        <v>1292</v>
      </c>
      <c r="J2969" t="s">
        <v>248</v>
      </c>
      <c r="L2969" s="34">
        <v>3</v>
      </c>
      <c r="M2969" s="38">
        <v>0.75</v>
      </c>
      <c r="N2969" s="38">
        <f t="shared" si="46"/>
        <v>2.25</v>
      </c>
    </row>
    <row r="2970" spans="1:14">
      <c r="A2970" s="29">
        <v>45271</v>
      </c>
      <c r="B2970" s="22" t="s">
        <v>57</v>
      </c>
      <c r="C2970" s="22" t="s">
        <v>1224</v>
      </c>
      <c r="D2970" s="48" t="s">
        <v>8</v>
      </c>
      <c r="E2970" t="s">
        <v>357</v>
      </c>
      <c r="F2970">
        <v>2023</v>
      </c>
      <c r="G2970" t="s">
        <v>1293</v>
      </c>
      <c r="H2970" s="42" t="s">
        <v>57</v>
      </c>
      <c r="J2970" t="s">
        <v>248</v>
      </c>
      <c r="K2970" t="s">
        <v>1294</v>
      </c>
      <c r="L2970" s="34">
        <v>2</v>
      </c>
      <c r="M2970" s="38">
        <v>0.75</v>
      </c>
      <c r="N2970" s="38">
        <f t="shared" si="46"/>
        <v>1.5</v>
      </c>
    </row>
    <row r="2971" spans="1:14">
      <c r="A2971" s="29">
        <v>45271</v>
      </c>
      <c r="B2971" s="22" t="s">
        <v>57</v>
      </c>
      <c r="C2971" s="22" t="s">
        <v>47</v>
      </c>
      <c r="D2971" s="48" t="s">
        <v>8</v>
      </c>
      <c r="E2971" t="s">
        <v>1295</v>
      </c>
      <c r="F2971">
        <v>2023</v>
      </c>
      <c r="G2971" t="s">
        <v>1296</v>
      </c>
      <c r="H2971" s="42" t="s">
        <v>1216</v>
      </c>
      <c r="J2971" t="s">
        <v>248</v>
      </c>
      <c r="K2971" t="s">
        <v>1294</v>
      </c>
      <c r="L2971" s="34">
        <v>2</v>
      </c>
      <c r="M2971" s="38">
        <v>0.75</v>
      </c>
      <c r="N2971" s="38">
        <f t="shared" si="46"/>
        <v>1.5</v>
      </c>
    </row>
    <row r="2972" spans="1:14">
      <c r="A2972" s="29">
        <v>45272</v>
      </c>
      <c r="B2972" s="22" t="s">
        <v>63</v>
      </c>
      <c r="C2972" s="22" t="s">
        <v>57</v>
      </c>
      <c r="D2972" s="48" t="s">
        <v>5</v>
      </c>
      <c r="E2972" t="s">
        <v>159</v>
      </c>
      <c r="F2972">
        <v>2023</v>
      </c>
      <c r="G2972" t="s">
        <v>252</v>
      </c>
      <c r="H2972" s="42" t="s">
        <v>1233</v>
      </c>
      <c r="J2972" t="s">
        <v>248</v>
      </c>
      <c r="L2972" s="34">
        <v>1</v>
      </c>
      <c r="M2972" s="38">
        <v>0.75</v>
      </c>
      <c r="N2972" s="38">
        <f t="shared" si="46"/>
        <v>0.75</v>
      </c>
    </row>
    <row r="2973" spans="1:14">
      <c r="A2973" s="29">
        <v>45272</v>
      </c>
      <c r="B2973" s="22" t="s">
        <v>63</v>
      </c>
      <c r="C2973" s="22" t="s">
        <v>57</v>
      </c>
      <c r="D2973" s="48" t="s">
        <v>5</v>
      </c>
      <c r="E2973" t="s">
        <v>1290</v>
      </c>
      <c r="F2973">
        <v>2023</v>
      </c>
      <c r="G2973" t="s">
        <v>57</v>
      </c>
      <c r="H2973" s="42" t="s">
        <v>1291</v>
      </c>
      <c r="J2973" t="s">
        <v>248</v>
      </c>
      <c r="L2973" s="34">
        <v>2</v>
      </c>
      <c r="M2973" s="38">
        <v>0.75</v>
      </c>
      <c r="N2973" s="38">
        <f t="shared" si="46"/>
        <v>1.5</v>
      </c>
    </row>
    <row r="2974" spans="1:14">
      <c r="A2974" s="29">
        <v>45272</v>
      </c>
      <c r="B2974" s="22" t="s">
        <v>15</v>
      </c>
      <c r="C2974" s="22" t="s">
        <v>57</v>
      </c>
      <c r="D2974" s="48" t="s">
        <v>5</v>
      </c>
      <c r="E2974" t="s">
        <v>1018</v>
      </c>
      <c r="F2974">
        <v>2023</v>
      </c>
      <c r="G2974" t="s">
        <v>57</v>
      </c>
      <c r="H2974" s="42" t="s">
        <v>748</v>
      </c>
      <c r="J2974" t="s">
        <v>248</v>
      </c>
      <c r="L2974" s="34">
        <v>2</v>
      </c>
      <c r="M2974" s="38">
        <v>0.75</v>
      </c>
      <c r="N2974" s="38">
        <f t="shared" si="46"/>
        <v>1.5</v>
      </c>
    </row>
    <row r="2975" spans="1:14">
      <c r="A2975" s="29">
        <v>45273</v>
      </c>
      <c r="B2975" s="22" t="s">
        <v>15</v>
      </c>
      <c r="C2975" s="22" t="s">
        <v>57</v>
      </c>
      <c r="D2975" s="48" t="s">
        <v>5</v>
      </c>
      <c r="E2975" t="s">
        <v>1290</v>
      </c>
      <c r="F2975">
        <v>2023</v>
      </c>
      <c r="G2975" t="s">
        <v>57</v>
      </c>
      <c r="H2975" s="42" t="s">
        <v>1291</v>
      </c>
      <c r="J2975" t="s">
        <v>248</v>
      </c>
      <c r="L2975" s="34">
        <v>2</v>
      </c>
      <c r="M2975" s="38">
        <v>0.75</v>
      </c>
      <c r="N2975" s="38">
        <f t="shared" si="46"/>
        <v>1.5</v>
      </c>
    </row>
    <row r="2976" spans="1:14">
      <c r="A2976" s="29">
        <v>45273</v>
      </c>
      <c r="B2976" s="22" t="s">
        <v>15</v>
      </c>
      <c r="C2976" s="22" t="s">
        <v>57</v>
      </c>
      <c r="D2976" s="48" t="s">
        <v>8</v>
      </c>
      <c r="E2976" t="s">
        <v>186</v>
      </c>
      <c r="F2976">
        <v>2023</v>
      </c>
      <c r="G2976" t="s">
        <v>57</v>
      </c>
      <c r="H2976" s="42" t="s">
        <v>1216</v>
      </c>
      <c r="J2976" t="s">
        <v>248</v>
      </c>
      <c r="L2976" s="34">
        <v>2</v>
      </c>
      <c r="M2976" s="38">
        <v>0.75</v>
      </c>
      <c r="N2976" s="38">
        <f t="shared" si="46"/>
        <v>1.5</v>
      </c>
    </row>
    <row r="2977" spans="1:14">
      <c r="A2977" s="29">
        <v>45273</v>
      </c>
      <c r="B2977" s="22" t="s">
        <v>15</v>
      </c>
      <c r="C2977" s="22" t="s">
        <v>57</v>
      </c>
      <c r="D2977" s="48" t="s">
        <v>8</v>
      </c>
      <c r="E2977" t="s">
        <v>1293</v>
      </c>
      <c r="F2977">
        <v>2023</v>
      </c>
      <c r="G2977" t="s">
        <v>57</v>
      </c>
      <c r="H2977" s="42" t="s">
        <v>57</v>
      </c>
      <c r="J2977" t="s">
        <v>248</v>
      </c>
      <c r="L2977" s="34">
        <v>2</v>
      </c>
      <c r="M2977" s="38">
        <v>0.75</v>
      </c>
      <c r="N2977" s="38">
        <f t="shared" si="46"/>
        <v>1.5</v>
      </c>
    </row>
    <row r="2978" spans="1:14">
      <c r="A2978" s="29">
        <v>45273</v>
      </c>
      <c r="B2978" s="22" t="s">
        <v>15</v>
      </c>
      <c r="C2978" s="22" t="s">
        <v>57</v>
      </c>
      <c r="D2978" s="48" t="s">
        <v>11</v>
      </c>
      <c r="E2978" t="s">
        <v>179</v>
      </c>
      <c r="F2978">
        <v>2023</v>
      </c>
      <c r="G2978" t="s">
        <v>57</v>
      </c>
      <c r="H2978" s="42" t="s">
        <v>57</v>
      </c>
      <c r="J2978" t="s">
        <v>248</v>
      </c>
      <c r="K2978" t="s">
        <v>1297</v>
      </c>
      <c r="L2978" s="34">
        <v>2</v>
      </c>
      <c r="M2978" s="38">
        <v>0.75</v>
      </c>
      <c r="N2978" s="38">
        <f t="shared" si="46"/>
        <v>1.5</v>
      </c>
    </row>
    <row r="2979" spans="1:14">
      <c r="A2979" s="29">
        <v>45274</v>
      </c>
      <c r="B2979" s="22" t="s">
        <v>23</v>
      </c>
      <c r="C2979" s="22" t="s">
        <v>57</v>
      </c>
      <c r="D2979" s="48" t="s">
        <v>5</v>
      </c>
      <c r="E2979" t="s">
        <v>157</v>
      </c>
      <c r="F2979">
        <v>2023</v>
      </c>
      <c r="G2979" t="s">
        <v>257</v>
      </c>
      <c r="H2979" s="42" t="s">
        <v>57</v>
      </c>
      <c r="J2979" t="s">
        <v>248</v>
      </c>
      <c r="L2979" s="34">
        <v>6</v>
      </c>
      <c r="M2979" s="38">
        <v>0.75</v>
      </c>
      <c r="N2979" s="38">
        <f t="shared" si="46"/>
        <v>4.5</v>
      </c>
    </row>
    <row r="2980" spans="1:14">
      <c r="A2980" s="29">
        <v>45274</v>
      </c>
      <c r="B2980" s="22" t="s">
        <v>1298</v>
      </c>
      <c r="C2980" s="22" t="s">
        <v>57</v>
      </c>
      <c r="D2980" s="48" t="s">
        <v>8</v>
      </c>
      <c r="E2980" t="s">
        <v>1299</v>
      </c>
      <c r="F2980">
        <v>2023</v>
      </c>
      <c r="G2980" t="s">
        <v>57</v>
      </c>
      <c r="H2980" s="42" t="s">
        <v>57</v>
      </c>
      <c r="J2980" t="s">
        <v>248</v>
      </c>
      <c r="K2980" t="s">
        <v>1300</v>
      </c>
      <c r="L2980" s="34">
        <v>6</v>
      </c>
      <c r="M2980" s="38">
        <v>0.75</v>
      </c>
      <c r="N2980" s="38">
        <f t="shared" si="46"/>
        <v>4.5</v>
      </c>
    </row>
    <row r="2981" spans="1:14">
      <c r="A2981" s="29">
        <v>45274</v>
      </c>
      <c r="B2981" s="22" t="s">
        <v>57</v>
      </c>
      <c r="C2981" s="22" t="s">
        <v>55</v>
      </c>
      <c r="D2981" s="48" t="s">
        <v>5</v>
      </c>
      <c r="E2981" t="s">
        <v>255</v>
      </c>
      <c r="F2981">
        <v>2023</v>
      </c>
      <c r="G2981" t="s">
        <v>618</v>
      </c>
      <c r="H2981" s="42" t="s">
        <v>1129</v>
      </c>
      <c r="J2981" t="s">
        <v>248</v>
      </c>
      <c r="L2981" s="34">
        <v>12</v>
      </c>
      <c r="M2981" s="38">
        <v>0.75</v>
      </c>
      <c r="N2981" s="38">
        <f t="shared" si="46"/>
        <v>9</v>
      </c>
    </row>
    <row r="2982" spans="1:14">
      <c r="A2982" s="29">
        <v>45274</v>
      </c>
      <c r="B2982" s="22" t="s">
        <v>57</v>
      </c>
      <c r="C2982" s="22" t="s">
        <v>55</v>
      </c>
      <c r="D2982" s="48" t="s">
        <v>5</v>
      </c>
      <c r="E2982" t="s">
        <v>157</v>
      </c>
      <c r="F2982">
        <v>2023</v>
      </c>
      <c r="G2982" t="s">
        <v>252</v>
      </c>
      <c r="H2982" s="42" t="s">
        <v>835</v>
      </c>
      <c r="J2982" t="s">
        <v>248</v>
      </c>
      <c r="L2982" s="34">
        <v>6</v>
      </c>
      <c r="M2982" s="38">
        <v>0.75</v>
      </c>
      <c r="N2982" s="38">
        <f t="shared" si="46"/>
        <v>4.5</v>
      </c>
    </row>
    <row r="2983" spans="1:14">
      <c r="A2983" s="29">
        <v>45280</v>
      </c>
      <c r="B2983" s="22" t="s">
        <v>1301</v>
      </c>
      <c r="C2983" s="22"/>
      <c r="D2983" s="48" t="s">
        <v>5</v>
      </c>
      <c r="E2983" t="s">
        <v>157</v>
      </c>
      <c r="F2983">
        <v>2023</v>
      </c>
      <c r="G2983" t="s">
        <v>253</v>
      </c>
      <c r="H2983" s="42" t="s">
        <v>1302</v>
      </c>
      <c r="J2983" t="s">
        <v>248</v>
      </c>
      <c r="L2983" s="34">
        <v>2</v>
      </c>
      <c r="M2983" s="38">
        <v>0.75</v>
      </c>
      <c r="N2983" s="38">
        <f t="shared" si="46"/>
        <v>1.5</v>
      </c>
    </row>
    <row r="2984" spans="1:14">
      <c r="A2984" s="29">
        <v>45280</v>
      </c>
      <c r="B2984" s="22" t="s">
        <v>1301</v>
      </c>
      <c r="C2984" s="22"/>
      <c r="D2984" s="48" t="s">
        <v>5</v>
      </c>
      <c r="E2984" t="s">
        <v>157</v>
      </c>
      <c r="F2984">
        <v>2023</v>
      </c>
      <c r="G2984" t="s">
        <v>252</v>
      </c>
      <c r="H2984" s="42" t="s">
        <v>1303</v>
      </c>
      <c r="J2984" t="s">
        <v>248</v>
      </c>
      <c r="L2984" s="34">
        <v>2</v>
      </c>
      <c r="M2984" s="38">
        <v>0.75</v>
      </c>
      <c r="N2984" s="38">
        <f t="shared" si="46"/>
        <v>1.5</v>
      </c>
    </row>
    <row r="2985" spans="1:14">
      <c r="A2985" s="29">
        <v>45280</v>
      </c>
      <c r="B2985" s="22" t="s">
        <v>1301</v>
      </c>
      <c r="C2985" s="22"/>
      <c r="D2985" s="48" t="s">
        <v>5</v>
      </c>
      <c r="E2985" t="s">
        <v>157</v>
      </c>
      <c r="F2985">
        <v>2023</v>
      </c>
      <c r="G2985" t="s">
        <v>251</v>
      </c>
      <c r="H2985" s="42" t="s">
        <v>1256</v>
      </c>
      <c r="J2985" t="s">
        <v>248</v>
      </c>
      <c r="L2985" s="34">
        <v>2</v>
      </c>
      <c r="M2985" s="38">
        <v>0.75</v>
      </c>
      <c r="N2985" s="38">
        <f t="shared" si="46"/>
        <v>1.5</v>
      </c>
    </row>
    <row r="2986" spans="1:14">
      <c r="A2986" s="29">
        <v>45280</v>
      </c>
      <c r="B2986" s="22" t="s">
        <v>1301</v>
      </c>
      <c r="C2986" s="22"/>
      <c r="D2986" s="48" t="s">
        <v>5</v>
      </c>
      <c r="E2986" t="s">
        <v>159</v>
      </c>
      <c r="F2986">
        <v>2023</v>
      </c>
      <c r="G2986" t="s">
        <v>251</v>
      </c>
      <c r="H2986" s="42" t="s">
        <v>1142</v>
      </c>
      <c r="J2986" t="s">
        <v>248</v>
      </c>
      <c r="L2986" s="34">
        <v>3</v>
      </c>
      <c r="M2986" s="38">
        <v>0.75</v>
      </c>
      <c r="N2986" s="38">
        <f t="shared" si="46"/>
        <v>2.25</v>
      </c>
    </row>
    <row r="2987" spans="1:14">
      <c r="A2987" s="29">
        <v>45280</v>
      </c>
      <c r="B2987" s="22" t="s">
        <v>1301</v>
      </c>
      <c r="C2987" s="22"/>
      <c r="D2987" s="48" t="s">
        <v>5</v>
      </c>
      <c r="E2987" t="s">
        <v>159</v>
      </c>
      <c r="F2987">
        <v>2023</v>
      </c>
      <c r="G2987" t="s">
        <v>252</v>
      </c>
      <c r="H2987" s="42" t="s">
        <v>1237</v>
      </c>
      <c r="J2987" t="s">
        <v>248</v>
      </c>
      <c r="L2987" s="34">
        <v>3</v>
      </c>
      <c r="M2987" s="38">
        <v>0.75</v>
      </c>
      <c r="N2987" s="38">
        <f t="shared" si="46"/>
        <v>2.25</v>
      </c>
    </row>
    <row r="2988" spans="1:14">
      <c r="A2988" s="29">
        <v>45280</v>
      </c>
      <c r="B2988" s="22" t="s">
        <v>1301</v>
      </c>
      <c r="C2988" s="22"/>
      <c r="D2988" s="48" t="s">
        <v>5</v>
      </c>
      <c r="E2988" t="s">
        <v>159</v>
      </c>
      <c r="F2988">
        <v>2023</v>
      </c>
      <c r="G2988" t="s">
        <v>253</v>
      </c>
      <c r="H2988" s="42" t="s">
        <v>1233</v>
      </c>
      <c r="J2988" t="s">
        <v>248</v>
      </c>
      <c r="L2988" s="34">
        <v>1</v>
      </c>
      <c r="M2988" s="38">
        <v>0.75</v>
      </c>
      <c r="N2988" s="38">
        <f t="shared" si="46"/>
        <v>0.75</v>
      </c>
    </row>
    <row r="2989" spans="1:14">
      <c r="A2989" s="29">
        <v>45280</v>
      </c>
      <c r="B2989" s="22" t="s">
        <v>1301</v>
      </c>
      <c r="C2989" s="22"/>
      <c r="D2989" s="48" t="s">
        <v>5</v>
      </c>
      <c r="E2989" t="s">
        <v>1290</v>
      </c>
      <c r="F2989">
        <v>2023</v>
      </c>
      <c r="G2989" t="s">
        <v>57</v>
      </c>
      <c r="H2989" s="42" t="s">
        <v>1304</v>
      </c>
      <c r="J2989" t="s">
        <v>248</v>
      </c>
      <c r="L2989" s="34">
        <v>2</v>
      </c>
      <c r="M2989" s="38">
        <v>0.75</v>
      </c>
      <c r="N2989" s="38">
        <f t="shared" si="46"/>
        <v>1.5</v>
      </c>
    </row>
    <row r="2990" spans="1:14">
      <c r="A2990" s="29">
        <v>45280</v>
      </c>
      <c r="B2990" s="22" t="s">
        <v>1301</v>
      </c>
      <c r="C2990" s="22"/>
      <c r="D2990" s="48" t="s">
        <v>5</v>
      </c>
      <c r="E2990" t="s">
        <v>255</v>
      </c>
      <c r="F2990">
        <v>2023</v>
      </c>
      <c r="G2990" t="s">
        <v>57</v>
      </c>
      <c r="H2990" s="42" t="s">
        <v>1305</v>
      </c>
      <c r="J2990" t="s">
        <v>248</v>
      </c>
      <c r="L2990" s="34">
        <v>2</v>
      </c>
      <c r="M2990" s="38">
        <v>0.75</v>
      </c>
      <c r="N2990" s="38">
        <f t="shared" si="46"/>
        <v>1.5</v>
      </c>
    </row>
    <row r="2991" spans="1:14">
      <c r="A2991" s="29">
        <v>45280</v>
      </c>
      <c r="B2991" s="22" t="s">
        <v>1301</v>
      </c>
      <c r="C2991" s="22"/>
      <c r="D2991" s="48" t="s">
        <v>8</v>
      </c>
      <c r="E2991" t="s">
        <v>1306</v>
      </c>
      <c r="F2991">
        <v>2023</v>
      </c>
      <c r="G2991" t="s">
        <v>57</v>
      </c>
      <c r="H2991" s="42" t="s">
        <v>1209</v>
      </c>
      <c r="J2991" t="s">
        <v>248</v>
      </c>
      <c r="L2991" s="34">
        <v>2</v>
      </c>
      <c r="M2991" s="38">
        <v>0.75</v>
      </c>
      <c r="N2991" s="38">
        <f t="shared" si="46"/>
        <v>1.5</v>
      </c>
    </row>
    <row r="2992" spans="1:14">
      <c r="A2992" s="29">
        <v>45280</v>
      </c>
      <c r="B2992" s="22" t="s">
        <v>1301</v>
      </c>
      <c r="C2992" s="22"/>
      <c r="D2992" s="48" t="s">
        <v>8</v>
      </c>
      <c r="E2992" t="s">
        <v>1307</v>
      </c>
      <c r="F2992">
        <v>2023</v>
      </c>
      <c r="G2992" t="s">
        <v>57</v>
      </c>
      <c r="H2992" s="42" t="s">
        <v>1308</v>
      </c>
      <c r="J2992" t="s">
        <v>248</v>
      </c>
      <c r="L2992" s="34">
        <v>2</v>
      </c>
      <c r="M2992" s="38">
        <v>0.75</v>
      </c>
      <c r="N2992" s="38">
        <f t="shared" si="46"/>
        <v>1.5</v>
      </c>
    </row>
    <row r="2993" spans="1:14">
      <c r="A2993" s="29">
        <v>45294</v>
      </c>
      <c r="B2993" s="22" t="s">
        <v>16</v>
      </c>
      <c r="C2993" s="22" t="s">
        <v>49</v>
      </c>
      <c r="D2993" s="48" t="s">
        <v>5</v>
      </c>
      <c r="E2993" t="s">
        <v>1174</v>
      </c>
      <c r="F2993">
        <v>2023</v>
      </c>
      <c r="G2993" t="s">
        <v>57</v>
      </c>
      <c r="H2993" s="42" t="s">
        <v>1220</v>
      </c>
      <c r="J2993" t="s">
        <v>248</v>
      </c>
      <c r="L2993" s="34">
        <v>4</v>
      </c>
      <c r="M2993" s="38">
        <v>0.75</v>
      </c>
      <c r="N2993" s="38">
        <f t="shared" si="46"/>
        <v>3</v>
      </c>
    </row>
    <row r="2994" spans="1:14">
      <c r="A2994" s="29">
        <v>45294</v>
      </c>
      <c r="B2994" s="22" t="s">
        <v>16</v>
      </c>
      <c r="C2994" s="22" t="s">
        <v>49</v>
      </c>
      <c r="D2994" s="48" t="s">
        <v>5</v>
      </c>
      <c r="E2994" t="s">
        <v>1276</v>
      </c>
      <c r="F2994">
        <v>2023</v>
      </c>
      <c r="G2994" t="s">
        <v>57</v>
      </c>
      <c r="H2994" s="42" t="s">
        <v>1277</v>
      </c>
      <c r="J2994" t="s">
        <v>248</v>
      </c>
      <c r="L2994" s="34">
        <v>4</v>
      </c>
      <c r="M2994" s="38">
        <v>0.75</v>
      </c>
      <c r="N2994" s="38">
        <f t="shared" ref="N2994:N3057" si="47">M2994*L2994</f>
        <v>3</v>
      </c>
    </row>
    <row r="2995" spans="1:14">
      <c r="A2995" s="29">
        <v>45294</v>
      </c>
      <c r="B2995" s="22" t="s">
        <v>16</v>
      </c>
      <c r="C2995" s="22" t="s">
        <v>49</v>
      </c>
      <c r="D2995" s="48" t="s">
        <v>5</v>
      </c>
      <c r="E2995" t="s">
        <v>158</v>
      </c>
      <c r="F2995">
        <v>2023</v>
      </c>
      <c r="G2995" t="s">
        <v>57</v>
      </c>
      <c r="H2995" s="42" t="s">
        <v>57</v>
      </c>
      <c r="J2995" t="s">
        <v>248</v>
      </c>
      <c r="K2995" t="s">
        <v>1232</v>
      </c>
      <c r="L2995" s="34">
        <v>4</v>
      </c>
      <c r="M2995" s="38">
        <v>0.75</v>
      </c>
      <c r="N2995" s="38">
        <f t="shared" si="47"/>
        <v>3</v>
      </c>
    </row>
    <row r="2996" spans="1:14">
      <c r="A2996" s="29">
        <v>45294</v>
      </c>
      <c r="B2996" s="22" t="s">
        <v>63</v>
      </c>
      <c r="C2996" s="22"/>
      <c r="D2996" s="48" t="s">
        <v>5</v>
      </c>
      <c r="E2996" t="s">
        <v>1290</v>
      </c>
      <c r="F2996">
        <v>2023</v>
      </c>
      <c r="G2996" t="s">
        <v>57</v>
      </c>
      <c r="H2996" s="42" t="s">
        <v>1291</v>
      </c>
      <c r="J2996" t="s">
        <v>248</v>
      </c>
      <c r="L2996" s="34">
        <v>2</v>
      </c>
      <c r="M2996" s="38">
        <v>0.75</v>
      </c>
      <c r="N2996" s="38">
        <f t="shared" si="47"/>
        <v>1.5</v>
      </c>
    </row>
    <row r="2997" spans="1:14">
      <c r="A2997" s="29">
        <v>45294</v>
      </c>
      <c r="B2997" s="22" t="s">
        <v>63</v>
      </c>
      <c r="C2997" s="22"/>
      <c r="D2997" s="48" t="s">
        <v>5</v>
      </c>
      <c r="E2997" t="s">
        <v>157</v>
      </c>
      <c r="F2997">
        <v>2023</v>
      </c>
      <c r="G2997" t="s">
        <v>507</v>
      </c>
      <c r="H2997" s="42" t="s">
        <v>1259</v>
      </c>
      <c r="J2997" t="s">
        <v>248</v>
      </c>
      <c r="L2997" s="34">
        <v>2</v>
      </c>
      <c r="M2997" s="38">
        <v>0.75</v>
      </c>
      <c r="N2997" s="38">
        <f t="shared" si="47"/>
        <v>1.5</v>
      </c>
    </row>
    <row r="2998" spans="1:14">
      <c r="A2998" s="29">
        <v>45294</v>
      </c>
      <c r="B2998" s="22" t="s">
        <v>63</v>
      </c>
      <c r="C2998" s="22"/>
      <c r="D2998" s="48" t="s">
        <v>5</v>
      </c>
      <c r="E2998" t="s">
        <v>157</v>
      </c>
      <c r="F2998">
        <v>2023</v>
      </c>
      <c r="G2998" t="s">
        <v>253</v>
      </c>
      <c r="H2998" s="42" t="s">
        <v>1309</v>
      </c>
      <c r="J2998" t="s">
        <v>248</v>
      </c>
      <c r="L2998" s="34">
        <v>2</v>
      </c>
      <c r="M2998" s="38">
        <v>0.75</v>
      </c>
      <c r="N2998" s="38">
        <f t="shared" si="47"/>
        <v>1.5</v>
      </c>
    </row>
    <row r="2999" spans="1:14">
      <c r="A2999" s="29">
        <v>45294</v>
      </c>
      <c r="B2999" s="22" t="s">
        <v>109</v>
      </c>
      <c r="C2999" s="22"/>
      <c r="D2999" s="48" t="s">
        <v>5</v>
      </c>
      <c r="E2999" t="s">
        <v>157</v>
      </c>
      <c r="F2999">
        <v>2023</v>
      </c>
      <c r="G2999" t="s">
        <v>1310</v>
      </c>
      <c r="H2999" s="42" t="s">
        <v>1303</v>
      </c>
      <c r="J2999" t="s">
        <v>248</v>
      </c>
      <c r="L2999" s="34">
        <v>2</v>
      </c>
      <c r="M2999" s="38">
        <v>0.75</v>
      </c>
      <c r="N2999" s="38">
        <f t="shared" si="47"/>
        <v>1.5</v>
      </c>
    </row>
    <row r="3000" spans="1:14">
      <c r="A3000" s="29">
        <v>45294</v>
      </c>
      <c r="B3000" s="22" t="s">
        <v>109</v>
      </c>
      <c r="C3000" s="22"/>
      <c r="D3000" s="48" t="s">
        <v>5</v>
      </c>
      <c r="E3000" t="s">
        <v>157</v>
      </c>
      <c r="F3000">
        <v>2023</v>
      </c>
      <c r="G3000" t="s">
        <v>1311</v>
      </c>
      <c r="H3000" s="42" t="s">
        <v>1195</v>
      </c>
      <c r="J3000" t="s">
        <v>248</v>
      </c>
      <c r="L3000" s="34">
        <v>2</v>
      </c>
      <c r="M3000" s="38">
        <v>0.75</v>
      </c>
      <c r="N3000" s="38">
        <f t="shared" si="47"/>
        <v>1.5</v>
      </c>
    </row>
    <row r="3001" spans="1:14">
      <c r="A3001" s="29">
        <v>45294</v>
      </c>
      <c r="B3001" s="22" t="s">
        <v>55</v>
      </c>
      <c r="C3001" s="22"/>
      <c r="D3001" s="48" t="s">
        <v>5</v>
      </c>
      <c r="E3001" t="s">
        <v>157</v>
      </c>
      <c r="F3001">
        <v>2023</v>
      </c>
      <c r="G3001" t="s">
        <v>507</v>
      </c>
      <c r="H3001" s="42" t="s">
        <v>1259</v>
      </c>
      <c r="J3001" t="s">
        <v>248</v>
      </c>
      <c r="L3001" s="34">
        <v>3</v>
      </c>
      <c r="M3001" s="38">
        <v>0.75</v>
      </c>
      <c r="N3001" s="38">
        <f t="shared" si="47"/>
        <v>2.25</v>
      </c>
    </row>
    <row r="3002" spans="1:14">
      <c r="A3002" s="29">
        <v>45295</v>
      </c>
      <c r="B3002" s="22" t="s">
        <v>79</v>
      </c>
      <c r="C3002" s="22"/>
      <c r="D3002" s="48" t="s">
        <v>5</v>
      </c>
      <c r="E3002" t="s">
        <v>157</v>
      </c>
      <c r="F3002">
        <v>2023</v>
      </c>
      <c r="G3002" t="s">
        <v>57</v>
      </c>
      <c r="H3002" s="42" t="s">
        <v>1266</v>
      </c>
      <c r="J3002" t="s">
        <v>248</v>
      </c>
      <c r="L3002" s="34">
        <v>2</v>
      </c>
      <c r="M3002" s="38">
        <v>0.75</v>
      </c>
      <c r="N3002" s="38">
        <f t="shared" si="47"/>
        <v>1.5</v>
      </c>
    </row>
    <row r="3003" spans="1:14">
      <c r="A3003" s="29">
        <v>45295</v>
      </c>
      <c r="B3003" s="22" t="s">
        <v>79</v>
      </c>
      <c r="C3003" s="22"/>
      <c r="D3003" s="48" t="s">
        <v>11</v>
      </c>
      <c r="E3003" t="s">
        <v>179</v>
      </c>
      <c r="F3003">
        <v>2023</v>
      </c>
      <c r="G3003" t="s">
        <v>57</v>
      </c>
      <c r="H3003" s="42" t="s">
        <v>1312</v>
      </c>
      <c r="J3003" t="s">
        <v>248</v>
      </c>
      <c r="L3003" s="34">
        <v>2</v>
      </c>
      <c r="M3003" s="38">
        <v>0.75</v>
      </c>
      <c r="N3003" s="38">
        <f t="shared" si="47"/>
        <v>1.5</v>
      </c>
    </row>
    <row r="3004" spans="1:14">
      <c r="A3004" s="29">
        <v>45295</v>
      </c>
      <c r="B3004" s="22" t="s">
        <v>96</v>
      </c>
      <c r="C3004" s="22"/>
      <c r="D3004" s="48" t="s">
        <v>5</v>
      </c>
      <c r="E3004" t="s">
        <v>159</v>
      </c>
      <c r="F3004">
        <v>2023</v>
      </c>
      <c r="G3004" t="s">
        <v>57</v>
      </c>
      <c r="H3004" s="42" t="s">
        <v>57</v>
      </c>
      <c r="J3004" t="s">
        <v>248</v>
      </c>
      <c r="K3004" t="s">
        <v>1265</v>
      </c>
      <c r="L3004" s="34">
        <v>2</v>
      </c>
      <c r="M3004" s="38">
        <v>0.75</v>
      </c>
      <c r="N3004" s="38">
        <f t="shared" si="47"/>
        <v>1.5</v>
      </c>
    </row>
    <row r="3005" spans="1:14">
      <c r="A3005" s="29">
        <v>45296</v>
      </c>
      <c r="B3005" s="22" t="s">
        <v>109</v>
      </c>
      <c r="C3005" s="22"/>
      <c r="D3005" s="48" t="s">
        <v>5</v>
      </c>
      <c r="E3005" t="s">
        <v>157</v>
      </c>
      <c r="F3005">
        <v>2023</v>
      </c>
      <c r="G3005" t="s">
        <v>252</v>
      </c>
      <c r="H3005" s="42" t="s">
        <v>1303</v>
      </c>
      <c r="J3005" t="s">
        <v>248</v>
      </c>
      <c r="L3005" s="34">
        <v>6</v>
      </c>
      <c r="M3005" s="38">
        <v>0.75</v>
      </c>
      <c r="N3005" s="38">
        <f t="shared" si="47"/>
        <v>4.5</v>
      </c>
    </row>
    <row r="3006" spans="1:14">
      <c r="A3006" s="29">
        <v>45296</v>
      </c>
      <c r="B3006" s="22" t="s">
        <v>109</v>
      </c>
      <c r="C3006" s="22"/>
      <c r="D3006" s="48" t="s">
        <v>5</v>
      </c>
      <c r="E3006" t="s">
        <v>157</v>
      </c>
      <c r="F3006">
        <v>2023</v>
      </c>
      <c r="G3006" t="s">
        <v>1311</v>
      </c>
      <c r="H3006" s="42" t="s">
        <v>1195</v>
      </c>
      <c r="J3006" t="s">
        <v>248</v>
      </c>
      <c r="L3006" s="34">
        <v>6</v>
      </c>
      <c r="M3006" s="38">
        <v>0.75</v>
      </c>
      <c r="N3006" s="38">
        <f t="shared" si="47"/>
        <v>4.5</v>
      </c>
    </row>
    <row r="3007" spans="1:14">
      <c r="A3007" s="29">
        <v>45299</v>
      </c>
      <c r="B3007" s="22" t="s">
        <v>57</v>
      </c>
      <c r="C3007" s="22" t="s">
        <v>55</v>
      </c>
      <c r="D3007" s="48" t="s">
        <v>5</v>
      </c>
      <c r="E3007" t="s">
        <v>157</v>
      </c>
      <c r="F3007">
        <v>2023</v>
      </c>
      <c r="G3007" t="s">
        <v>1313</v>
      </c>
      <c r="H3007" s="42" t="s">
        <v>1259</v>
      </c>
      <c r="J3007" t="s">
        <v>248</v>
      </c>
      <c r="L3007" s="34">
        <v>4</v>
      </c>
      <c r="M3007" s="38">
        <v>0.75</v>
      </c>
      <c r="N3007" s="38">
        <f t="shared" si="47"/>
        <v>3</v>
      </c>
    </row>
    <row r="3008" spans="1:14">
      <c r="A3008" s="29">
        <v>45299</v>
      </c>
      <c r="B3008" s="22" t="s">
        <v>57</v>
      </c>
      <c r="C3008" s="22" t="s">
        <v>55</v>
      </c>
      <c r="D3008" s="48" t="s">
        <v>5</v>
      </c>
      <c r="E3008" t="s">
        <v>255</v>
      </c>
      <c r="F3008">
        <v>2023</v>
      </c>
      <c r="G3008" t="s">
        <v>57</v>
      </c>
      <c r="H3008" s="42" t="s">
        <v>1217</v>
      </c>
      <c r="J3008" t="s">
        <v>248</v>
      </c>
      <c r="L3008" s="34">
        <v>4</v>
      </c>
      <c r="M3008" s="38">
        <v>0.75</v>
      </c>
      <c r="N3008" s="38">
        <f t="shared" si="47"/>
        <v>3</v>
      </c>
    </row>
    <row r="3009" spans="1:14">
      <c r="A3009" s="29">
        <v>45300</v>
      </c>
      <c r="B3009" s="22" t="s">
        <v>3</v>
      </c>
      <c r="C3009" s="22"/>
      <c r="D3009" s="48" t="s">
        <v>5</v>
      </c>
      <c r="E3009" t="s">
        <v>157</v>
      </c>
      <c r="F3009">
        <v>2023</v>
      </c>
      <c r="G3009" t="s">
        <v>251</v>
      </c>
      <c r="H3009" s="42" t="s">
        <v>1256</v>
      </c>
      <c r="J3009" t="s">
        <v>248</v>
      </c>
      <c r="L3009" s="34">
        <v>2</v>
      </c>
      <c r="M3009" s="38">
        <v>0.75</v>
      </c>
      <c r="N3009" s="38">
        <f t="shared" si="47"/>
        <v>1.5</v>
      </c>
    </row>
    <row r="3010" spans="1:14">
      <c r="A3010" s="29">
        <v>45300</v>
      </c>
      <c r="B3010" s="22" t="s">
        <v>3</v>
      </c>
      <c r="C3010" s="22"/>
      <c r="D3010" s="48" t="s">
        <v>5</v>
      </c>
      <c r="E3010" t="s">
        <v>157</v>
      </c>
      <c r="F3010">
        <v>2023</v>
      </c>
      <c r="G3010" t="s">
        <v>253</v>
      </c>
      <c r="H3010" s="42" t="s">
        <v>1309</v>
      </c>
      <c r="J3010" t="s">
        <v>248</v>
      </c>
      <c r="K3010" t="s">
        <v>1314</v>
      </c>
      <c r="L3010" s="34">
        <v>2</v>
      </c>
      <c r="M3010" s="38">
        <v>0.75</v>
      </c>
      <c r="N3010" s="38">
        <f t="shared" si="47"/>
        <v>1.5</v>
      </c>
    </row>
    <row r="3011" spans="1:14">
      <c r="A3011" s="29">
        <v>45300</v>
      </c>
      <c r="B3011" s="22" t="s">
        <v>3</v>
      </c>
      <c r="C3011" s="22"/>
      <c r="D3011" s="48" t="s">
        <v>5</v>
      </c>
      <c r="E3011" t="s">
        <v>1188</v>
      </c>
      <c r="F3011">
        <v>2023</v>
      </c>
      <c r="G3011" t="s">
        <v>57</v>
      </c>
      <c r="H3011" s="42" t="s">
        <v>1315</v>
      </c>
      <c r="J3011" t="s">
        <v>248</v>
      </c>
      <c r="L3011" s="34">
        <v>2</v>
      </c>
      <c r="M3011" s="38">
        <v>0.75</v>
      </c>
      <c r="N3011" s="38">
        <f t="shared" si="47"/>
        <v>1.5</v>
      </c>
    </row>
    <row r="3012" spans="1:14">
      <c r="A3012" s="29">
        <v>45300</v>
      </c>
      <c r="B3012" s="22" t="s">
        <v>3</v>
      </c>
      <c r="C3012" s="22"/>
      <c r="D3012" s="48" t="s">
        <v>8</v>
      </c>
      <c r="E3012" t="s">
        <v>273</v>
      </c>
      <c r="F3012">
        <v>2023</v>
      </c>
      <c r="G3012" t="s">
        <v>57</v>
      </c>
      <c r="H3012" s="42" t="s">
        <v>1316</v>
      </c>
      <c r="J3012" t="s">
        <v>248</v>
      </c>
      <c r="L3012" s="34">
        <v>2</v>
      </c>
      <c r="M3012" s="38">
        <v>0.75</v>
      </c>
      <c r="N3012" s="38">
        <f t="shared" si="47"/>
        <v>1.5</v>
      </c>
    </row>
    <row r="3013" spans="1:14">
      <c r="A3013" s="29">
        <v>45301</v>
      </c>
      <c r="B3013" s="22" t="s">
        <v>17</v>
      </c>
      <c r="C3013" s="22"/>
      <c r="D3013" s="48" t="s">
        <v>5</v>
      </c>
      <c r="E3013" t="s">
        <v>159</v>
      </c>
      <c r="F3013">
        <v>2023</v>
      </c>
      <c r="G3013" t="s">
        <v>253</v>
      </c>
      <c r="H3013" s="42" t="s">
        <v>1233</v>
      </c>
      <c r="J3013" t="s">
        <v>248</v>
      </c>
      <c r="L3013" s="34">
        <v>2</v>
      </c>
      <c r="M3013" s="38">
        <v>0.75</v>
      </c>
      <c r="N3013" s="38">
        <f t="shared" si="47"/>
        <v>1.5</v>
      </c>
    </row>
    <row r="3014" spans="1:14">
      <c r="A3014" s="29">
        <v>45301</v>
      </c>
      <c r="B3014" s="22" t="s">
        <v>17</v>
      </c>
      <c r="C3014" s="22"/>
      <c r="D3014" s="48" t="s">
        <v>5</v>
      </c>
      <c r="E3014" t="s">
        <v>159</v>
      </c>
      <c r="F3014">
        <v>2023</v>
      </c>
      <c r="G3014" t="s">
        <v>252</v>
      </c>
      <c r="H3014" s="42" t="s">
        <v>1317</v>
      </c>
      <c r="J3014" t="s">
        <v>248</v>
      </c>
      <c r="L3014" s="34">
        <v>2</v>
      </c>
      <c r="M3014" s="38">
        <v>0.75</v>
      </c>
      <c r="N3014" s="38">
        <f t="shared" si="47"/>
        <v>1.5</v>
      </c>
    </row>
    <row r="3015" spans="1:14">
      <c r="A3015" s="29">
        <v>45303</v>
      </c>
      <c r="B3015" s="22" t="s">
        <v>63</v>
      </c>
      <c r="C3015" s="22"/>
      <c r="D3015" s="48" t="s">
        <v>5</v>
      </c>
      <c r="E3015" t="s">
        <v>159</v>
      </c>
      <c r="F3015">
        <v>2023</v>
      </c>
      <c r="G3015" t="s">
        <v>252</v>
      </c>
      <c r="H3015" s="42" t="s">
        <v>1317</v>
      </c>
      <c r="J3015" t="s">
        <v>248</v>
      </c>
      <c r="L3015" s="34">
        <v>2</v>
      </c>
      <c r="M3015" s="38">
        <v>0.75</v>
      </c>
      <c r="N3015" s="38">
        <f t="shared" si="47"/>
        <v>1.5</v>
      </c>
    </row>
    <row r="3016" spans="1:14">
      <c r="A3016" s="29">
        <v>45303</v>
      </c>
      <c r="B3016" s="22" t="s">
        <v>63</v>
      </c>
      <c r="C3016" s="22"/>
      <c r="D3016" s="48" t="s">
        <v>5</v>
      </c>
      <c r="E3016" t="s">
        <v>157</v>
      </c>
      <c r="F3016">
        <v>2023</v>
      </c>
      <c r="G3016" t="s">
        <v>253</v>
      </c>
      <c r="H3016" s="42" t="s">
        <v>1302</v>
      </c>
      <c r="J3016" t="s">
        <v>248</v>
      </c>
      <c r="L3016" s="34">
        <v>2</v>
      </c>
      <c r="M3016" s="38">
        <v>0.75</v>
      </c>
      <c r="N3016" s="38">
        <f t="shared" si="47"/>
        <v>1.5</v>
      </c>
    </row>
    <row r="3017" spans="1:14">
      <c r="A3017" s="29">
        <v>45303</v>
      </c>
      <c r="B3017" s="22" t="s">
        <v>63</v>
      </c>
      <c r="C3017" s="22"/>
      <c r="D3017" s="48" t="s">
        <v>5</v>
      </c>
      <c r="E3017" t="s">
        <v>157</v>
      </c>
      <c r="F3017">
        <v>2023</v>
      </c>
      <c r="G3017" t="s">
        <v>1318</v>
      </c>
      <c r="H3017" s="42" t="s">
        <v>1259</v>
      </c>
      <c r="J3017" t="s">
        <v>248</v>
      </c>
      <c r="L3017" s="34">
        <v>2</v>
      </c>
      <c r="M3017" s="38">
        <v>0.75</v>
      </c>
      <c r="N3017" s="38">
        <f t="shared" si="47"/>
        <v>1.5</v>
      </c>
    </row>
    <row r="3018" spans="1:14">
      <c r="A3018" s="29">
        <v>45306</v>
      </c>
      <c r="B3018" s="22" t="s">
        <v>1319</v>
      </c>
      <c r="C3018" s="22"/>
      <c r="D3018" s="48" t="s">
        <v>5</v>
      </c>
      <c r="E3018" t="s">
        <v>159</v>
      </c>
      <c r="F3018">
        <v>2023</v>
      </c>
      <c r="G3018" t="s">
        <v>252</v>
      </c>
      <c r="H3018" s="42" t="s">
        <v>1317</v>
      </c>
      <c r="J3018" t="s">
        <v>248</v>
      </c>
      <c r="L3018" s="34">
        <v>3</v>
      </c>
      <c r="M3018" s="38">
        <v>0.75</v>
      </c>
      <c r="N3018" s="38">
        <f t="shared" si="47"/>
        <v>2.25</v>
      </c>
    </row>
    <row r="3019" spans="1:14">
      <c r="A3019" s="29">
        <v>45306</v>
      </c>
      <c r="B3019" s="22" t="s">
        <v>1319</v>
      </c>
      <c r="C3019" s="22"/>
      <c r="D3019" s="48" t="s">
        <v>5</v>
      </c>
      <c r="E3019" t="s">
        <v>310</v>
      </c>
      <c r="F3019">
        <v>2023</v>
      </c>
      <c r="G3019" t="s">
        <v>500</v>
      </c>
      <c r="H3019" s="42" t="s">
        <v>1320</v>
      </c>
      <c r="J3019" t="s">
        <v>248</v>
      </c>
      <c r="L3019" s="34">
        <v>3</v>
      </c>
      <c r="M3019" s="38">
        <v>0.75</v>
      </c>
      <c r="N3019" s="38">
        <f t="shared" si="47"/>
        <v>2.25</v>
      </c>
    </row>
    <row r="3020" spans="1:14">
      <c r="A3020" s="29">
        <v>45306</v>
      </c>
      <c r="B3020" s="22" t="s">
        <v>17</v>
      </c>
      <c r="C3020" s="22"/>
      <c r="D3020" s="48" t="s">
        <v>5</v>
      </c>
      <c r="E3020" t="s">
        <v>157</v>
      </c>
      <c r="F3020">
        <v>2022</v>
      </c>
      <c r="G3020" t="s">
        <v>507</v>
      </c>
      <c r="H3020" s="42" t="s">
        <v>1292</v>
      </c>
      <c r="J3020" t="s">
        <v>248</v>
      </c>
      <c r="L3020" s="34">
        <v>3</v>
      </c>
      <c r="M3020" s="38">
        <v>0.75</v>
      </c>
      <c r="N3020" s="38">
        <f t="shared" si="47"/>
        <v>2.25</v>
      </c>
    </row>
    <row r="3021" spans="1:14">
      <c r="A3021" s="29">
        <v>45306</v>
      </c>
      <c r="B3021" s="22" t="s">
        <v>17</v>
      </c>
      <c r="C3021" s="22"/>
      <c r="D3021" s="48" t="s">
        <v>5</v>
      </c>
      <c r="E3021" t="s">
        <v>157</v>
      </c>
      <c r="F3021">
        <v>2023</v>
      </c>
      <c r="G3021" t="s">
        <v>57</v>
      </c>
      <c r="H3021" s="42" t="s">
        <v>57</v>
      </c>
      <c r="J3021" t="s">
        <v>248</v>
      </c>
      <c r="K3021" t="s">
        <v>1321</v>
      </c>
      <c r="L3021" s="34">
        <v>3</v>
      </c>
      <c r="M3021" s="38">
        <v>0.75</v>
      </c>
      <c r="N3021" s="38">
        <f t="shared" si="47"/>
        <v>2.25</v>
      </c>
    </row>
    <row r="3022" spans="1:14">
      <c r="A3022" s="29">
        <v>45306</v>
      </c>
      <c r="B3022" s="22" t="s">
        <v>1322</v>
      </c>
      <c r="C3022" s="22"/>
      <c r="D3022" s="48" t="s">
        <v>11</v>
      </c>
      <c r="E3022" t="s">
        <v>1086</v>
      </c>
      <c r="F3022">
        <v>2023</v>
      </c>
      <c r="G3022" t="s">
        <v>873</v>
      </c>
      <c r="H3022" s="42" t="s">
        <v>57</v>
      </c>
      <c r="J3022" t="s">
        <v>248</v>
      </c>
      <c r="K3022" t="s">
        <v>1264</v>
      </c>
      <c r="L3022" s="34">
        <v>4</v>
      </c>
      <c r="M3022" s="38">
        <v>0.75</v>
      </c>
      <c r="N3022" s="38">
        <f t="shared" si="47"/>
        <v>3</v>
      </c>
    </row>
    <row r="3023" spans="1:14">
      <c r="A3023" s="29">
        <v>45313</v>
      </c>
      <c r="B3023" s="22" t="s">
        <v>57</v>
      </c>
      <c r="C3023" s="22" t="s">
        <v>55</v>
      </c>
      <c r="D3023" s="48" t="s">
        <v>5</v>
      </c>
      <c r="E3023" t="s">
        <v>255</v>
      </c>
      <c r="F3023">
        <v>2023</v>
      </c>
      <c r="G3023" t="s">
        <v>618</v>
      </c>
      <c r="H3023" s="42" t="s">
        <v>1129</v>
      </c>
      <c r="J3023" t="s">
        <v>248</v>
      </c>
      <c r="L3023" s="34">
        <v>6</v>
      </c>
      <c r="M3023" s="38">
        <v>0.75</v>
      </c>
      <c r="N3023" s="38">
        <f t="shared" si="47"/>
        <v>4.5</v>
      </c>
    </row>
    <row r="3024" spans="1:14">
      <c r="A3024" s="29">
        <v>45313</v>
      </c>
      <c r="B3024" s="22" t="s">
        <v>57</v>
      </c>
      <c r="C3024" s="22" t="s">
        <v>55</v>
      </c>
      <c r="D3024" s="48" t="s">
        <v>5</v>
      </c>
      <c r="E3024" t="s">
        <v>157</v>
      </c>
      <c r="F3024">
        <v>2023</v>
      </c>
      <c r="G3024" t="s">
        <v>326</v>
      </c>
      <c r="H3024" s="42" t="s">
        <v>835</v>
      </c>
      <c r="J3024" t="s">
        <v>248</v>
      </c>
      <c r="L3024" s="34">
        <v>6</v>
      </c>
      <c r="M3024" s="38">
        <v>0.75</v>
      </c>
      <c r="N3024" s="38">
        <f t="shared" si="47"/>
        <v>4.5</v>
      </c>
    </row>
    <row r="3025" spans="1:14">
      <c r="A3025" s="29">
        <v>45313</v>
      </c>
      <c r="B3025" s="22" t="s">
        <v>63</v>
      </c>
      <c r="C3025" s="22" t="s">
        <v>57</v>
      </c>
      <c r="D3025" s="48" t="s">
        <v>5</v>
      </c>
      <c r="E3025" t="s">
        <v>255</v>
      </c>
      <c r="F3025">
        <v>2023</v>
      </c>
      <c r="G3025" t="s">
        <v>618</v>
      </c>
      <c r="H3025" s="42" t="s">
        <v>1129</v>
      </c>
      <c r="J3025" t="s">
        <v>248</v>
      </c>
      <c r="L3025" s="34">
        <v>1</v>
      </c>
      <c r="M3025" s="38">
        <v>0.75</v>
      </c>
      <c r="N3025" s="38">
        <f t="shared" si="47"/>
        <v>0.75</v>
      </c>
    </row>
    <row r="3026" spans="1:14">
      <c r="A3026" s="29">
        <v>45320</v>
      </c>
      <c r="B3026" s="22" t="s">
        <v>79</v>
      </c>
      <c r="C3026" s="22" t="s">
        <v>57</v>
      </c>
      <c r="D3026" s="48" t="s">
        <v>5</v>
      </c>
      <c r="E3026" t="s">
        <v>157</v>
      </c>
      <c r="F3026">
        <v>2023</v>
      </c>
      <c r="G3026" t="s">
        <v>1323</v>
      </c>
      <c r="H3026" s="42" t="s">
        <v>1266</v>
      </c>
      <c r="J3026" t="s">
        <v>248</v>
      </c>
      <c r="L3026" s="34">
        <v>3</v>
      </c>
      <c r="M3026" s="38">
        <v>0.75</v>
      </c>
      <c r="N3026" s="38">
        <f t="shared" si="47"/>
        <v>2.25</v>
      </c>
    </row>
    <row r="3027" spans="1:14">
      <c r="A3027" s="29">
        <v>45320</v>
      </c>
      <c r="B3027" s="22" t="s">
        <v>79</v>
      </c>
      <c r="C3027" s="22" t="s">
        <v>57</v>
      </c>
      <c r="D3027" s="48" t="s">
        <v>8</v>
      </c>
      <c r="E3027" t="s">
        <v>180</v>
      </c>
      <c r="F3027">
        <v>2023</v>
      </c>
      <c r="G3027" t="s">
        <v>618</v>
      </c>
      <c r="H3027" s="42" t="s">
        <v>1324</v>
      </c>
      <c r="J3027" t="s">
        <v>248</v>
      </c>
      <c r="L3027" s="34">
        <v>2</v>
      </c>
      <c r="M3027" s="38">
        <v>0.75</v>
      </c>
      <c r="N3027" s="38">
        <f t="shared" si="47"/>
        <v>1.5</v>
      </c>
    </row>
    <row r="3028" spans="1:14">
      <c r="A3028" s="29">
        <v>45320</v>
      </c>
      <c r="B3028" s="22" t="s">
        <v>79</v>
      </c>
      <c r="C3028" s="22" t="s">
        <v>57</v>
      </c>
      <c r="D3028" s="48" t="s">
        <v>11</v>
      </c>
      <c r="E3028" t="s">
        <v>1086</v>
      </c>
      <c r="F3028">
        <v>2023</v>
      </c>
      <c r="G3028" t="s">
        <v>618</v>
      </c>
      <c r="H3028" s="42" t="s">
        <v>1325</v>
      </c>
      <c r="J3028" t="s">
        <v>248</v>
      </c>
      <c r="L3028" s="34">
        <v>2</v>
      </c>
      <c r="M3028" s="38">
        <v>0.75</v>
      </c>
      <c r="N3028" s="38">
        <f t="shared" si="47"/>
        <v>1.5</v>
      </c>
    </row>
    <row r="3029" spans="1:14">
      <c r="A3029" s="29">
        <v>45322</v>
      </c>
      <c r="B3029" s="22" t="s">
        <v>1326</v>
      </c>
      <c r="C3029" s="22" t="s">
        <v>13</v>
      </c>
      <c r="D3029" s="48" t="s">
        <v>5</v>
      </c>
      <c r="E3029" t="s">
        <v>157</v>
      </c>
      <c r="F3029">
        <v>2023</v>
      </c>
      <c r="G3029" t="s">
        <v>357</v>
      </c>
      <c r="H3029" s="42" t="s">
        <v>57</v>
      </c>
      <c r="J3029" t="s">
        <v>248</v>
      </c>
      <c r="K3029" t="s">
        <v>1327</v>
      </c>
      <c r="L3029" s="34">
        <v>6</v>
      </c>
      <c r="M3029" s="38">
        <v>0.75</v>
      </c>
      <c r="N3029" s="38">
        <f t="shared" si="47"/>
        <v>4.5</v>
      </c>
    </row>
    <row r="3030" spans="1:14">
      <c r="A3030" s="29">
        <v>45322</v>
      </c>
      <c r="B3030" s="22" t="s">
        <v>1326</v>
      </c>
      <c r="C3030" s="22" t="s">
        <v>13</v>
      </c>
      <c r="D3030" s="48" t="s">
        <v>5</v>
      </c>
      <c r="E3030" t="s">
        <v>157</v>
      </c>
      <c r="F3030">
        <v>2023</v>
      </c>
      <c r="G3030" t="s">
        <v>359</v>
      </c>
      <c r="H3030" s="42" t="s">
        <v>57</v>
      </c>
      <c r="J3030" t="s">
        <v>248</v>
      </c>
      <c r="K3030" t="s">
        <v>1328</v>
      </c>
      <c r="L3030" s="34">
        <v>6</v>
      </c>
      <c r="M3030" s="38">
        <v>0.75</v>
      </c>
      <c r="N3030" s="38">
        <f t="shared" si="47"/>
        <v>4.5</v>
      </c>
    </row>
    <row r="3031" spans="1:14">
      <c r="A3031" s="29">
        <v>45322</v>
      </c>
      <c r="B3031" s="22" t="s">
        <v>1326</v>
      </c>
      <c r="C3031" s="22" t="s">
        <v>13</v>
      </c>
      <c r="D3031" s="48" t="s">
        <v>8</v>
      </c>
      <c r="E3031" t="s">
        <v>1293</v>
      </c>
      <c r="F3031">
        <v>2023</v>
      </c>
      <c r="G3031" t="s">
        <v>357</v>
      </c>
      <c r="H3031" s="42" t="s">
        <v>57</v>
      </c>
      <c r="J3031" t="s">
        <v>248</v>
      </c>
      <c r="L3031" s="34">
        <v>3</v>
      </c>
      <c r="M3031" s="38">
        <v>0.75</v>
      </c>
      <c r="N3031" s="38">
        <f t="shared" si="47"/>
        <v>2.25</v>
      </c>
    </row>
    <row r="3032" spans="1:14">
      <c r="A3032" s="29">
        <v>45322</v>
      </c>
      <c r="B3032" s="22" t="s">
        <v>1326</v>
      </c>
      <c r="C3032" s="22" t="s">
        <v>13</v>
      </c>
      <c r="D3032" s="48" t="s">
        <v>8</v>
      </c>
      <c r="E3032" t="s">
        <v>179</v>
      </c>
      <c r="F3032">
        <v>2023</v>
      </c>
      <c r="G3032" t="s">
        <v>57</v>
      </c>
      <c r="H3032" s="42" t="s">
        <v>1329</v>
      </c>
      <c r="J3032" t="s">
        <v>248</v>
      </c>
      <c r="L3032" s="34">
        <v>3</v>
      </c>
      <c r="M3032" s="38">
        <v>0.75</v>
      </c>
      <c r="N3032" s="38">
        <f t="shared" si="47"/>
        <v>2.25</v>
      </c>
    </row>
    <row r="3033" spans="1:14">
      <c r="A3033" s="29">
        <v>45322</v>
      </c>
      <c r="B3033" s="22" t="s">
        <v>1330</v>
      </c>
      <c r="C3033" s="22" t="s">
        <v>57</v>
      </c>
      <c r="D3033" s="48" t="s">
        <v>8</v>
      </c>
      <c r="E3033" t="s">
        <v>1331</v>
      </c>
      <c r="F3033">
        <v>2023</v>
      </c>
      <c r="G3033" t="s">
        <v>1332</v>
      </c>
      <c r="H3033" s="42" t="s">
        <v>1333</v>
      </c>
      <c r="J3033" t="s">
        <v>248</v>
      </c>
      <c r="L3033" s="34">
        <v>2</v>
      </c>
      <c r="M3033" s="38">
        <v>0.75</v>
      </c>
      <c r="N3033" s="38">
        <f t="shared" si="47"/>
        <v>1.5</v>
      </c>
    </row>
    <row r="3034" spans="1:14">
      <c r="A3034" s="29">
        <v>45322</v>
      </c>
      <c r="B3034" s="22" t="s">
        <v>1330</v>
      </c>
      <c r="C3034" s="22" t="s">
        <v>57</v>
      </c>
      <c r="D3034" s="48" t="s">
        <v>11</v>
      </c>
      <c r="E3034" t="s">
        <v>180</v>
      </c>
      <c r="F3034">
        <v>2023</v>
      </c>
      <c r="G3034" t="s">
        <v>500</v>
      </c>
      <c r="H3034" s="42" t="s">
        <v>789</v>
      </c>
      <c r="J3034" t="s">
        <v>248</v>
      </c>
      <c r="K3034" t="s">
        <v>1334</v>
      </c>
      <c r="L3034" s="34">
        <v>2</v>
      </c>
      <c r="M3034" s="38">
        <v>0.75</v>
      </c>
      <c r="N3034" s="38">
        <f t="shared" si="47"/>
        <v>1.5</v>
      </c>
    </row>
    <row r="3035" spans="1:14">
      <c r="A3035" s="29">
        <v>45322</v>
      </c>
      <c r="B3035" s="22" t="s">
        <v>1330</v>
      </c>
      <c r="C3035" s="22" t="s">
        <v>57</v>
      </c>
      <c r="D3035" s="48" t="s">
        <v>11</v>
      </c>
      <c r="E3035" t="s">
        <v>1086</v>
      </c>
      <c r="F3035">
        <v>2023</v>
      </c>
      <c r="G3035" t="s">
        <v>500</v>
      </c>
      <c r="H3035" s="42" t="s">
        <v>1335</v>
      </c>
      <c r="J3035" t="s">
        <v>248</v>
      </c>
      <c r="K3035" t="s">
        <v>1334</v>
      </c>
      <c r="L3035" s="34">
        <v>2</v>
      </c>
      <c r="M3035" s="38">
        <v>0.75</v>
      </c>
      <c r="N3035" s="38">
        <f t="shared" si="47"/>
        <v>1.5</v>
      </c>
    </row>
    <row r="3036" spans="1:14">
      <c r="A3036" s="29">
        <v>45322</v>
      </c>
      <c r="B3036" s="22" t="s">
        <v>1330</v>
      </c>
      <c r="C3036" s="22" t="s">
        <v>57</v>
      </c>
      <c r="D3036" s="48" t="s">
        <v>11</v>
      </c>
      <c r="E3036" t="s">
        <v>186</v>
      </c>
      <c r="F3036">
        <v>2023</v>
      </c>
      <c r="G3036" t="s">
        <v>500</v>
      </c>
      <c r="H3036" s="42" t="s">
        <v>1336</v>
      </c>
      <c r="J3036" t="s">
        <v>248</v>
      </c>
      <c r="K3036" t="s">
        <v>1334</v>
      </c>
      <c r="L3036" s="34">
        <v>2</v>
      </c>
      <c r="M3036" s="38">
        <v>0.75</v>
      </c>
      <c r="N3036" s="38">
        <f t="shared" si="47"/>
        <v>1.5</v>
      </c>
    </row>
    <row r="3037" spans="1:14">
      <c r="A3037" s="29">
        <v>45322</v>
      </c>
      <c r="B3037" s="22" t="s">
        <v>1330</v>
      </c>
      <c r="C3037" s="22" t="s">
        <v>57</v>
      </c>
      <c r="D3037" s="48" t="s">
        <v>11</v>
      </c>
      <c r="E3037" t="s">
        <v>805</v>
      </c>
      <c r="F3037">
        <v>2023</v>
      </c>
      <c r="G3037" t="s">
        <v>500</v>
      </c>
      <c r="H3037" s="42" t="s">
        <v>1011</v>
      </c>
      <c r="J3037" t="s">
        <v>248</v>
      </c>
      <c r="L3037" s="34">
        <v>2</v>
      </c>
      <c r="M3037" s="38">
        <v>0.75</v>
      </c>
      <c r="N3037" s="38">
        <f t="shared" si="47"/>
        <v>1.5</v>
      </c>
    </row>
    <row r="3038" spans="1:14">
      <c r="A3038" s="29">
        <v>45322</v>
      </c>
      <c r="B3038" s="22" t="s">
        <v>57</v>
      </c>
      <c r="C3038" s="22" t="s">
        <v>13</v>
      </c>
      <c r="D3038" s="48" t="s">
        <v>5</v>
      </c>
      <c r="E3038" t="s">
        <v>262</v>
      </c>
      <c r="F3038">
        <v>2023</v>
      </c>
      <c r="G3038" t="s">
        <v>57</v>
      </c>
      <c r="H3038" s="42" t="s">
        <v>1239</v>
      </c>
      <c r="J3038" t="s">
        <v>248</v>
      </c>
      <c r="L3038" s="34">
        <v>2</v>
      </c>
      <c r="M3038" s="38">
        <v>0.75</v>
      </c>
      <c r="N3038" s="38">
        <f t="shared" si="47"/>
        <v>1.5</v>
      </c>
    </row>
    <row r="3039" spans="1:14">
      <c r="A3039" s="29">
        <v>45322</v>
      </c>
      <c r="B3039" s="22" t="s">
        <v>57</v>
      </c>
      <c r="C3039" s="22" t="s">
        <v>13</v>
      </c>
      <c r="D3039" s="48" t="s">
        <v>5</v>
      </c>
      <c r="E3039" t="s">
        <v>310</v>
      </c>
      <c r="F3039">
        <v>2023</v>
      </c>
      <c r="G3039" t="s">
        <v>57</v>
      </c>
      <c r="H3039" s="42" t="s">
        <v>1337</v>
      </c>
      <c r="J3039" t="s">
        <v>248</v>
      </c>
      <c r="L3039" s="34">
        <v>2</v>
      </c>
      <c r="M3039" s="38">
        <v>0.75</v>
      </c>
      <c r="N3039" s="38">
        <f t="shared" si="47"/>
        <v>1.5</v>
      </c>
    </row>
    <row r="3040" spans="1:14">
      <c r="A3040" s="29">
        <v>45322</v>
      </c>
      <c r="B3040" s="22" t="s">
        <v>57</v>
      </c>
      <c r="C3040" s="22" t="s">
        <v>13</v>
      </c>
      <c r="D3040" s="48" t="s">
        <v>5</v>
      </c>
      <c r="E3040" t="s">
        <v>159</v>
      </c>
      <c r="F3040">
        <v>2023</v>
      </c>
      <c r="G3040" t="s">
        <v>57</v>
      </c>
      <c r="H3040" s="42" t="s">
        <v>1338</v>
      </c>
      <c r="J3040" t="s">
        <v>248</v>
      </c>
      <c r="L3040" s="34">
        <v>3</v>
      </c>
      <c r="M3040" s="38">
        <v>0.75</v>
      </c>
      <c r="N3040" s="38">
        <f t="shared" si="47"/>
        <v>2.25</v>
      </c>
    </row>
    <row r="3041" spans="1:14">
      <c r="A3041" s="29">
        <v>45322</v>
      </c>
      <c r="B3041" s="22" t="s">
        <v>57</v>
      </c>
      <c r="C3041" s="22" t="s">
        <v>13</v>
      </c>
      <c r="D3041" s="48" t="s">
        <v>5</v>
      </c>
      <c r="E3041" t="s">
        <v>157</v>
      </c>
      <c r="F3041">
        <v>2023</v>
      </c>
      <c r="G3041" t="s">
        <v>57</v>
      </c>
      <c r="H3041" s="42" t="s">
        <v>1073</v>
      </c>
      <c r="J3041" t="s">
        <v>248</v>
      </c>
      <c r="L3041" s="34">
        <v>3</v>
      </c>
      <c r="M3041" s="38">
        <v>0.75</v>
      </c>
      <c r="N3041" s="38">
        <f t="shared" si="47"/>
        <v>2.25</v>
      </c>
    </row>
    <row r="3042" spans="1:14">
      <c r="A3042" s="29">
        <v>45322</v>
      </c>
      <c r="B3042" s="22" t="s">
        <v>57</v>
      </c>
      <c r="C3042" s="22" t="s">
        <v>13</v>
      </c>
      <c r="D3042" s="48" t="s">
        <v>5</v>
      </c>
      <c r="E3042" t="s">
        <v>255</v>
      </c>
      <c r="F3042">
        <v>2023</v>
      </c>
      <c r="G3042" t="s">
        <v>57</v>
      </c>
      <c r="H3042" s="42" t="s">
        <v>1339</v>
      </c>
      <c r="J3042" t="s">
        <v>248</v>
      </c>
      <c r="L3042" s="34">
        <v>4</v>
      </c>
      <c r="M3042" s="38">
        <v>0.75</v>
      </c>
      <c r="N3042" s="38">
        <f t="shared" si="47"/>
        <v>3</v>
      </c>
    </row>
    <row r="3043" spans="1:14">
      <c r="A3043" s="29">
        <v>45322</v>
      </c>
      <c r="B3043" s="22" t="s">
        <v>57</v>
      </c>
      <c r="C3043" s="22" t="s">
        <v>13</v>
      </c>
      <c r="D3043" s="48" t="s">
        <v>5</v>
      </c>
      <c r="E3043" t="s">
        <v>255</v>
      </c>
      <c r="F3043">
        <v>2023</v>
      </c>
      <c r="G3043" t="s">
        <v>57</v>
      </c>
      <c r="H3043" s="42" t="s">
        <v>1340</v>
      </c>
      <c r="J3043" t="s">
        <v>248</v>
      </c>
      <c r="L3043" s="34">
        <v>4</v>
      </c>
      <c r="M3043" s="38">
        <v>0.75</v>
      </c>
      <c r="N3043" s="38">
        <f t="shared" si="47"/>
        <v>3</v>
      </c>
    </row>
    <row r="3044" spans="1:14">
      <c r="A3044" s="29">
        <v>45322</v>
      </c>
      <c r="B3044" s="22" t="s">
        <v>57</v>
      </c>
      <c r="C3044" s="22" t="s">
        <v>13</v>
      </c>
      <c r="D3044" s="48" t="s">
        <v>8</v>
      </c>
      <c r="E3044" t="s">
        <v>182</v>
      </c>
      <c r="F3044">
        <v>2023</v>
      </c>
      <c r="G3044" t="s">
        <v>57</v>
      </c>
      <c r="H3044" s="42" t="s">
        <v>1341</v>
      </c>
      <c r="J3044" t="s">
        <v>248</v>
      </c>
      <c r="L3044" s="34">
        <v>2</v>
      </c>
      <c r="M3044" s="38">
        <v>0.75</v>
      </c>
      <c r="N3044" s="38">
        <f t="shared" si="47"/>
        <v>1.5</v>
      </c>
    </row>
    <row r="3045" spans="1:14">
      <c r="A3045" s="29">
        <v>45322</v>
      </c>
      <c r="B3045" s="22" t="s">
        <v>57</v>
      </c>
      <c r="C3045" s="22" t="s">
        <v>13</v>
      </c>
      <c r="D3045" s="48" t="s">
        <v>8</v>
      </c>
      <c r="E3045" t="s">
        <v>178</v>
      </c>
      <c r="F3045">
        <v>2023</v>
      </c>
      <c r="G3045" t="s">
        <v>57</v>
      </c>
      <c r="H3045" s="42" t="s">
        <v>1342</v>
      </c>
      <c r="J3045" t="s">
        <v>248</v>
      </c>
      <c r="L3045" s="34">
        <v>2</v>
      </c>
      <c r="M3045" s="38">
        <v>0.75</v>
      </c>
      <c r="N3045" s="38">
        <f t="shared" si="47"/>
        <v>1.5</v>
      </c>
    </row>
    <row r="3046" spans="1:14">
      <c r="A3046" s="29">
        <v>45322</v>
      </c>
      <c r="B3046" s="22" t="s">
        <v>57</v>
      </c>
      <c r="C3046" s="22" t="s">
        <v>13</v>
      </c>
      <c r="D3046" s="48" t="s">
        <v>8</v>
      </c>
      <c r="E3046" t="s">
        <v>513</v>
      </c>
      <c r="F3046">
        <v>2023</v>
      </c>
      <c r="G3046" t="s">
        <v>57</v>
      </c>
      <c r="H3046" s="42" t="s">
        <v>1343</v>
      </c>
      <c r="J3046" t="s">
        <v>248</v>
      </c>
      <c r="L3046" s="34">
        <v>2</v>
      </c>
      <c r="M3046" s="38">
        <v>0.75</v>
      </c>
      <c r="N3046" s="38">
        <f t="shared" si="47"/>
        <v>1.5</v>
      </c>
    </row>
    <row r="3047" spans="1:14">
      <c r="A3047" s="29">
        <v>45322</v>
      </c>
      <c r="B3047" s="22" t="s">
        <v>57</v>
      </c>
      <c r="C3047" s="22" t="s">
        <v>13</v>
      </c>
      <c r="D3047" s="48" t="s">
        <v>11</v>
      </c>
      <c r="E3047" t="s">
        <v>177</v>
      </c>
      <c r="F3047">
        <v>2023</v>
      </c>
      <c r="G3047" t="s">
        <v>57</v>
      </c>
      <c r="H3047" s="42" t="s">
        <v>1344</v>
      </c>
      <c r="J3047" t="s">
        <v>248</v>
      </c>
      <c r="L3047" s="34">
        <v>3</v>
      </c>
      <c r="M3047" s="38">
        <v>0.75</v>
      </c>
      <c r="N3047" s="38">
        <f t="shared" si="47"/>
        <v>2.25</v>
      </c>
    </row>
    <row r="3048" spans="1:14">
      <c r="A3048" s="29">
        <v>45322</v>
      </c>
      <c r="B3048" s="22" t="s">
        <v>57</v>
      </c>
      <c r="C3048" s="22" t="s">
        <v>13</v>
      </c>
      <c r="D3048" s="48" t="s">
        <v>11</v>
      </c>
      <c r="E3048" t="s">
        <v>179</v>
      </c>
      <c r="F3048">
        <v>2023</v>
      </c>
      <c r="G3048" t="s">
        <v>57</v>
      </c>
      <c r="H3048" s="42" t="s">
        <v>1336</v>
      </c>
      <c r="J3048" t="s">
        <v>248</v>
      </c>
      <c r="L3048" s="34">
        <v>2</v>
      </c>
      <c r="M3048" s="38">
        <v>0.75</v>
      </c>
      <c r="N3048" s="38">
        <f t="shared" si="47"/>
        <v>1.5</v>
      </c>
    </row>
    <row r="3049" spans="1:14">
      <c r="A3049" s="29">
        <v>45322</v>
      </c>
      <c r="B3049" s="22" t="s">
        <v>57</v>
      </c>
      <c r="C3049" s="22" t="s">
        <v>13</v>
      </c>
      <c r="D3049" s="48" t="s">
        <v>11</v>
      </c>
      <c r="E3049" t="s">
        <v>210</v>
      </c>
      <c r="F3049">
        <v>2023</v>
      </c>
      <c r="G3049" t="s">
        <v>57</v>
      </c>
      <c r="H3049" s="42" t="s">
        <v>1335</v>
      </c>
      <c r="J3049" t="s">
        <v>248</v>
      </c>
      <c r="L3049" s="34">
        <v>2</v>
      </c>
      <c r="M3049" s="38">
        <v>0.75</v>
      </c>
      <c r="N3049" s="38">
        <f t="shared" si="47"/>
        <v>1.5</v>
      </c>
    </row>
    <row r="3050" spans="1:14">
      <c r="A3050" s="29">
        <v>45322</v>
      </c>
      <c r="B3050" s="22" t="s">
        <v>57</v>
      </c>
      <c r="C3050" s="22" t="s">
        <v>13</v>
      </c>
      <c r="D3050" s="48" t="s">
        <v>11</v>
      </c>
      <c r="E3050" t="s">
        <v>805</v>
      </c>
      <c r="F3050">
        <v>2023</v>
      </c>
      <c r="G3050" t="s">
        <v>57</v>
      </c>
      <c r="H3050" s="42" t="s">
        <v>1011</v>
      </c>
      <c r="J3050" t="s">
        <v>248</v>
      </c>
      <c r="L3050" s="34">
        <v>2</v>
      </c>
      <c r="M3050" s="38">
        <v>0.75</v>
      </c>
      <c r="N3050" s="38">
        <f t="shared" si="47"/>
        <v>1.5</v>
      </c>
    </row>
    <row r="3051" spans="1:14">
      <c r="A3051" s="29">
        <v>45322</v>
      </c>
      <c r="B3051" s="22" t="s">
        <v>57</v>
      </c>
      <c r="C3051" s="22" t="s">
        <v>13</v>
      </c>
      <c r="D3051" s="48" t="s">
        <v>11</v>
      </c>
      <c r="E3051" t="s">
        <v>180</v>
      </c>
      <c r="F3051">
        <v>2023</v>
      </c>
      <c r="G3051" t="s">
        <v>57</v>
      </c>
      <c r="H3051" s="42" t="s">
        <v>789</v>
      </c>
      <c r="J3051" t="s">
        <v>248</v>
      </c>
      <c r="L3051" s="34">
        <v>2</v>
      </c>
      <c r="M3051" s="38">
        <v>0.75</v>
      </c>
      <c r="N3051" s="38">
        <f t="shared" si="47"/>
        <v>1.5</v>
      </c>
    </row>
    <row r="3052" spans="1:14">
      <c r="A3052" s="29">
        <v>45322</v>
      </c>
      <c r="B3052" s="22" t="s">
        <v>57</v>
      </c>
      <c r="C3052" s="22" t="s">
        <v>13</v>
      </c>
      <c r="D3052" s="48" t="s">
        <v>11</v>
      </c>
      <c r="E3052" t="s">
        <v>210</v>
      </c>
      <c r="F3052">
        <v>2023</v>
      </c>
      <c r="G3052" t="s">
        <v>57</v>
      </c>
      <c r="H3052" s="42" t="s">
        <v>1345</v>
      </c>
      <c r="J3052" t="s">
        <v>248</v>
      </c>
      <c r="L3052" s="34">
        <v>3</v>
      </c>
      <c r="M3052" s="38">
        <v>0.75</v>
      </c>
      <c r="N3052" s="38">
        <f t="shared" si="47"/>
        <v>2.25</v>
      </c>
    </row>
    <row r="3053" spans="1:14">
      <c r="A3053" s="29">
        <v>45324</v>
      </c>
      <c r="B3053" s="22" t="s">
        <v>16</v>
      </c>
      <c r="C3053" s="22" t="s">
        <v>49</v>
      </c>
      <c r="D3053" s="48" t="s">
        <v>5</v>
      </c>
      <c r="E3053" t="s">
        <v>1346</v>
      </c>
      <c r="F3053">
        <v>2023</v>
      </c>
      <c r="G3053" t="s">
        <v>57</v>
      </c>
      <c r="H3053" s="42" t="s">
        <v>1347</v>
      </c>
      <c r="J3053" t="s">
        <v>248</v>
      </c>
      <c r="L3053" s="34">
        <v>3</v>
      </c>
      <c r="M3053" s="38">
        <v>0.75</v>
      </c>
      <c r="N3053" s="38">
        <f t="shared" si="47"/>
        <v>2.25</v>
      </c>
    </row>
    <row r="3054" spans="1:14">
      <c r="A3054" s="29">
        <v>45324</v>
      </c>
      <c r="B3054" s="22" t="s">
        <v>16</v>
      </c>
      <c r="C3054" s="22" t="s">
        <v>49</v>
      </c>
      <c r="D3054" s="48" t="s">
        <v>5</v>
      </c>
      <c r="E3054" t="s">
        <v>1174</v>
      </c>
      <c r="F3054">
        <v>2023</v>
      </c>
      <c r="G3054" t="s">
        <v>57</v>
      </c>
      <c r="H3054" s="42" t="s">
        <v>1348</v>
      </c>
      <c r="J3054" t="s">
        <v>248</v>
      </c>
      <c r="L3054" s="34">
        <v>3</v>
      </c>
      <c r="M3054" s="38">
        <v>0.75</v>
      </c>
      <c r="N3054" s="38">
        <f t="shared" si="47"/>
        <v>2.25</v>
      </c>
    </row>
    <row r="3055" spans="1:14">
      <c r="A3055" s="29">
        <v>45324</v>
      </c>
      <c r="B3055" s="22" t="s">
        <v>113</v>
      </c>
      <c r="C3055" s="22" t="s">
        <v>57</v>
      </c>
      <c r="D3055" s="48" t="s">
        <v>5</v>
      </c>
      <c r="E3055" t="s">
        <v>157</v>
      </c>
      <c r="F3055">
        <v>2023</v>
      </c>
      <c r="G3055" t="s">
        <v>257</v>
      </c>
      <c r="H3055" s="42" t="s">
        <v>57</v>
      </c>
      <c r="J3055" t="s">
        <v>248</v>
      </c>
      <c r="L3055" s="34">
        <v>3</v>
      </c>
      <c r="M3055" s="38">
        <v>0.75</v>
      </c>
      <c r="N3055" s="38">
        <f t="shared" si="47"/>
        <v>2.25</v>
      </c>
    </row>
    <row r="3056" spans="1:14">
      <c r="A3056" s="29">
        <v>45324</v>
      </c>
      <c r="B3056" s="22" t="s">
        <v>113</v>
      </c>
      <c r="C3056" s="22" t="s">
        <v>57</v>
      </c>
      <c r="D3056" s="48" t="s">
        <v>5</v>
      </c>
      <c r="E3056" t="s">
        <v>157</v>
      </c>
      <c r="F3056">
        <v>2023</v>
      </c>
      <c r="G3056" t="s">
        <v>251</v>
      </c>
      <c r="H3056" s="42" t="s">
        <v>1256</v>
      </c>
      <c r="J3056" t="s">
        <v>248</v>
      </c>
      <c r="L3056" s="34">
        <v>3</v>
      </c>
      <c r="M3056" s="38">
        <v>0.75</v>
      </c>
      <c r="N3056" s="38">
        <f t="shared" si="47"/>
        <v>2.25</v>
      </c>
    </row>
    <row r="3057" spans="1:14">
      <c r="A3057" s="29">
        <v>45324</v>
      </c>
      <c r="B3057" s="22" t="s">
        <v>113</v>
      </c>
      <c r="C3057" s="22" t="s">
        <v>57</v>
      </c>
      <c r="D3057" s="48" t="s">
        <v>5</v>
      </c>
      <c r="E3057" t="s">
        <v>157</v>
      </c>
      <c r="F3057">
        <v>2023</v>
      </c>
      <c r="G3057" t="s">
        <v>1349</v>
      </c>
      <c r="H3057" s="42" t="s">
        <v>1350</v>
      </c>
      <c r="J3057" t="s">
        <v>248</v>
      </c>
      <c r="L3057" s="34">
        <v>3</v>
      </c>
      <c r="M3057" s="38">
        <v>0.75</v>
      </c>
      <c r="N3057" s="38">
        <f t="shared" si="47"/>
        <v>2.25</v>
      </c>
    </row>
    <row r="3058" spans="1:14">
      <c r="A3058" s="29">
        <v>45324</v>
      </c>
      <c r="B3058" s="22" t="s">
        <v>113</v>
      </c>
      <c r="C3058" s="22" t="s">
        <v>57</v>
      </c>
      <c r="D3058" s="48" t="s">
        <v>5</v>
      </c>
      <c r="E3058" t="s">
        <v>262</v>
      </c>
      <c r="F3058">
        <v>2023</v>
      </c>
      <c r="G3058" t="s">
        <v>57</v>
      </c>
      <c r="H3058" s="42" t="s">
        <v>1291</v>
      </c>
      <c r="J3058" t="s">
        <v>248</v>
      </c>
      <c r="L3058" s="34">
        <v>3</v>
      </c>
      <c r="M3058" s="38">
        <v>0.75</v>
      </c>
      <c r="N3058" s="38">
        <f t="shared" ref="N3058:N3121" si="48">M3058*L3058</f>
        <v>2.25</v>
      </c>
    </row>
    <row r="3059" spans="1:14">
      <c r="A3059" s="29">
        <v>45327</v>
      </c>
      <c r="B3059" s="22" t="s">
        <v>79</v>
      </c>
      <c r="C3059" s="22" t="s">
        <v>57</v>
      </c>
      <c r="D3059" s="48" t="s">
        <v>5</v>
      </c>
      <c r="E3059" t="s">
        <v>255</v>
      </c>
      <c r="F3059">
        <v>2023</v>
      </c>
      <c r="G3059" t="s">
        <v>57</v>
      </c>
      <c r="H3059" s="42" t="s">
        <v>1287</v>
      </c>
      <c r="J3059" t="s">
        <v>248</v>
      </c>
      <c r="L3059" s="34">
        <v>2</v>
      </c>
      <c r="M3059" s="38">
        <v>0.75</v>
      </c>
      <c r="N3059" s="38">
        <f t="shared" si="48"/>
        <v>1.5</v>
      </c>
    </row>
    <row r="3060" spans="1:14">
      <c r="A3060" s="29">
        <v>45327</v>
      </c>
      <c r="B3060" s="22" t="s">
        <v>79</v>
      </c>
      <c r="C3060" s="22" t="s">
        <v>57</v>
      </c>
      <c r="D3060" s="48" t="s">
        <v>11</v>
      </c>
      <c r="E3060" t="s">
        <v>805</v>
      </c>
      <c r="F3060">
        <v>2023</v>
      </c>
      <c r="G3060" t="s">
        <v>57</v>
      </c>
      <c r="H3060" s="42" t="s">
        <v>1351</v>
      </c>
      <c r="J3060" t="s">
        <v>248</v>
      </c>
      <c r="L3060" s="34">
        <v>2</v>
      </c>
      <c r="M3060" s="38">
        <v>0.75</v>
      </c>
      <c r="N3060" s="38">
        <f t="shared" si="48"/>
        <v>1.5</v>
      </c>
    </row>
    <row r="3061" spans="1:14">
      <c r="A3061" s="29">
        <v>45327</v>
      </c>
      <c r="B3061" s="22" t="s">
        <v>79</v>
      </c>
      <c r="C3061" s="22" t="s">
        <v>57</v>
      </c>
      <c r="D3061" s="48" t="s">
        <v>11</v>
      </c>
      <c r="E3061" t="s">
        <v>805</v>
      </c>
      <c r="F3061">
        <v>2023</v>
      </c>
      <c r="G3061" t="s">
        <v>57</v>
      </c>
      <c r="H3061" s="42" t="s">
        <v>1352</v>
      </c>
      <c r="J3061" t="s">
        <v>248</v>
      </c>
      <c r="L3061" s="34">
        <v>2</v>
      </c>
      <c r="M3061" s="38">
        <v>0.75</v>
      </c>
      <c r="N3061" s="38">
        <f t="shared" si="48"/>
        <v>1.5</v>
      </c>
    </row>
    <row r="3062" spans="1:14">
      <c r="A3062" s="29">
        <v>45327</v>
      </c>
      <c r="B3062" s="22" t="s">
        <v>79</v>
      </c>
      <c r="C3062" s="22" t="s">
        <v>57</v>
      </c>
      <c r="D3062" s="48" t="s">
        <v>11</v>
      </c>
      <c r="E3062" t="s">
        <v>805</v>
      </c>
      <c r="F3062">
        <v>2023</v>
      </c>
      <c r="G3062" t="s">
        <v>57</v>
      </c>
      <c r="H3062" s="42" t="s">
        <v>1353</v>
      </c>
      <c r="J3062" t="s">
        <v>248</v>
      </c>
      <c r="L3062" s="34">
        <v>2</v>
      </c>
      <c r="M3062" s="38">
        <v>0.75</v>
      </c>
      <c r="N3062" s="38">
        <f t="shared" si="48"/>
        <v>1.5</v>
      </c>
    </row>
    <row r="3063" spans="1:14">
      <c r="A3063" s="29">
        <v>45327</v>
      </c>
      <c r="B3063" s="22" t="s">
        <v>79</v>
      </c>
      <c r="C3063" s="22" t="s">
        <v>57</v>
      </c>
      <c r="D3063" s="48" t="s">
        <v>11</v>
      </c>
      <c r="E3063" t="s">
        <v>805</v>
      </c>
      <c r="F3063">
        <v>2023</v>
      </c>
      <c r="G3063" t="s">
        <v>57</v>
      </c>
      <c r="H3063" s="42" t="s">
        <v>1354</v>
      </c>
      <c r="J3063" t="s">
        <v>248</v>
      </c>
      <c r="L3063" s="34">
        <v>2</v>
      </c>
      <c r="M3063" s="38">
        <v>0.75</v>
      </c>
      <c r="N3063" s="38">
        <f t="shared" si="48"/>
        <v>1.5</v>
      </c>
    </row>
    <row r="3064" spans="1:14">
      <c r="A3064" s="29">
        <v>45327</v>
      </c>
      <c r="B3064" s="22" t="s">
        <v>79</v>
      </c>
      <c r="C3064" s="22" t="s">
        <v>57</v>
      </c>
      <c r="D3064" s="48" t="s">
        <v>11</v>
      </c>
      <c r="E3064" t="s">
        <v>805</v>
      </c>
      <c r="F3064">
        <v>2023</v>
      </c>
      <c r="G3064" t="s">
        <v>57</v>
      </c>
      <c r="H3064" s="42" t="s">
        <v>1355</v>
      </c>
      <c r="J3064" t="s">
        <v>248</v>
      </c>
      <c r="L3064" s="34">
        <v>2</v>
      </c>
      <c r="M3064" s="38">
        <v>0.75</v>
      </c>
      <c r="N3064" s="38">
        <f t="shared" si="48"/>
        <v>1.5</v>
      </c>
    </row>
    <row r="3065" spans="1:14">
      <c r="A3065" s="29">
        <v>45327</v>
      </c>
      <c r="B3065" s="22" t="s">
        <v>96</v>
      </c>
      <c r="C3065" s="22" t="s">
        <v>57</v>
      </c>
      <c r="D3065" s="48" t="s">
        <v>5</v>
      </c>
      <c r="E3065" t="s">
        <v>157</v>
      </c>
      <c r="F3065">
        <v>2023</v>
      </c>
      <c r="G3065" t="s">
        <v>252</v>
      </c>
      <c r="H3065" s="42" t="s">
        <v>1303</v>
      </c>
      <c r="J3065" t="s">
        <v>248</v>
      </c>
      <c r="L3065" s="34">
        <v>2</v>
      </c>
      <c r="M3065" s="38">
        <v>0.75</v>
      </c>
      <c r="N3065" s="38">
        <f t="shared" si="48"/>
        <v>1.5</v>
      </c>
    </row>
    <row r="3066" spans="1:14">
      <c r="A3066" s="29">
        <v>45327</v>
      </c>
      <c r="B3066" s="22" t="s">
        <v>96</v>
      </c>
      <c r="C3066" s="22" t="s">
        <v>57</v>
      </c>
      <c r="D3066" s="48" t="s">
        <v>5</v>
      </c>
      <c r="E3066" t="s">
        <v>157</v>
      </c>
      <c r="F3066">
        <v>2023</v>
      </c>
      <c r="G3066" t="s">
        <v>253</v>
      </c>
      <c r="H3066" s="42" t="s">
        <v>1350</v>
      </c>
      <c r="J3066" t="s">
        <v>248</v>
      </c>
      <c r="L3066" s="34">
        <v>2</v>
      </c>
      <c r="M3066" s="38">
        <v>0.75</v>
      </c>
      <c r="N3066" s="38">
        <f t="shared" si="48"/>
        <v>1.5</v>
      </c>
    </row>
    <row r="3067" spans="1:14">
      <c r="A3067" s="29">
        <v>45327</v>
      </c>
      <c r="B3067" s="22" t="s">
        <v>96</v>
      </c>
      <c r="C3067" s="22" t="s">
        <v>57</v>
      </c>
      <c r="D3067" s="48" t="s">
        <v>5</v>
      </c>
      <c r="E3067" t="s">
        <v>159</v>
      </c>
      <c r="F3067">
        <v>2023</v>
      </c>
      <c r="G3067" t="s">
        <v>57</v>
      </c>
      <c r="H3067" s="42" t="s">
        <v>57</v>
      </c>
      <c r="J3067" t="s">
        <v>248</v>
      </c>
      <c r="K3067" t="s">
        <v>1265</v>
      </c>
      <c r="L3067" s="34">
        <v>2</v>
      </c>
      <c r="M3067" s="38">
        <v>0.75</v>
      </c>
      <c r="N3067" s="38">
        <f t="shared" si="48"/>
        <v>1.5</v>
      </c>
    </row>
    <row r="3068" spans="1:14">
      <c r="A3068" s="29">
        <v>45328</v>
      </c>
      <c r="B3068" s="22" t="s">
        <v>109</v>
      </c>
      <c r="C3068" s="22" t="s">
        <v>57</v>
      </c>
      <c r="D3068" s="48" t="s">
        <v>5</v>
      </c>
      <c r="E3068" t="s">
        <v>494</v>
      </c>
      <c r="F3068">
        <v>2023</v>
      </c>
      <c r="G3068" t="s">
        <v>57</v>
      </c>
      <c r="H3068" s="42" t="s">
        <v>748</v>
      </c>
      <c r="J3068" t="s">
        <v>248</v>
      </c>
      <c r="L3068" s="34">
        <v>3</v>
      </c>
      <c r="M3068" s="38">
        <v>0.75</v>
      </c>
      <c r="N3068" s="38">
        <f t="shared" si="48"/>
        <v>2.25</v>
      </c>
    </row>
    <row r="3069" spans="1:14">
      <c r="A3069" s="29">
        <v>45329</v>
      </c>
      <c r="B3069" s="22" t="s">
        <v>75</v>
      </c>
      <c r="C3069" s="22" t="s">
        <v>57</v>
      </c>
      <c r="D3069" s="48" t="s">
        <v>8</v>
      </c>
      <c r="E3069" t="s">
        <v>1130</v>
      </c>
      <c r="F3069">
        <v>2023</v>
      </c>
      <c r="G3069" t="s">
        <v>57</v>
      </c>
      <c r="H3069" s="42" t="s">
        <v>802</v>
      </c>
      <c r="J3069" t="s">
        <v>248</v>
      </c>
      <c r="L3069" s="34">
        <v>3</v>
      </c>
      <c r="M3069" s="38">
        <v>0.75</v>
      </c>
      <c r="N3069" s="38">
        <f t="shared" si="48"/>
        <v>2.25</v>
      </c>
    </row>
    <row r="3070" spans="1:14">
      <c r="A3070" s="29">
        <v>45330</v>
      </c>
      <c r="B3070" s="22" t="s">
        <v>109</v>
      </c>
      <c r="C3070" s="22" t="s">
        <v>57</v>
      </c>
      <c r="D3070" s="48" t="s">
        <v>5</v>
      </c>
      <c r="E3070" t="s">
        <v>503</v>
      </c>
      <c r="F3070">
        <v>2023</v>
      </c>
      <c r="G3070" t="s">
        <v>57</v>
      </c>
      <c r="H3070" s="42" t="s">
        <v>1356</v>
      </c>
      <c r="J3070" t="s">
        <v>248</v>
      </c>
      <c r="L3070" s="34">
        <v>5</v>
      </c>
      <c r="M3070" s="38">
        <v>0.75</v>
      </c>
      <c r="N3070" s="38">
        <f t="shared" si="48"/>
        <v>3.75</v>
      </c>
    </row>
    <row r="3071" spans="1:14">
      <c r="A3071" s="29">
        <v>45331</v>
      </c>
      <c r="B3071" s="22" t="s">
        <v>109</v>
      </c>
      <c r="C3071" s="22"/>
      <c r="D3071" s="48" t="s">
        <v>8</v>
      </c>
      <c r="E3071" t="s">
        <v>513</v>
      </c>
      <c r="F3071">
        <v>2023</v>
      </c>
      <c r="G3071" t="s">
        <v>57</v>
      </c>
      <c r="H3071" s="42" t="s">
        <v>1357</v>
      </c>
      <c r="J3071" t="s">
        <v>248</v>
      </c>
      <c r="K3071" t="s">
        <v>1358</v>
      </c>
      <c r="L3071" s="34">
        <v>3</v>
      </c>
      <c r="M3071" s="38">
        <v>0.75</v>
      </c>
      <c r="N3071" s="38">
        <f t="shared" si="48"/>
        <v>2.25</v>
      </c>
    </row>
    <row r="3072" spans="1:14">
      <c r="A3072" s="29">
        <v>45331</v>
      </c>
      <c r="B3072" s="22" t="s">
        <v>79</v>
      </c>
      <c r="C3072" s="22" t="s">
        <v>57</v>
      </c>
      <c r="D3072" s="48" t="s">
        <v>11</v>
      </c>
      <c r="E3072" t="s">
        <v>179</v>
      </c>
      <c r="F3072">
        <v>2023</v>
      </c>
      <c r="G3072" t="s">
        <v>57</v>
      </c>
      <c r="H3072" s="42" t="s">
        <v>1312</v>
      </c>
      <c r="J3072" t="s">
        <v>248</v>
      </c>
      <c r="L3072" s="34">
        <v>5</v>
      </c>
      <c r="M3072" s="38">
        <v>0.75</v>
      </c>
      <c r="N3072" s="38">
        <f t="shared" si="48"/>
        <v>3.75</v>
      </c>
    </row>
    <row r="3073" spans="1:14">
      <c r="A3073" s="29">
        <v>45331</v>
      </c>
      <c r="B3073" s="22" t="s">
        <v>79</v>
      </c>
      <c r="C3073" s="22" t="s">
        <v>57</v>
      </c>
      <c r="D3073" s="48" t="s">
        <v>11</v>
      </c>
      <c r="E3073" t="s">
        <v>1359</v>
      </c>
      <c r="F3073">
        <v>2023</v>
      </c>
      <c r="G3073" t="s">
        <v>57</v>
      </c>
      <c r="H3073" s="42" t="s">
        <v>1345</v>
      </c>
      <c r="J3073" t="s">
        <v>248</v>
      </c>
      <c r="L3073" s="34">
        <v>5</v>
      </c>
      <c r="M3073" s="38">
        <v>0.75</v>
      </c>
      <c r="N3073" s="38">
        <f t="shared" si="48"/>
        <v>3.75</v>
      </c>
    </row>
    <row r="3074" spans="1:14">
      <c r="A3074" s="29">
        <v>45331</v>
      </c>
      <c r="B3074" s="22" t="s">
        <v>79</v>
      </c>
      <c r="C3074" s="22" t="s">
        <v>57</v>
      </c>
      <c r="D3074" s="48" t="s">
        <v>11</v>
      </c>
      <c r="E3074" t="s">
        <v>1359</v>
      </c>
      <c r="F3074">
        <v>2023</v>
      </c>
      <c r="G3074" t="s">
        <v>57</v>
      </c>
      <c r="H3074" s="42" t="s">
        <v>1325</v>
      </c>
      <c r="J3074" t="s">
        <v>248</v>
      </c>
      <c r="L3074" s="34">
        <v>5</v>
      </c>
      <c r="M3074" s="38">
        <v>0.75</v>
      </c>
      <c r="N3074" s="38">
        <f t="shared" si="48"/>
        <v>3.75</v>
      </c>
    </row>
    <row r="3075" spans="1:14">
      <c r="A3075" s="29">
        <v>45331</v>
      </c>
      <c r="B3075" s="22" t="s">
        <v>79</v>
      </c>
      <c r="C3075" s="22" t="s">
        <v>57</v>
      </c>
      <c r="D3075" s="48" t="s">
        <v>11</v>
      </c>
      <c r="E3075" t="s">
        <v>180</v>
      </c>
      <c r="F3075">
        <v>2023</v>
      </c>
      <c r="G3075" t="s">
        <v>57</v>
      </c>
      <c r="H3075" s="42" t="s">
        <v>1360</v>
      </c>
      <c r="J3075" t="s">
        <v>248</v>
      </c>
      <c r="L3075" s="34">
        <v>5</v>
      </c>
      <c r="M3075" s="38">
        <v>0.75</v>
      </c>
      <c r="N3075" s="38">
        <f t="shared" si="48"/>
        <v>3.75</v>
      </c>
    </row>
    <row r="3076" spans="1:14">
      <c r="A3076" s="29">
        <v>45331</v>
      </c>
      <c r="B3076" s="22" t="s">
        <v>1361</v>
      </c>
      <c r="C3076" s="22" t="s">
        <v>57</v>
      </c>
      <c r="D3076" s="48" t="s">
        <v>5</v>
      </c>
      <c r="E3076" t="s">
        <v>159</v>
      </c>
      <c r="F3076">
        <v>2023</v>
      </c>
      <c r="G3076" t="s">
        <v>252</v>
      </c>
      <c r="H3076" s="42" t="s">
        <v>1317</v>
      </c>
      <c r="J3076" t="s">
        <v>248</v>
      </c>
      <c r="L3076" s="34">
        <v>3</v>
      </c>
      <c r="M3076" s="38">
        <v>0.75</v>
      </c>
      <c r="N3076" s="38">
        <f t="shared" si="48"/>
        <v>2.25</v>
      </c>
    </row>
    <row r="3077" spans="1:14">
      <c r="A3077" s="29">
        <v>45334</v>
      </c>
      <c r="B3077" s="22" t="s">
        <v>1043</v>
      </c>
      <c r="C3077" s="22" t="s">
        <v>57</v>
      </c>
      <c r="D3077" s="48" t="s">
        <v>5</v>
      </c>
      <c r="E3077" t="s">
        <v>157</v>
      </c>
      <c r="F3077">
        <v>2023</v>
      </c>
      <c r="G3077" t="s">
        <v>263</v>
      </c>
      <c r="H3077" s="42" t="s">
        <v>57</v>
      </c>
      <c r="J3077" t="s">
        <v>248</v>
      </c>
      <c r="K3077" t="s">
        <v>1362</v>
      </c>
      <c r="L3077" s="34">
        <v>2</v>
      </c>
      <c r="M3077" s="38">
        <v>0.75</v>
      </c>
      <c r="N3077" s="38">
        <f t="shared" si="48"/>
        <v>1.5</v>
      </c>
    </row>
    <row r="3078" spans="1:14">
      <c r="A3078" s="29">
        <v>45334</v>
      </c>
      <c r="B3078" s="22" t="s">
        <v>1043</v>
      </c>
      <c r="C3078" s="22" t="s">
        <v>57</v>
      </c>
      <c r="D3078" s="48" t="s">
        <v>5</v>
      </c>
      <c r="E3078" t="s">
        <v>157</v>
      </c>
      <c r="F3078">
        <v>2023</v>
      </c>
      <c r="G3078" t="s">
        <v>600</v>
      </c>
      <c r="H3078" s="42" t="s">
        <v>57</v>
      </c>
      <c r="J3078" t="s">
        <v>248</v>
      </c>
      <c r="K3078" t="s">
        <v>1363</v>
      </c>
      <c r="L3078" s="34">
        <v>2</v>
      </c>
      <c r="M3078" s="38">
        <v>0.75</v>
      </c>
      <c r="N3078" s="38">
        <f t="shared" si="48"/>
        <v>1.5</v>
      </c>
    </row>
    <row r="3079" spans="1:14">
      <c r="A3079" s="29">
        <v>45334</v>
      </c>
      <c r="B3079" s="22" t="s">
        <v>1043</v>
      </c>
      <c r="C3079" s="22" t="s">
        <v>57</v>
      </c>
      <c r="D3079" s="48" t="s">
        <v>8</v>
      </c>
      <c r="E3079" t="s">
        <v>178</v>
      </c>
      <c r="F3079">
        <v>2023</v>
      </c>
      <c r="G3079" t="s">
        <v>263</v>
      </c>
      <c r="H3079" s="42" t="s">
        <v>1027</v>
      </c>
      <c r="J3079" t="s">
        <v>248</v>
      </c>
      <c r="K3079" t="s">
        <v>1364</v>
      </c>
      <c r="L3079" s="34">
        <v>2</v>
      </c>
      <c r="M3079" s="38">
        <v>0.75</v>
      </c>
      <c r="N3079" s="38">
        <f t="shared" si="48"/>
        <v>1.5</v>
      </c>
    </row>
    <row r="3080" spans="1:14">
      <c r="A3080" s="29">
        <v>45338</v>
      </c>
      <c r="B3080" s="22" t="s">
        <v>63</v>
      </c>
      <c r="C3080" s="22" t="s">
        <v>57</v>
      </c>
      <c r="D3080" s="48" t="s">
        <v>5</v>
      </c>
      <c r="E3080" t="s">
        <v>157</v>
      </c>
      <c r="F3080">
        <v>2023</v>
      </c>
      <c r="G3080" t="s">
        <v>507</v>
      </c>
      <c r="H3080" s="42" t="s">
        <v>1259</v>
      </c>
      <c r="J3080" t="s">
        <v>248</v>
      </c>
      <c r="L3080" s="34">
        <v>3</v>
      </c>
      <c r="M3080" s="38">
        <v>0.75</v>
      </c>
      <c r="N3080" s="38">
        <f t="shared" si="48"/>
        <v>2.25</v>
      </c>
    </row>
    <row r="3081" spans="1:14">
      <c r="A3081" s="29">
        <v>45338</v>
      </c>
      <c r="B3081" s="22" t="s">
        <v>63</v>
      </c>
      <c r="C3081" s="22" t="s">
        <v>57</v>
      </c>
      <c r="D3081" s="48" t="s">
        <v>5</v>
      </c>
      <c r="E3081" t="s">
        <v>157</v>
      </c>
      <c r="F3081">
        <v>2023</v>
      </c>
      <c r="G3081" t="s">
        <v>1349</v>
      </c>
      <c r="H3081" s="42" t="s">
        <v>1350</v>
      </c>
      <c r="J3081" t="s">
        <v>248</v>
      </c>
      <c r="L3081" s="34">
        <v>3</v>
      </c>
      <c r="M3081" s="38">
        <v>0.75</v>
      </c>
      <c r="N3081" s="38">
        <f t="shared" si="48"/>
        <v>2.25</v>
      </c>
    </row>
    <row r="3082" spans="1:14">
      <c r="A3082" s="29">
        <v>45341</v>
      </c>
      <c r="B3082" s="22" t="s">
        <v>63</v>
      </c>
      <c r="C3082" s="22" t="s">
        <v>57</v>
      </c>
      <c r="D3082" s="48" t="s">
        <v>5</v>
      </c>
      <c r="E3082" t="s">
        <v>255</v>
      </c>
      <c r="F3082">
        <v>2023</v>
      </c>
      <c r="G3082" t="s">
        <v>873</v>
      </c>
      <c r="H3082" s="42" t="s">
        <v>1287</v>
      </c>
      <c r="J3082" t="s">
        <v>248</v>
      </c>
      <c r="L3082" s="34">
        <v>3</v>
      </c>
      <c r="M3082" s="38">
        <v>0.75</v>
      </c>
      <c r="N3082" s="38">
        <f t="shared" si="48"/>
        <v>2.25</v>
      </c>
    </row>
    <row r="3083" spans="1:14">
      <c r="A3083" s="29">
        <v>45341</v>
      </c>
      <c r="B3083" s="22" t="s">
        <v>3</v>
      </c>
      <c r="C3083" s="22" t="s">
        <v>57</v>
      </c>
      <c r="D3083" s="48" t="s">
        <v>5</v>
      </c>
      <c r="E3083" t="s">
        <v>157</v>
      </c>
      <c r="F3083">
        <v>2023</v>
      </c>
      <c r="G3083" t="s">
        <v>253</v>
      </c>
      <c r="H3083" s="42" t="s">
        <v>1350</v>
      </c>
      <c r="J3083" t="s">
        <v>248</v>
      </c>
      <c r="L3083" s="34">
        <v>2</v>
      </c>
      <c r="M3083" s="38">
        <v>0.75</v>
      </c>
      <c r="N3083" s="38">
        <f t="shared" si="48"/>
        <v>1.5</v>
      </c>
    </row>
    <row r="3084" spans="1:14">
      <c r="A3084" s="29">
        <v>45341</v>
      </c>
      <c r="B3084" s="22" t="s">
        <v>3</v>
      </c>
      <c r="C3084" s="22" t="s">
        <v>57</v>
      </c>
      <c r="D3084" s="48" t="s">
        <v>5</v>
      </c>
      <c r="E3084" t="s">
        <v>157</v>
      </c>
      <c r="F3084">
        <v>2023</v>
      </c>
      <c r="G3084" t="s">
        <v>251</v>
      </c>
      <c r="H3084" s="42" t="s">
        <v>1256</v>
      </c>
      <c r="J3084" t="s">
        <v>248</v>
      </c>
      <c r="L3084" s="34">
        <v>2</v>
      </c>
      <c r="M3084" s="38">
        <v>0.75</v>
      </c>
      <c r="N3084" s="38">
        <f t="shared" si="48"/>
        <v>1.5</v>
      </c>
    </row>
    <row r="3085" spans="1:14">
      <c r="A3085" s="29">
        <v>45343</v>
      </c>
      <c r="B3085" s="22" t="s">
        <v>109</v>
      </c>
      <c r="C3085" s="22" t="s">
        <v>57</v>
      </c>
      <c r="D3085" s="48" t="s">
        <v>5</v>
      </c>
      <c r="E3085" t="s">
        <v>503</v>
      </c>
      <c r="F3085">
        <v>2023</v>
      </c>
      <c r="G3085" t="s">
        <v>873</v>
      </c>
      <c r="H3085" s="42" t="s">
        <v>1365</v>
      </c>
      <c r="J3085" t="s">
        <v>248</v>
      </c>
      <c r="K3085" t="s">
        <v>963</v>
      </c>
      <c r="L3085" s="34">
        <v>12</v>
      </c>
      <c r="M3085" s="38">
        <v>0.75</v>
      </c>
      <c r="N3085" s="38">
        <f t="shared" si="48"/>
        <v>9</v>
      </c>
    </row>
    <row r="3086" spans="1:14">
      <c r="A3086" s="29">
        <v>45343</v>
      </c>
      <c r="B3086" s="22" t="s">
        <v>63</v>
      </c>
      <c r="C3086" s="22" t="s">
        <v>57</v>
      </c>
      <c r="D3086" s="48" t="s">
        <v>5</v>
      </c>
      <c r="E3086" t="s">
        <v>159</v>
      </c>
      <c r="F3086">
        <v>2023</v>
      </c>
      <c r="G3086" t="s">
        <v>253</v>
      </c>
      <c r="H3086" s="42" t="s">
        <v>1233</v>
      </c>
      <c r="J3086" t="s">
        <v>248</v>
      </c>
      <c r="L3086" s="34">
        <v>3</v>
      </c>
      <c r="M3086" s="38">
        <v>0.75</v>
      </c>
      <c r="N3086" s="38">
        <f t="shared" si="48"/>
        <v>2.25</v>
      </c>
    </row>
    <row r="3087" spans="1:14">
      <c r="A3087" s="29">
        <v>45343</v>
      </c>
      <c r="B3087" s="22" t="s">
        <v>63</v>
      </c>
      <c r="C3087" s="22" t="s">
        <v>57</v>
      </c>
      <c r="D3087" s="48" t="s">
        <v>5</v>
      </c>
      <c r="E3087" t="s">
        <v>157</v>
      </c>
      <c r="F3087">
        <v>2023</v>
      </c>
      <c r="G3087" t="s">
        <v>1318</v>
      </c>
      <c r="H3087" s="42" t="s">
        <v>1259</v>
      </c>
      <c r="J3087" t="s">
        <v>248</v>
      </c>
      <c r="L3087" s="34">
        <v>3</v>
      </c>
      <c r="M3087" s="38">
        <v>0.75</v>
      </c>
      <c r="N3087" s="38">
        <f t="shared" si="48"/>
        <v>2.25</v>
      </c>
    </row>
    <row r="3088" spans="1:14">
      <c r="A3088" s="29">
        <v>45343</v>
      </c>
      <c r="B3088" s="22" t="s">
        <v>63</v>
      </c>
      <c r="C3088" s="22" t="s">
        <v>57</v>
      </c>
      <c r="D3088" s="48" t="s">
        <v>11</v>
      </c>
      <c r="E3088" t="s">
        <v>180</v>
      </c>
      <c r="F3088">
        <v>2023</v>
      </c>
      <c r="G3088" t="s">
        <v>1366</v>
      </c>
      <c r="H3088" s="42" t="s">
        <v>1367</v>
      </c>
      <c r="J3088" t="s">
        <v>248</v>
      </c>
      <c r="L3088" s="34">
        <v>2</v>
      </c>
      <c r="M3088" s="38">
        <v>0.75</v>
      </c>
      <c r="N3088" s="38">
        <f t="shared" si="48"/>
        <v>1.5</v>
      </c>
    </row>
    <row r="3089" spans="1:14">
      <c r="A3089" s="29">
        <v>45343</v>
      </c>
      <c r="B3089" s="22" t="s">
        <v>63</v>
      </c>
      <c r="C3089" s="22" t="s">
        <v>57</v>
      </c>
      <c r="D3089" s="48" t="s">
        <v>8</v>
      </c>
      <c r="E3089" t="s">
        <v>1137</v>
      </c>
      <c r="F3089">
        <v>2023</v>
      </c>
      <c r="G3089" t="s">
        <v>57</v>
      </c>
      <c r="H3089" s="42" t="s">
        <v>1357</v>
      </c>
      <c r="J3089" t="s">
        <v>248</v>
      </c>
      <c r="L3089" s="34">
        <v>2</v>
      </c>
      <c r="M3089" s="38">
        <v>0.75</v>
      </c>
      <c r="N3089" s="38">
        <f t="shared" si="48"/>
        <v>1.5</v>
      </c>
    </row>
    <row r="3090" spans="1:14">
      <c r="A3090" s="29">
        <v>45344</v>
      </c>
      <c r="B3090" s="22" t="s">
        <v>79</v>
      </c>
      <c r="C3090" s="22" t="s">
        <v>57</v>
      </c>
      <c r="D3090" s="48" t="s">
        <v>5</v>
      </c>
      <c r="E3090" t="s">
        <v>159</v>
      </c>
      <c r="F3090">
        <v>2023</v>
      </c>
      <c r="G3090" t="s">
        <v>253</v>
      </c>
      <c r="H3090" s="42" t="s">
        <v>1233</v>
      </c>
      <c r="J3090" t="s">
        <v>248</v>
      </c>
      <c r="L3090" s="34">
        <v>4</v>
      </c>
      <c r="M3090" s="38">
        <v>0.75</v>
      </c>
      <c r="N3090" s="38">
        <f t="shared" si="48"/>
        <v>3</v>
      </c>
    </row>
    <row r="3091" spans="1:14">
      <c r="A3091" s="29">
        <v>45344</v>
      </c>
      <c r="B3091" s="22" t="s">
        <v>79</v>
      </c>
      <c r="C3091" s="22" t="s">
        <v>57</v>
      </c>
      <c r="D3091" s="48" t="s">
        <v>5</v>
      </c>
      <c r="E3091" t="s">
        <v>159</v>
      </c>
      <c r="F3091">
        <v>2023</v>
      </c>
      <c r="G3091" t="s">
        <v>252</v>
      </c>
      <c r="H3091" s="42" t="s">
        <v>1237</v>
      </c>
      <c r="J3091" t="s">
        <v>248</v>
      </c>
      <c r="L3091" s="34">
        <v>4</v>
      </c>
      <c r="M3091" s="38">
        <v>0.75</v>
      </c>
      <c r="N3091" s="38">
        <f t="shared" si="48"/>
        <v>3</v>
      </c>
    </row>
    <row r="3092" spans="1:14">
      <c r="A3092" s="29">
        <v>45350</v>
      </c>
      <c r="B3092" s="22" t="s">
        <v>16</v>
      </c>
      <c r="C3092" s="22" t="s">
        <v>49</v>
      </c>
      <c r="D3092" s="48" t="s">
        <v>14</v>
      </c>
      <c r="E3092" t="s">
        <v>14</v>
      </c>
      <c r="F3092">
        <v>2023</v>
      </c>
      <c r="G3092" t="s">
        <v>57</v>
      </c>
      <c r="H3092" s="42" t="s">
        <v>1260</v>
      </c>
      <c r="J3092" t="s">
        <v>248</v>
      </c>
      <c r="L3092" s="34">
        <v>3</v>
      </c>
      <c r="M3092" s="38">
        <v>0.75</v>
      </c>
      <c r="N3092" s="38">
        <f t="shared" si="48"/>
        <v>2.25</v>
      </c>
    </row>
    <row r="3093" spans="1:14">
      <c r="A3093" s="29">
        <v>45350</v>
      </c>
      <c r="B3093" s="22" t="s">
        <v>16</v>
      </c>
      <c r="C3093" s="22" t="s">
        <v>49</v>
      </c>
      <c r="D3093" s="48" t="s">
        <v>5</v>
      </c>
      <c r="E3093" t="s">
        <v>1368</v>
      </c>
      <c r="F3093">
        <v>2023</v>
      </c>
      <c r="G3093" t="s">
        <v>57</v>
      </c>
      <c r="H3093" s="42" t="s">
        <v>1369</v>
      </c>
      <c r="J3093" t="s">
        <v>248</v>
      </c>
      <c r="L3093" s="34">
        <v>3</v>
      </c>
      <c r="M3093" s="38">
        <v>0.75</v>
      </c>
      <c r="N3093" s="38">
        <f t="shared" si="48"/>
        <v>2.25</v>
      </c>
    </row>
    <row r="3094" spans="1:14">
      <c r="A3094" s="29">
        <v>45350</v>
      </c>
      <c r="B3094" s="22" t="s">
        <v>16</v>
      </c>
      <c r="C3094" s="22" t="s">
        <v>49</v>
      </c>
      <c r="D3094" s="48" t="s">
        <v>5</v>
      </c>
      <c r="E3094" t="s">
        <v>1370</v>
      </c>
      <c r="F3094">
        <v>2023</v>
      </c>
      <c r="G3094" t="s">
        <v>618</v>
      </c>
      <c r="H3094" s="42" t="s">
        <v>1371</v>
      </c>
      <c r="J3094" t="s">
        <v>248</v>
      </c>
      <c r="L3094" s="34">
        <v>3</v>
      </c>
      <c r="M3094" s="38">
        <v>0.75</v>
      </c>
      <c r="N3094" s="38">
        <f t="shared" si="48"/>
        <v>2.25</v>
      </c>
    </row>
    <row r="3095" spans="1:14">
      <c r="A3095" s="29">
        <v>45350</v>
      </c>
      <c r="B3095" s="22" t="s">
        <v>16</v>
      </c>
      <c r="C3095" s="22" t="s">
        <v>49</v>
      </c>
      <c r="D3095" s="48" t="s">
        <v>5</v>
      </c>
      <c r="E3095" t="s">
        <v>159</v>
      </c>
      <c r="F3095">
        <v>2023</v>
      </c>
      <c r="G3095" t="s">
        <v>251</v>
      </c>
      <c r="H3095" s="42" t="s">
        <v>1372</v>
      </c>
      <c r="J3095" t="s">
        <v>248</v>
      </c>
      <c r="L3095" s="34">
        <v>3</v>
      </c>
      <c r="M3095" s="38">
        <v>0.75</v>
      </c>
      <c r="N3095" s="38">
        <f t="shared" si="48"/>
        <v>2.25</v>
      </c>
    </row>
    <row r="3096" spans="1:14">
      <c r="A3096" s="29">
        <v>45350</v>
      </c>
      <c r="B3096" s="22" t="s">
        <v>16</v>
      </c>
      <c r="C3096" s="22" t="s">
        <v>49</v>
      </c>
      <c r="D3096" s="48" t="s">
        <v>8</v>
      </c>
      <c r="E3096" t="s">
        <v>57</v>
      </c>
      <c r="F3096">
        <v>2023</v>
      </c>
      <c r="G3096" t="s">
        <v>1130</v>
      </c>
      <c r="H3096" s="42" t="s">
        <v>1373</v>
      </c>
      <c r="J3096" t="s">
        <v>248</v>
      </c>
      <c r="L3096" s="34">
        <v>3</v>
      </c>
      <c r="M3096" s="38">
        <v>0.75</v>
      </c>
      <c r="N3096" s="38">
        <f t="shared" si="48"/>
        <v>2.25</v>
      </c>
    </row>
    <row r="3097" spans="1:14">
      <c r="A3097" s="29">
        <v>45350</v>
      </c>
      <c r="B3097" s="22" t="s">
        <v>16</v>
      </c>
      <c r="C3097" s="22" t="s">
        <v>49</v>
      </c>
      <c r="D3097" s="48" t="s">
        <v>8</v>
      </c>
      <c r="E3097" t="s">
        <v>178</v>
      </c>
      <c r="F3097">
        <v>2023</v>
      </c>
      <c r="G3097" t="s">
        <v>618</v>
      </c>
      <c r="H3097" s="42" t="s">
        <v>1374</v>
      </c>
      <c r="J3097" t="s">
        <v>248</v>
      </c>
      <c r="L3097" s="34">
        <v>3</v>
      </c>
      <c r="M3097" s="38">
        <v>0.75</v>
      </c>
      <c r="N3097" s="38">
        <f t="shared" si="48"/>
        <v>2.25</v>
      </c>
    </row>
    <row r="3098" spans="1:14">
      <c r="A3098" s="29">
        <v>45350</v>
      </c>
      <c r="B3098" s="22" t="s">
        <v>16</v>
      </c>
      <c r="C3098" s="22" t="s">
        <v>49</v>
      </c>
      <c r="D3098" s="48" t="s">
        <v>8</v>
      </c>
      <c r="E3098" t="s">
        <v>179</v>
      </c>
      <c r="F3098">
        <v>2023</v>
      </c>
      <c r="G3098" t="s">
        <v>618</v>
      </c>
      <c r="H3098" s="42" t="s">
        <v>1375</v>
      </c>
      <c r="J3098" t="s">
        <v>248</v>
      </c>
      <c r="L3098" s="34">
        <v>3</v>
      </c>
      <c r="M3098" s="38">
        <v>0.75</v>
      </c>
      <c r="N3098" s="38">
        <f t="shared" si="48"/>
        <v>2.25</v>
      </c>
    </row>
    <row r="3099" spans="1:14">
      <c r="A3099" s="29">
        <v>45350</v>
      </c>
      <c r="B3099" s="22" t="s">
        <v>16</v>
      </c>
      <c r="C3099" s="22" t="s">
        <v>49</v>
      </c>
      <c r="D3099" s="48" t="s">
        <v>8</v>
      </c>
      <c r="E3099" t="s">
        <v>182</v>
      </c>
      <c r="F3099">
        <v>2023</v>
      </c>
      <c r="G3099" t="s">
        <v>618</v>
      </c>
      <c r="H3099" s="42" t="s">
        <v>1357</v>
      </c>
      <c r="J3099" t="s">
        <v>248</v>
      </c>
      <c r="L3099" s="34">
        <v>3</v>
      </c>
      <c r="M3099" s="38">
        <v>0.75</v>
      </c>
      <c r="N3099" s="38">
        <f t="shared" si="48"/>
        <v>2.25</v>
      </c>
    </row>
    <row r="3100" spans="1:14">
      <c r="A3100" s="29">
        <v>45356</v>
      </c>
      <c r="B3100" s="22" t="s">
        <v>57</v>
      </c>
      <c r="C3100" s="22" t="s">
        <v>32</v>
      </c>
      <c r="D3100" s="48" t="s">
        <v>8</v>
      </c>
      <c r="E3100" t="s">
        <v>178</v>
      </c>
      <c r="F3100">
        <v>2023</v>
      </c>
      <c r="G3100" t="s">
        <v>618</v>
      </c>
      <c r="H3100" s="42" t="s">
        <v>1374</v>
      </c>
      <c r="J3100" t="s">
        <v>248</v>
      </c>
      <c r="K3100" s="8">
        <v>0.01</v>
      </c>
      <c r="L3100" s="34">
        <v>2</v>
      </c>
      <c r="M3100" s="38">
        <v>0.75</v>
      </c>
      <c r="N3100" s="38">
        <f t="shared" si="48"/>
        <v>1.5</v>
      </c>
    </row>
    <row r="3101" spans="1:14">
      <c r="A3101" s="29">
        <v>45356</v>
      </c>
      <c r="B3101" s="22" t="s">
        <v>57</v>
      </c>
      <c r="C3101" s="22" t="s">
        <v>32</v>
      </c>
      <c r="D3101" s="48" t="s">
        <v>8</v>
      </c>
      <c r="E3101" t="s">
        <v>1376</v>
      </c>
      <c r="F3101">
        <v>2023</v>
      </c>
      <c r="G3101" t="s">
        <v>618</v>
      </c>
      <c r="H3101" s="42" t="s">
        <v>1357</v>
      </c>
      <c r="J3101" t="s">
        <v>248</v>
      </c>
      <c r="K3101" s="8" t="s">
        <v>1377</v>
      </c>
      <c r="L3101" s="34">
        <v>2</v>
      </c>
      <c r="M3101" s="38">
        <v>0.75</v>
      </c>
      <c r="N3101" s="38">
        <f t="shared" si="48"/>
        <v>1.5</v>
      </c>
    </row>
    <row r="3102" spans="1:14">
      <c r="A3102" s="29">
        <v>45357</v>
      </c>
      <c r="B3102" s="22" t="s">
        <v>17</v>
      </c>
      <c r="C3102" s="22" t="s">
        <v>57</v>
      </c>
      <c r="D3102" s="48" t="s">
        <v>8</v>
      </c>
      <c r="E3102" t="s">
        <v>180</v>
      </c>
      <c r="F3102">
        <v>2023</v>
      </c>
      <c r="G3102" t="s">
        <v>618</v>
      </c>
      <c r="H3102" s="42" t="s">
        <v>1378</v>
      </c>
      <c r="J3102" t="s">
        <v>248</v>
      </c>
      <c r="L3102" s="34">
        <v>2</v>
      </c>
      <c r="M3102" s="38">
        <v>0.75</v>
      </c>
      <c r="N3102" s="38">
        <f t="shared" si="48"/>
        <v>1.5</v>
      </c>
    </row>
    <row r="3103" spans="1:14">
      <c r="A3103" s="29">
        <v>45357</v>
      </c>
      <c r="B3103" s="22" t="s">
        <v>17</v>
      </c>
      <c r="C3103" s="22" t="s">
        <v>57</v>
      </c>
      <c r="D3103" s="48" t="s">
        <v>8</v>
      </c>
      <c r="E3103" t="s">
        <v>1376</v>
      </c>
      <c r="F3103">
        <v>2023</v>
      </c>
      <c r="G3103" t="s">
        <v>618</v>
      </c>
      <c r="H3103" s="42" t="s">
        <v>1357</v>
      </c>
      <c r="J3103" t="s">
        <v>248</v>
      </c>
      <c r="K3103" s="8" t="s">
        <v>1136</v>
      </c>
      <c r="L3103" s="34">
        <v>2</v>
      </c>
      <c r="M3103" s="38">
        <v>0.75</v>
      </c>
      <c r="N3103" s="38">
        <f t="shared" si="48"/>
        <v>1.5</v>
      </c>
    </row>
    <row r="3104" spans="1:14">
      <c r="A3104" s="29">
        <v>45357</v>
      </c>
      <c r="B3104" s="22" t="s">
        <v>17</v>
      </c>
      <c r="C3104" s="22" t="s">
        <v>57</v>
      </c>
      <c r="D3104" s="48" t="s">
        <v>8</v>
      </c>
      <c r="E3104" t="s">
        <v>191</v>
      </c>
      <c r="F3104">
        <v>2023</v>
      </c>
      <c r="G3104" t="s">
        <v>618</v>
      </c>
      <c r="H3104" s="42" t="s">
        <v>1375</v>
      </c>
      <c r="J3104" t="s">
        <v>248</v>
      </c>
      <c r="K3104" t="s">
        <v>1136</v>
      </c>
      <c r="L3104" s="34">
        <v>2</v>
      </c>
      <c r="M3104" s="38">
        <v>0.75</v>
      </c>
      <c r="N3104" s="38">
        <f t="shared" si="48"/>
        <v>1.5</v>
      </c>
    </row>
    <row r="3105" spans="1:14">
      <c r="A3105" s="29">
        <v>45362</v>
      </c>
      <c r="B3105" s="22" t="s">
        <v>63</v>
      </c>
      <c r="C3105" s="22" t="s">
        <v>57</v>
      </c>
      <c r="D3105" s="48" t="s">
        <v>5</v>
      </c>
      <c r="E3105" t="s">
        <v>159</v>
      </c>
      <c r="F3105">
        <v>2023</v>
      </c>
      <c r="G3105" t="s">
        <v>253</v>
      </c>
      <c r="H3105" s="42" t="s">
        <v>1233</v>
      </c>
      <c r="J3105" t="s">
        <v>248</v>
      </c>
      <c r="L3105" s="34">
        <v>2</v>
      </c>
      <c r="M3105" s="38">
        <v>0.75</v>
      </c>
      <c r="N3105" s="38">
        <f t="shared" si="48"/>
        <v>1.5</v>
      </c>
    </row>
    <row r="3106" spans="1:14">
      <c r="A3106" s="29">
        <v>45362</v>
      </c>
      <c r="B3106" s="22" t="s">
        <v>63</v>
      </c>
      <c r="C3106" s="22" t="s">
        <v>57</v>
      </c>
      <c r="D3106" s="48" t="s">
        <v>8</v>
      </c>
      <c r="E3106" t="s">
        <v>179</v>
      </c>
      <c r="F3106">
        <v>2023</v>
      </c>
      <c r="G3106" t="s">
        <v>618</v>
      </c>
      <c r="H3106" s="42" t="s">
        <v>1375</v>
      </c>
      <c r="J3106" t="s">
        <v>248</v>
      </c>
      <c r="K3106" t="s">
        <v>1379</v>
      </c>
      <c r="L3106" s="34">
        <v>1</v>
      </c>
      <c r="M3106" s="38">
        <v>0.75</v>
      </c>
      <c r="N3106" s="38">
        <f t="shared" si="48"/>
        <v>0.75</v>
      </c>
    </row>
    <row r="3107" spans="1:14">
      <c r="A3107" s="29">
        <v>45362</v>
      </c>
      <c r="B3107" s="22" t="s">
        <v>63</v>
      </c>
      <c r="C3107" s="22" t="s">
        <v>57</v>
      </c>
      <c r="D3107" s="48" t="s">
        <v>8</v>
      </c>
      <c r="E3107" t="s">
        <v>513</v>
      </c>
      <c r="F3107">
        <v>2023</v>
      </c>
      <c r="G3107" t="s">
        <v>1293</v>
      </c>
      <c r="H3107" s="42" t="s">
        <v>1357</v>
      </c>
      <c r="J3107" t="s">
        <v>248</v>
      </c>
      <c r="K3107" t="s">
        <v>1379</v>
      </c>
      <c r="L3107" s="34">
        <v>1</v>
      </c>
      <c r="M3107" s="38">
        <v>0.75</v>
      </c>
      <c r="N3107" s="38">
        <f t="shared" si="48"/>
        <v>0.75</v>
      </c>
    </row>
    <row r="3108" spans="1:14">
      <c r="A3108" s="29">
        <v>45363</v>
      </c>
      <c r="B3108" s="22" t="s">
        <v>84</v>
      </c>
      <c r="C3108" s="22" t="s">
        <v>57</v>
      </c>
      <c r="D3108" s="48" t="s">
        <v>11</v>
      </c>
      <c r="E3108" t="s">
        <v>186</v>
      </c>
      <c r="F3108">
        <v>2023</v>
      </c>
      <c r="G3108" t="s">
        <v>1380</v>
      </c>
      <c r="H3108" s="42" t="s">
        <v>1381</v>
      </c>
      <c r="J3108" t="s">
        <v>248</v>
      </c>
      <c r="K3108" t="s">
        <v>1382</v>
      </c>
      <c r="L3108" s="34">
        <v>2</v>
      </c>
      <c r="M3108" s="38">
        <v>0.75</v>
      </c>
      <c r="N3108" s="38">
        <f t="shared" si="48"/>
        <v>1.5</v>
      </c>
    </row>
    <row r="3109" spans="1:14">
      <c r="A3109" s="29">
        <v>45363</v>
      </c>
      <c r="B3109" s="22" t="s">
        <v>84</v>
      </c>
      <c r="C3109" s="22" t="s">
        <v>57</v>
      </c>
      <c r="D3109" s="48" t="s">
        <v>11</v>
      </c>
      <c r="E3109" t="s">
        <v>180</v>
      </c>
      <c r="F3109">
        <v>2023</v>
      </c>
      <c r="G3109" t="s">
        <v>1380</v>
      </c>
      <c r="H3109" s="42" t="s">
        <v>1367</v>
      </c>
      <c r="J3109" t="s">
        <v>248</v>
      </c>
      <c r="K3109" t="s">
        <v>1383</v>
      </c>
      <c r="L3109" s="34">
        <v>2</v>
      </c>
      <c r="M3109" s="38">
        <v>0.75</v>
      </c>
      <c r="N3109" s="38">
        <f t="shared" si="48"/>
        <v>1.5</v>
      </c>
    </row>
    <row r="3110" spans="1:14">
      <c r="A3110" s="29">
        <v>45364</v>
      </c>
      <c r="B3110" s="22" t="s">
        <v>63</v>
      </c>
      <c r="C3110" s="22" t="s">
        <v>57</v>
      </c>
      <c r="D3110" s="48" t="s">
        <v>5</v>
      </c>
      <c r="E3110" t="s">
        <v>255</v>
      </c>
      <c r="F3110">
        <v>2023</v>
      </c>
      <c r="G3110" t="s">
        <v>618</v>
      </c>
      <c r="H3110" s="42" t="s">
        <v>1287</v>
      </c>
      <c r="J3110" t="s">
        <v>248</v>
      </c>
      <c r="K3110" t="s">
        <v>57</v>
      </c>
      <c r="L3110" s="34">
        <v>2</v>
      </c>
      <c r="M3110" s="38">
        <v>0.75</v>
      </c>
      <c r="N3110" s="38">
        <f t="shared" si="48"/>
        <v>1.5</v>
      </c>
    </row>
    <row r="3111" spans="1:14">
      <c r="A3111" s="29">
        <v>45366</v>
      </c>
      <c r="B3111" s="22" t="s">
        <v>75</v>
      </c>
      <c r="C3111" s="22" t="s">
        <v>151</v>
      </c>
      <c r="D3111" s="48" t="s">
        <v>8</v>
      </c>
      <c r="E3111" t="s">
        <v>513</v>
      </c>
      <c r="F3111">
        <v>2023</v>
      </c>
      <c r="G3111" t="s">
        <v>618</v>
      </c>
      <c r="H3111" s="42" t="s">
        <v>1357</v>
      </c>
      <c r="J3111" t="s">
        <v>248</v>
      </c>
      <c r="K3111" t="s">
        <v>1384</v>
      </c>
      <c r="L3111" s="34">
        <v>3</v>
      </c>
      <c r="M3111" s="38">
        <v>0.75</v>
      </c>
      <c r="N3111" s="38">
        <f t="shared" si="48"/>
        <v>2.25</v>
      </c>
    </row>
    <row r="3112" spans="1:14">
      <c r="A3112" s="29">
        <v>45366</v>
      </c>
      <c r="B3112" s="22" t="s">
        <v>75</v>
      </c>
      <c r="C3112" s="22" t="s">
        <v>151</v>
      </c>
      <c r="D3112" s="48" t="s">
        <v>8</v>
      </c>
      <c r="E3112" t="s">
        <v>179</v>
      </c>
      <c r="F3112">
        <v>2023</v>
      </c>
      <c r="G3112" t="s">
        <v>618</v>
      </c>
      <c r="H3112" s="42" t="s">
        <v>1375</v>
      </c>
      <c r="J3112" t="s">
        <v>248</v>
      </c>
      <c r="K3112" t="s">
        <v>1385</v>
      </c>
      <c r="L3112" s="34">
        <v>3</v>
      </c>
      <c r="M3112" s="38">
        <v>0.75</v>
      </c>
      <c r="N3112" s="38">
        <f t="shared" si="48"/>
        <v>2.25</v>
      </c>
    </row>
    <row r="3113" spans="1:14">
      <c r="A3113" s="29">
        <v>45366</v>
      </c>
      <c r="B3113" s="22" t="s">
        <v>75</v>
      </c>
      <c r="C3113" s="22" t="s">
        <v>151</v>
      </c>
      <c r="D3113" s="48" t="s">
        <v>8</v>
      </c>
      <c r="E3113" t="s">
        <v>178</v>
      </c>
      <c r="F3113">
        <v>2023</v>
      </c>
      <c r="G3113" t="s">
        <v>618</v>
      </c>
      <c r="H3113" s="42" t="s">
        <v>1374</v>
      </c>
      <c r="J3113" t="s">
        <v>248</v>
      </c>
      <c r="K3113" t="s">
        <v>1386</v>
      </c>
      <c r="L3113" s="34">
        <v>3</v>
      </c>
      <c r="M3113" s="38">
        <v>0.75</v>
      </c>
      <c r="N3113" s="38">
        <f t="shared" si="48"/>
        <v>2.25</v>
      </c>
    </row>
    <row r="3114" spans="1:14">
      <c r="A3114" s="29">
        <v>45369</v>
      </c>
      <c r="B3114" s="28" t="s">
        <v>1387</v>
      </c>
      <c r="C3114" s="22"/>
      <c r="D3114" s="48" t="s">
        <v>5</v>
      </c>
      <c r="E3114" t="s">
        <v>161</v>
      </c>
      <c r="F3114">
        <v>2023</v>
      </c>
      <c r="G3114" t="s">
        <v>618</v>
      </c>
      <c r="H3114" s="42" t="s">
        <v>1196</v>
      </c>
      <c r="J3114" t="s">
        <v>248</v>
      </c>
      <c r="K3114" t="s">
        <v>1388</v>
      </c>
      <c r="L3114" s="34">
        <v>1</v>
      </c>
      <c r="M3114" s="38">
        <v>0.75</v>
      </c>
      <c r="N3114" s="38">
        <f t="shared" si="48"/>
        <v>0.75</v>
      </c>
    </row>
    <row r="3115" spans="1:14">
      <c r="A3115" s="29">
        <v>45369</v>
      </c>
      <c r="B3115" s="22" t="s">
        <v>64</v>
      </c>
      <c r="C3115" s="22" t="s">
        <v>57</v>
      </c>
      <c r="D3115" s="48" t="s">
        <v>5</v>
      </c>
      <c r="E3115" t="s">
        <v>159</v>
      </c>
      <c r="F3115">
        <v>2023</v>
      </c>
      <c r="G3115" t="s">
        <v>326</v>
      </c>
      <c r="H3115" s="42" t="s">
        <v>1389</v>
      </c>
      <c r="J3115" t="s">
        <v>248</v>
      </c>
      <c r="L3115" s="34">
        <v>3</v>
      </c>
      <c r="M3115" s="38">
        <v>0.75</v>
      </c>
      <c r="N3115" s="38">
        <f t="shared" si="48"/>
        <v>2.25</v>
      </c>
    </row>
    <row r="3116" spans="1:14">
      <c r="A3116" s="29">
        <v>45369</v>
      </c>
      <c r="B3116" s="22" t="s">
        <v>63</v>
      </c>
      <c r="C3116" s="22" t="s">
        <v>57</v>
      </c>
      <c r="D3116" s="48" t="s">
        <v>5</v>
      </c>
      <c r="E3116" t="s">
        <v>262</v>
      </c>
      <c r="F3116">
        <v>2023</v>
      </c>
      <c r="G3116" t="s">
        <v>1390</v>
      </c>
      <c r="H3116" s="42" t="s">
        <v>1316</v>
      </c>
      <c r="J3116" t="s">
        <v>248</v>
      </c>
      <c r="L3116" s="34">
        <v>2</v>
      </c>
      <c r="M3116" s="38">
        <v>0.75</v>
      </c>
      <c r="N3116" s="38">
        <f t="shared" si="48"/>
        <v>1.5</v>
      </c>
    </row>
    <row r="3117" spans="1:14">
      <c r="A3117" s="29">
        <v>45369</v>
      </c>
      <c r="B3117" s="22" t="s">
        <v>63</v>
      </c>
      <c r="C3117" s="22" t="s">
        <v>57</v>
      </c>
      <c r="D3117" s="48" t="s">
        <v>5</v>
      </c>
      <c r="E3117" t="s">
        <v>255</v>
      </c>
      <c r="F3117">
        <v>2023</v>
      </c>
      <c r="G3117" t="s">
        <v>618</v>
      </c>
      <c r="H3117" s="42" t="s">
        <v>1287</v>
      </c>
      <c r="J3117" t="s">
        <v>248</v>
      </c>
      <c r="L3117" s="34">
        <v>2</v>
      </c>
      <c r="M3117" s="38">
        <v>0.75</v>
      </c>
      <c r="N3117" s="38">
        <f t="shared" si="48"/>
        <v>1.5</v>
      </c>
    </row>
    <row r="3118" spans="1:14">
      <c r="A3118" s="29">
        <v>45369</v>
      </c>
      <c r="B3118" s="22" t="s">
        <v>63</v>
      </c>
      <c r="C3118" s="22" t="s">
        <v>57</v>
      </c>
      <c r="D3118" s="48" t="s">
        <v>5</v>
      </c>
      <c r="E3118" t="s">
        <v>157</v>
      </c>
      <c r="F3118">
        <v>2023</v>
      </c>
      <c r="G3118" t="s">
        <v>427</v>
      </c>
      <c r="H3118" s="42" t="s">
        <v>1391</v>
      </c>
      <c r="J3118" t="s">
        <v>248</v>
      </c>
      <c r="L3118" s="34">
        <v>2</v>
      </c>
      <c r="M3118" s="38">
        <v>0.75</v>
      </c>
      <c r="N3118" s="38">
        <f t="shared" si="48"/>
        <v>1.5</v>
      </c>
    </row>
    <row r="3119" spans="1:14">
      <c r="A3119" s="29">
        <v>45369</v>
      </c>
      <c r="B3119" s="22" t="s">
        <v>63</v>
      </c>
      <c r="C3119" s="22" t="s">
        <v>57</v>
      </c>
      <c r="D3119" s="48" t="s">
        <v>5</v>
      </c>
      <c r="E3119" t="s">
        <v>157</v>
      </c>
      <c r="F3119">
        <v>2023</v>
      </c>
      <c r="G3119" t="s">
        <v>326</v>
      </c>
      <c r="H3119" s="42" t="s">
        <v>1289</v>
      </c>
      <c r="J3119" t="s">
        <v>248</v>
      </c>
      <c r="L3119" s="34">
        <v>2</v>
      </c>
      <c r="M3119" s="38">
        <v>0.75</v>
      </c>
      <c r="N3119" s="38">
        <f t="shared" si="48"/>
        <v>1.5</v>
      </c>
    </row>
    <row r="3120" spans="1:14">
      <c r="A3120" s="29">
        <v>45369</v>
      </c>
      <c r="B3120" s="22" t="s">
        <v>63</v>
      </c>
      <c r="C3120" s="22" t="s">
        <v>57</v>
      </c>
      <c r="D3120" s="48" t="s">
        <v>5</v>
      </c>
      <c r="E3120" t="s">
        <v>159</v>
      </c>
      <c r="F3120">
        <v>2023</v>
      </c>
      <c r="G3120" t="s">
        <v>1270</v>
      </c>
      <c r="H3120" s="42" t="s">
        <v>1345</v>
      </c>
      <c r="J3120" t="s">
        <v>248</v>
      </c>
      <c r="L3120" s="34">
        <v>2</v>
      </c>
      <c r="M3120" s="38">
        <v>0.75</v>
      </c>
      <c r="N3120" s="38">
        <f t="shared" si="48"/>
        <v>1.5</v>
      </c>
    </row>
    <row r="3121" spans="1:14">
      <c r="A3121" s="29">
        <v>45371</v>
      </c>
      <c r="B3121" s="22" t="s">
        <v>63</v>
      </c>
      <c r="C3121" s="22" t="s">
        <v>57</v>
      </c>
      <c r="D3121" s="48" t="s">
        <v>8</v>
      </c>
      <c r="E3121" t="s">
        <v>513</v>
      </c>
      <c r="F3121">
        <v>2023</v>
      </c>
      <c r="G3121" t="s">
        <v>618</v>
      </c>
      <c r="H3121" s="42" t="s">
        <v>1357</v>
      </c>
      <c r="J3121" t="s">
        <v>248</v>
      </c>
      <c r="K3121" t="s">
        <v>1384</v>
      </c>
      <c r="L3121" s="34">
        <v>2</v>
      </c>
      <c r="M3121" s="38">
        <v>0.75</v>
      </c>
      <c r="N3121" s="38">
        <f t="shared" si="48"/>
        <v>1.5</v>
      </c>
    </row>
    <row r="3122" spans="1:14">
      <c r="A3122" s="29">
        <v>45371</v>
      </c>
      <c r="B3122" s="22" t="s">
        <v>63</v>
      </c>
      <c r="C3122" s="22" t="s">
        <v>57</v>
      </c>
      <c r="D3122" s="48" t="s">
        <v>8</v>
      </c>
      <c r="E3122" t="s">
        <v>179</v>
      </c>
      <c r="F3122">
        <v>2023</v>
      </c>
      <c r="G3122" t="s">
        <v>618</v>
      </c>
      <c r="H3122" s="42" t="s">
        <v>1375</v>
      </c>
      <c r="J3122" t="s">
        <v>248</v>
      </c>
      <c r="K3122" t="s">
        <v>1385</v>
      </c>
      <c r="L3122" s="34">
        <v>2</v>
      </c>
      <c r="M3122" s="38">
        <v>0.75</v>
      </c>
      <c r="N3122" s="38">
        <f t="shared" ref="N3122:N3185" si="49">M3122*L3122</f>
        <v>1.5</v>
      </c>
    </row>
    <row r="3123" spans="1:14">
      <c r="A3123" s="29">
        <v>45376</v>
      </c>
      <c r="B3123" s="28" t="s">
        <v>1387</v>
      </c>
      <c r="C3123" s="22"/>
      <c r="D3123" s="48" t="s">
        <v>5</v>
      </c>
      <c r="E3123" t="s">
        <v>262</v>
      </c>
      <c r="F3123">
        <v>2023</v>
      </c>
      <c r="G3123" t="s">
        <v>526</v>
      </c>
      <c r="H3123" s="42" t="s">
        <v>841</v>
      </c>
      <c r="J3123" t="s">
        <v>248</v>
      </c>
      <c r="L3123" s="34">
        <v>1</v>
      </c>
      <c r="M3123" s="38">
        <v>0.75</v>
      </c>
      <c r="N3123" s="38">
        <f t="shared" si="49"/>
        <v>0.75</v>
      </c>
    </row>
    <row r="3124" spans="1:14">
      <c r="A3124" s="29">
        <v>45376</v>
      </c>
      <c r="B3124" s="22" t="s">
        <v>63</v>
      </c>
      <c r="C3124" s="22" t="s">
        <v>57</v>
      </c>
      <c r="D3124" s="48" t="s">
        <v>5</v>
      </c>
      <c r="E3124" t="s">
        <v>157</v>
      </c>
      <c r="F3124">
        <v>2023</v>
      </c>
      <c r="G3124" t="s">
        <v>507</v>
      </c>
      <c r="H3124" s="42" t="s">
        <v>818</v>
      </c>
      <c r="J3124" t="s">
        <v>248</v>
      </c>
      <c r="L3124" s="34">
        <v>2</v>
      </c>
      <c r="M3124" s="38">
        <v>0.75</v>
      </c>
      <c r="N3124" s="38">
        <f t="shared" si="49"/>
        <v>1.5</v>
      </c>
    </row>
    <row r="3125" spans="1:14">
      <c r="A3125" s="29">
        <v>45377</v>
      </c>
      <c r="B3125" s="22" t="s">
        <v>79</v>
      </c>
      <c r="C3125" s="22" t="s">
        <v>57</v>
      </c>
      <c r="D3125" s="48" t="s">
        <v>11</v>
      </c>
      <c r="E3125" t="s">
        <v>259</v>
      </c>
      <c r="F3125">
        <v>2023</v>
      </c>
      <c r="G3125" t="s">
        <v>1392</v>
      </c>
      <c r="H3125" s="42" t="s">
        <v>1041</v>
      </c>
      <c r="J3125" t="s">
        <v>248</v>
      </c>
      <c r="L3125" s="34">
        <v>2</v>
      </c>
      <c r="M3125" s="38">
        <v>0.75</v>
      </c>
      <c r="N3125" s="38">
        <f t="shared" si="49"/>
        <v>1.5</v>
      </c>
    </row>
    <row r="3126" spans="1:14">
      <c r="A3126" s="29">
        <v>45377</v>
      </c>
      <c r="B3126" s="22" t="s">
        <v>79</v>
      </c>
      <c r="C3126" s="22" t="s">
        <v>57</v>
      </c>
      <c r="D3126" s="48" t="s">
        <v>11</v>
      </c>
      <c r="E3126" t="s">
        <v>259</v>
      </c>
      <c r="F3126">
        <v>2023</v>
      </c>
      <c r="G3126" t="s">
        <v>1323</v>
      </c>
      <c r="H3126" s="42" t="s">
        <v>1393</v>
      </c>
      <c r="J3126" t="s">
        <v>248</v>
      </c>
      <c r="L3126" s="34">
        <v>2</v>
      </c>
      <c r="M3126" s="38">
        <v>0.75</v>
      </c>
      <c r="N3126" s="38">
        <f t="shared" si="49"/>
        <v>1.5</v>
      </c>
    </row>
    <row r="3127" spans="1:14">
      <c r="A3127" s="29">
        <v>45377</v>
      </c>
      <c r="B3127" s="22" t="s">
        <v>79</v>
      </c>
      <c r="C3127" s="22" t="s">
        <v>57</v>
      </c>
      <c r="D3127" s="48" t="s">
        <v>11</v>
      </c>
      <c r="E3127" t="s">
        <v>259</v>
      </c>
      <c r="F3127">
        <v>2023</v>
      </c>
      <c r="G3127" t="s">
        <v>1323</v>
      </c>
      <c r="H3127" s="42" t="s">
        <v>1355</v>
      </c>
      <c r="J3127" t="s">
        <v>248</v>
      </c>
      <c r="L3127" s="34">
        <v>2</v>
      </c>
      <c r="M3127" s="38">
        <v>0.75</v>
      </c>
      <c r="N3127" s="38">
        <f t="shared" si="49"/>
        <v>1.5</v>
      </c>
    </row>
    <row r="3128" spans="1:14">
      <c r="A3128" s="29">
        <v>45378</v>
      </c>
      <c r="B3128" s="22" t="s">
        <v>63</v>
      </c>
      <c r="C3128" s="22" t="s">
        <v>57</v>
      </c>
      <c r="D3128" s="48" t="s">
        <v>5</v>
      </c>
      <c r="E3128" t="s">
        <v>1290</v>
      </c>
      <c r="F3128">
        <v>2023</v>
      </c>
      <c r="G3128" t="s">
        <v>618</v>
      </c>
      <c r="H3128" s="42" t="s">
        <v>1369</v>
      </c>
      <c r="J3128" t="s">
        <v>248</v>
      </c>
      <c r="K3128" t="s">
        <v>1394</v>
      </c>
      <c r="L3128" s="34">
        <v>2</v>
      </c>
      <c r="M3128" s="38">
        <v>0.75</v>
      </c>
      <c r="N3128" s="38">
        <f t="shared" si="49"/>
        <v>1.5</v>
      </c>
    </row>
    <row r="3129" spans="1:14">
      <c r="A3129" s="29">
        <v>45378</v>
      </c>
      <c r="B3129" s="22" t="s">
        <v>63</v>
      </c>
      <c r="C3129" s="22" t="s">
        <v>57</v>
      </c>
      <c r="D3129" s="48" t="s">
        <v>5</v>
      </c>
      <c r="E3129" t="s">
        <v>159</v>
      </c>
      <c r="F3129">
        <v>2023</v>
      </c>
      <c r="G3129" t="s">
        <v>319</v>
      </c>
      <c r="H3129" s="42" t="s">
        <v>1142</v>
      </c>
      <c r="J3129" t="s">
        <v>248</v>
      </c>
      <c r="K3129" t="s">
        <v>1143</v>
      </c>
      <c r="L3129" s="34">
        <v>2</v>
      </c>
      <c r="M3129" s="38">
        <v>0.75</v>
      </c>
      <c r="N3129" s="38">
        <f t="shared" si="49"/>
        <v>1.5</v>
      </c>
    </row>
    <row r="3130" spans="1:14">
      <c r="A3130" s="29">
        <v>45378</v>
      </c>
      <c r="B3130" s="22" t="s">
        <v>1140</v>
      </c>
      <c r="C3130" s="22" t="s">
        <v>1141</v>
      </c>
      <c r="D3130" s="48" t="s">
        <v>5</v>
      </c>
      <c r="E3130" t="s">
        <v>1290</v>
      </c>
      <c r="F3130">
        <v>2023</v>
      </c>
      <c r="G3130" t="s">
        <v>618</v>
      </c>
      <c r="H3130" s="42" t="s">
        <v>1369</v>
      </c>
      <c r="J3130" t="s">
        <v>248</v>
      </c>
      <c r="K3130" t="s">
        <v>1394</v>
      </c>
      <c r="L3130" s="34">
        <v>2</v>
      </c>
      <c r="M3130" s="38">
        <v>0.75</v>
      </c>
      <c r="N3130" s="38">
        <f t="shared" si="49"/>
        <v>1.5</v>
      </c>
    </row>
    <row r="3131" spans="1:14">
      <c r="A3131" s="29">
        <v>45385</v>
      </c>
      <c r="B3131" s="22" t="s">
        <v>16</v>
      </c>
      <c r="C3131" s="22" t="s">
        <v>49</v>
      </c>
      <c r="D3131" s="48" t="s">
        <v>14</v>
      </c>
      <c r="E3131" t="s">
        <v>1278</v>
      </c>
      <c r="F3131">
        <v>2023</v>
      </c>
      <c r="G3131" t="s">
        <v>618</v>
      </c>
      <c r="H3131" s="42" t="s">
        <v>1260</v>
      </c>
      <c r="J3131" t="s">
        <v>248</v>
      </c>
      <c r="L3131" s="34">
        <v>3</v>
      </c>
      <c r="M3131" s="38">
        <v>0.75</v>
      </c>
      <c r="N3131" s="38">
        <f t="shared" si="49"/>
        <v>2.25</v>
      </c>
    </row>
    <row r="3132" spans="1:14">
      <c r="A3132" s="29">
        <v>45385</v>
      </c>
      <c r="B3132" s="22" t="s">
        <v>16</v>
      </c>
      <c r="C3132" s="22" t="s">
        <v>49</v>
      </c>
      <c r="D3132" s="48" t="s">
        <v>5</v>
      </c>
      <c r="E3132" t="s">
        <v>158</v>
      </c>
      <c r="F3132">
        <v>2023</v>
      </c>
      <c r="G3132" t="s">
        <v>618</v>
      </c>
      <c r="H3132" s="42" t="s">
        <v>1395</v>
      </c>
      <c r="J3132" t="s">
        <v>248</v>
      </c>
      <c r="L3132" s="34">
        <v>3</v>
      </c>
      <c r="M3132" s="38">
        <v>0.75</v>
      </c>
      <c r="N3132" s="38">
        <f t="shared" si="49"/>
        <v>2.25</v>
      </c>
    </row>
    <row r="3133" spans="1:14">
      <c r="A3133" s="29">
        <v>45385</v>
      </c>
      <c r="B3133" s="22" t="s">
        <v>16</v>
      </c>
      <c r="C3133" s="22" t="s">
        <v>49</v>
      </c>
      <c r="D3133" s="48" t="s">
        <v>5</v>
      </c>
      <c r="E3133" t="s">
        <v>1396</v>
      </c>
      <c r="F3133">
        <v>2023</v>
      </c>
      <c r="G3133" t="s">
        <v>618</v>
      </c>
      <c r="H3133" s="42" t="s">
        <v>1397</v>
      </c>
      <c r="J3133" t="s">
        <v>248</v>
      </c>
      <c r="L3133" s="34">
        <v>3</v>
      </c>
      <c r="M3133" s="38">
        <v>0.75</v>
      </c>
      <c r="N3133" s="38">
        <f t="shared" si="49"/>
        <v>2.25</v>
      </c>
    </row>
    <row r="3134" spans="1:14">
      <c r="A3134" s="29">
        <v>45385</v>
      </c>
      <c r="B3134" s="22" t="s">
        <v>16</v>
      </c>
      <c r="C3134" s="22" t="s">
        <v>49</v>
      </c>
      <c r="D3134" s="48" t="s">
        <v>8</v>
      </c>
      <c r="E3134" t="s">
        <v>1398</v>
      </c>
      <c r="F3134">
        <v>2023</v>
      </c>
      <c r="G3134" t="s">
        <v>618</v>
      </c>
      <c r="H3134" s="42" t="s">
        <v>1350</v>
      </c>
      <c r="J3134" t="s">
        <v>248</v>
      </c>
      <c r="L3134" s="34">
        <v>3</v>
      </c>
      <c r="M3134" s="38">
        <v>0.75</v>
      </c>
      <c r="N3134" s="38">
        <f t="shared" si="49"/>
        <v>2.25</v>
      </c>
    </row>
    <row r="3135" spans="1:14">
      <c r="A3135" s="29">
        <v>45385</v>
      </c>
      <c r="B3135" s="22" t="s">
        <v>16</v>
      </c>
      <c r="C3135" s="22" t="s">
        <v>49</v>
      </c>
      <c r="D3135" s="48" t="s">
        <v>11</v>
      </c>
      <c r="E3135" t="s">
        <v>179</v>
      </c>
      <c r="F3135">
        <v>2023</v>
      </c>
      <c r="G3135" t="s">
        <v>618</v>
      </c>
      <c r="H3135" s="42" t="s">
        <v>1399</v>
      </c>
      <c r="J3135" t="s">
        <v>248</v>
      </c>
      <c r="K3135" t="s">
        <v>1400</v>
      </c>
      <c r="L3135" s="34">
        <v>3</v>
      </c>
      <c r="M3135" s="38">
        <v>0.75</v>
      </c>
      <c r="N3135" s="38">
        <f t="shared" si="49"/>
        <v>2.25</v>
      </c>
    </row>
    <row r="3136" spans="1:14">
      <c r="A3136" s="29">
        <v>45385</v>
      </c>
      <c r="B3136" s="22" t="s">
        <v>109</v>
      </c>
      <c r="C3136" s="22" t="s">
        <v>57</v>
      </c>
      <c r="D3136" s="48" t="s">
        <v>11</v>
      </c>
      <c r="E3136" t="s">
        <v>179</v>
      </c>
      <c r="F3136">
        <v>2023</v>
      </c>
      <c r="G3136" t="s">
        <v>618</v>
      </c>
      <c r="H3136" s="42" t="s">
        <v>1399</v>
      </c>
      <c r="J3136" t="s">
        <v>248</v>
      </c>
      <c r="K3136" t="s">
        <v>1400</v>
      </c>
      <c r="L3136" s="34">
        <v>2</v>
      </c>
      <c r="M3136" s="38">
        <v>0.75</v>
      </c>
      <c r="N3136" s="38">
        <f t="shared" si="49"/>
        <v>1.5</v>
      </c>
    </row>
    <row r="3137" spans="1:14">
      <c r="A3137" s="29">
        <v>45385</v>
      </c>
      <c r="B3137" s="22" t="s">
        <v>16</v>
      </c>
      <c r="C3137" s="22" t="s">
        <v>49</v>
      </c>
      <c r="D3137" s="48" t="s">
        <v>11</v>
      </c>
      <c r="E3137" t="s">
        <v>1359</v>
      </c>
      <c r="F3137">
        <v>2023</v>
      </c>
      <c r="G3137" t="s">
        <v>618</v>
      </c>
      <c r="H3137" s="42" t="s">
        <v>1401</v>
      </c>
      <c r="J3137" t="s">
        <v>248</v>
      </c>
      <c r="K3137" t="s">
        <v>1402</v>
      </c>
      <c r="L3137" s="34">
        <v>3</v>
      </c>
      <c r="M3137" s="38">
        <v>0.75</v>
      </c>
      <c r="N3137" s="38">
        <f t="shared" si="49"/>
        <v>2.25</v>
      </c>
    </row>
    <row r="3138" spans="1:14">
      <c r="A3138" s="29">
        <v>45385</v>
      </c>
      <c r="B3138" s="22" t="s">
        <v>109</v>
      </c>
      <c r="C3138" s="22" t="s">
        <v>57</v>
      </c>
      <c r="D3138" s="48" t="s">
        <v>11</v>
      </c>
      <c r="E3138" t="s">
        <v>1359</v>
      </c>
      <c r="F3138">
        <v>2023</v>
      </c>
      <c r="G3138" t="s">
        <v>618</v>
      </c>
      <c r="H3138" s="42" t="s">
        <v>1401</v>
      </c>
      <c r="J3138" t="s">
        <v>248</v>
      </c>
      <c r="K3138" t="s">
        <v>1402</v>
      </c>
      <c r="L3138" s="34">
        <v>2</v>
      </c>
      <c r="M3138" s="38">
        <v>0.75</v>
      </c>
      <c r="N3138" s="38">
        <f t="shared" si="49"/>
        <v>1.5</v>
      </c>
    </row>
    <row r="3139" spans="1:14">
      <c r="A3139" s="29">
        <v>45385</v>
      </c>
      <c r="B3139" s="22" t="s">
        <v>16</v>
      </c>
      <c r="C3139" s="22" t="s">
        <v>49</v>
      </c>
      <c r="D3139" s="48" t="s">
        <v>11</v>
      </c>
      <c r="E3139" t="s">
        <v>1403</v>
      </c>
      <c r="F3139">
        <v>2023</v>
      </c>
      <c r="G3139" t="s">
        <v>618</v>
      </c>
      <c r="H3139" s="42" t="s">
        <v>1348</v>
      </c>
      <c r="J3139" t="s">
        <v>248</v>
      </c>
      <c r="K3139" t="s">
        <v>1404</v>
      </c>
      <c r="L3139" s="34">
        <v>3</v>
      </c>
      <c r="M3139" s="38">
        <v>0.75</v>
      </c>
      <c r="N3139" s="38">
        <f t="shared" si="49"/>
        <v>2.25</v>
      </c>
    </row>
    <row r="3140" spans="1:14">
      <c r="A3140" s="29">
        <v>45385</v>
      </c>
      <c r="B3140" s="22" t="s">
        <v>16</v>
      </c>
      <c r="C3140" s="22" t="s">
        <v>49</v>
      </c>
      <c r="D3140" s="48" t="s">
        <v>11</v>
      </c>
      <c r="E3140" t="s">
        <v>1403</v>
      </c>
      <c r="F3140">
        <v>2023</v>
      </c>
      <c r="G3140" t="s">
        <v>618</v>
      </c>
      <c r="H3140" s="42" t="s">
        <v>1348</v>
      </c>
      <c r="J3140" t="s">
        <v>248</v>
      </c>
      <c r="K3140" t="s">
        <v>1404</v>
      </c>
      <c r="L3140" s="34">
        <v>2</v>
      </c>
      <c r="M3140" s="38">
        <v>0.75</v>
      </c>
      <c r="N3140" s="38">
        <f t="shared" si="49"/>
        <v>1.5</v>
      </c>
    </row>
    <row r="3141" spans="1:14">
      <c r="A3141" s="29">
        <v>45388</v>
      </c>
      <c r="B3141" s="22" t="s">
        <v>57</v>
      </c>
      <c r="C3141" s="22" t="s">
        <v>55</v>
      </c>
      <c r="D3141" s="48" t="s">
        <v>5</v>
      </c>
      <c r="E3141" t="s">
        <v>255</v>
      </c>
      <c r="F3141">
        <v>2023</v>
      </c>
      <c r="G3141" t="s">
        <v>618</v>
      </c>
      <c r="H3141" s="42" t="s">
        <v>1405</v>
      </c>
      <c r="J3141" t="s">
        <v>248</v>
      </c>
      <c r="L3141" s="34">
        <v>2</v>
      </c>
      <c r="M3141" s="38">
        <v>0.75</v>
      </c>
      <c r="N3141" s="38">
        <f t="shared" si="49"/>
        <v>1.5</v>
      </c>
    </row>
    <row r="3142" spans="1:14">
      <c r="A3142" s="29">
        <v>45388</v>
      </c>
      <c r="B3142" s="22" t="s">
        <v>57</v>
      </c>
      <c r="C3142" s="22" t="s">
        <v>55</v>
      </c>
      <c r="D3142" s="48" t="s">
        <v>5</v>
      </c>
      <c r="E3142" t="s">
        <v>157</v>
      </c>
      <c r="F3142">
        <v>2023</v>
      </c>
      <c r="G3142" t="s">
        <v>252</v>
      </c>
      <c r="H3142" s="42" t="s">
        <v>1315</v>
      </c>
      <c r="J3142" t="s">
        <v>248</v>
      </c>
      <c r="L3142" s="34">
        <v>2</v>
      </c>
      <c r="M3142" s="38">
        <v>0.75</v>
      </c>
      <c r="N3142" s="38">
        <f t="shared" si="49"/>
        <v>1.5</v>
      </c>
    </row>
    <row r="3143" spans="1:14">
      <c r="A3143" s="29">
        <v>45390</v>
      </c>
      <c r="B3143" s="22" t="s">
        <v>63</v>
      </c>
      <c r="C3143" s="22" t="s">
        <v>57</v>
      </c>
      <c r="D3143" s="48" t="s">
        <v>5</v>
      </c>
      <c r="E3143" t="s">
        <v>1290</v>
      </c>
      <c r="F3143">
        <v>2023</v>
      </c>
      <c r="G3143" t="s">
        <v>618</v>
      </c>
      <c r="H3143" s="42" t="s">
        <v>1277</v>
      </c>
      <c r="J3143" t="s">
        <v>248</v>
      </c>
      <c r="K3143" t="s">
        <v>1394</v>
      </c>
      <c r="L3143" s="34">
        <v>3</v>
      </c>
      <c r="M3143" s="38">
        <v>0.75</v>
      </c>
      <c r="N3143" s="38">
        <f t="shared" si="49"/>
        <v>2.25</v>
      </c>
    </row>
    <row r="3144" spans="1:14">
      <c r="A3144" s="29">
        <v>45390</v>
      </c>
      <c r="B3144" s="22" t="s">
        <v>63</v>
      </c>
      <c r="C3144" s="22" t="s">
        <v>57</v>
      </c>
      <c r="D3144" s="48" t="s">
        <v>5</v>
      </c>
      <c r="E3144" t="s">
        <v>159</v>
      </c>
      <c r="F3144">
        <v>2023</v>
      </c>
      <c r="G3144" t="s">
        <v>251</v>
      </c>
      <c r="H3144" s="42" t="s">
        <v>1142</v>
      </c>
      <c r="J3144" t="s">
        <v>248</v>
      </c>
      <c r="K3144" t="s">
        <v>1143</v>
      </c>
      <c r="L3144" s="34">
        <v>3</v>
      </c>
      <c r="M3144" s="38">
        <v>0.75</v>
      </c>
      <c r="N3144" s="38">
        <f t="shared" si="49"/>
        <v>2.25</v>
      </c>
    </row>
    <row r="3145" spans="1:14">
      <c r="A3145" s="29">
        <v>45393</v>
      </c>
      <c r="B3145" s="22" t="s">
        <v>63</v>
      </c>
      <c r="C3145" s="22" t="s">
        <v>57</v>
      </c>
      <c r="D3145" s="48" t="s">
        <v>5</v>
      </c>
      <c r="E3145" t="s">
        <v>159</v>
      </c>
      <c r="F3145">
        <v>2023</v>
      </c>
      <c r="G3145" t="s">
        <v>1406</v>
      </c>
      <c r="H3145" s="42" t="s">
        <v>1407</v>
      </c>
      <c r="J3145" t="s">
        <v>248</v>
      </c>
      <c r="K3145" t="s">
        <v>1408</v>
      </c>
      <c r="L3145" s="34">
        <v>2</v>
      </c>
      <c r="M3145" s="38">
        <v>0.75</v>
      </c>
      <c r="N3145" s="38">
        <f t="shared" si="49"/>
        <v>1.5</v>
      </c>
    </row>
    <row r="3146" spans="1:14">
      <c r="A3146" s="29">
        <v>45393</v>
      </c>
      <c r="B3146" s="22" t="s">
        <v>63</v>
      </c>
      <c r="C3146" s="22" t="s">
        <v>57</v>
      </c>
      <c r="D3146" s="48" t="s">
        <v>5</v>
      </c>
      <c r="E3146" t="s">
        <v>159</v>
      </c>
      <c r="F3146">
        <v>2023</v>
      </c>
      <c r="G3146" t="s">
        <v>319</v>
      </c>
      <c r="H3146" s="42" t="s">
        <v>1142</v>
      </c>
      <c r="J3146" t="s">
        <v>248</v>
      </c>
      <c r="K3146" t="s">
        <v>1409</v>
      </c>
      <c r="L3146" s="34">
        <v>2</v>
      </c>
      <c r="M3146" s="38">
        <v>0.75</v>
      </c>
      <c r="N3146" s="38">
        <f t="shared" si="49"/>
        <v>1.5</v>
      </c>
    </row>
    <row r="3147" spans="1:14">
      <c r="A3147" s="29">
        <v>45393</v>
      </c>
      <c r="B3147" s="22" t="s">
        <v>57</v>
      </c>
      <c r="C3147" s="22" t="s">
        <v>55</v>
      </c>
      <c r="D3147" s="48" t="s">
        <v>5</v>
      </c>
      <c r="E3147" t="s">
        <v>157</v>
      </c>
      <c r="F3147">
        <v>2023</v>
      </c>
      <c r="G3147" t="s">
        <v>252</v>
      </c>
      <c r="H3147" s="42" t="s">
        <v>1320</v>
      </c>
      <c r="J3147" t="s">
        <v>248</v>
      </c>
      <c r="L3147" s="34">
        <v>2</v>
      </c>
      <c r="M3147" s="38">
        <v>0.75</v>
      </c>
      <c r="N3147" s="38">
        <f t="shared" si="49"/>
        <v>1.5</v>
      </c>
    </row>
    <row r="3148" spans="1:14">
      <c r="A3148" s="29">
        <v>45393</v>
      </c>
      <c r="B3148" s="22" t="s">
        <v>57</v>
      </c>
      <c r="C3148" s="22" t="s">
        <v>55</v>
      </c>
      <c r="D3148" s="48" t="s">
        <v>5</v>
      </c>
      <c r="E3148" t="s">
        <v>255</v>
      </c>
      <c r="F3148">
        <v>2023</v>
      </c>
      <c r="G3148" t="s">
        <v>873</v>
      </c>
      <c r="H3148" s="42" t="s">
        <v>1405</v>
      </c>
      <c r="J3148" t="s">
        <v>248</v>
      </c>
      <c r="L3148" s="34">
        <v>2</v>
      </c>
      <c r="M3148" s="38">
        <v>0.75</v>
      </c>
      <c r="N3148" s="38">
        <f t="shared" si="49"/>
        <v>1.5</v>
      </c>
    </row>
    <row r="3149" spans="1:14">
      <c r="A3149" s="29">
        <v>45399</v>
      </c>
      <c r="B3149" s="22" t="s">
        <v>113</v>
      </c>
      <c r="C3149" s="22" t="s">
        <v>57</v>
      </c>
      <c r="D3149" s="48" t="s">
        <v>5</v>
      </c>
      <c r="E3149" t="s">
        <v>157</v>
      </c>
      <c r="F3149">
        <v>2023</v>
      </c>
      <c r="G3149" t="s">
        <v>251</v>
      </c>
      <c r="H3149" s="42" t="s">
        <v>1217</v>
      </c>
      <c r="J3149" t="s">
        <v>248</v>
      </c>
      <c r="L3149" s="34">
        <v>2</v>
      </c>
      <c r="M3149" s="38">
        <v>0.75</v>
      </c>
      <c r="N3149" s="38">
        <f t="shared" si="49"/>
        <v>1.5</v>
      </c>
    </row>
    <row r="3150" spans="1:14">
      <c r="A3150" s="29">
        <v>45399</v>
      </c>
      <c r="B3150" s="22" t="s">
        <v>113</v>
      </c>
      <c r="C3150" s="22" t="s">
        <v>57</v>
      </c>
      <c r="D3150" s="48" t="s">
        <v>5</v>
      </c>
      <c r="E3150" t="s">
        <v>157</v>
      </c>
      <c r="F3150">
        <v>2023</v>
      </c>
      <c r="G3150" t="s">
        <v>257</v>
      </c>
      <c r="H3150" s="42" t="s">
        <v>1218</v>
      </c>
      <c r="J3150" t="s">
        <v>248</v>
      </c>
      <c r="L3150" s="34">
        <v>2</v>
      </c>
      <c r="M3150" s="38">
        <v>0.75</v>
      </c>
      <c r="N3150" s="38">
        <f t="shared" si="49"/>
        <v>1.5</v>
      </c>
    </row>
    <row r="3151" spans="1:14">
      <c r="A3151" s="29">
        <v>45399</v>
      </c>
      <c r="B3151" s="22" t="s">
        <v>1410</v>
      </c>
      <c r="C3151" s="22" t="s">
        <v>151</v>
      </c>
      <c r="D3151" s="48" t="s">
        <v>5</v>
      </c>
      <c r="E3151" t="s">
        <v>161</v>
      </c>
      <c r="F3151">
        <v>2023</v>
      </c>
      <c r="G3151" t="s">
        <v>618</v>
      </c>
      <c r="H3151" s="42" t="s">
        <v>57</v>
      </c>
      <c r="J3151" t="s">
        <v>248</v>
      </c>
      <c r="K3151" t="s">
        <v>1411</v>
      </c>
      <c r="L3151" s="34">
        <v>3</v>
      </c>
      <c r="M3151" s="38">
        <v>0.75</v>
      </c>
      <c r="N3151" s="38">
        <f t="shared" si="49"/>
        <v>2.25</v>
      </c>
    </row>
    <row r="3152" spans="1:14">
      <c r="A3152" s="29">
        <v>45401</v>
      </c>
      <c r="B3152" s="22" t="s">
        <v>63</v>
      </c>
      <c r="C3152" s="22" t="s">
        <v>57</v>
      </c>
      <c r="D3152" s="48" t="s">
        <v>8</v>
      </c>
      <c r="E3152" t="s">
        <v>178</v>
      </c>
      <c r="F3152">
        <v>2023</v>
      </c>
      <c r="G3152" t="s">
        <v>618</v>
      </c>
      <c r="H3152" s="42" t="s">
        <v>1374</v>
      </c>
      <c r="J3152" t="s">
        <v>248</v>
      </c>
      <c r="K3152" t="s">
        <v>1412</v>
      </c>
      <c r="L3152" s="34">
        <v>3</v>
      </c>
      <c r="M3152" s="38">
        <v>0.75</v>
      </c>
      <c r="N3152" s="38">
        <f t="shared" si="49"/>
        <v>2.25</v>
      </c>
    </row>
    <row r="3153" spans="1:14">
      <c r="A3153" s="29">
        <v>45401</v>
      </c>
      <c r="B3153" s="22" t="s">
        <v>63</v>
      </c>
      <c r="C3153" s="22" t="s">
        <v>57</v>
      </c>
      <c r="D3153" s="48" t="s">
        <v>8</v>
      </c>
      <c r="E3153" t="s">
        <v>179</v>
      </c>
      <c r="F3153">
        <v>2023</v>
      </c>
      <c r="G3153" t="s">
        <v>618</v>
      </c>
      <c r="H3153" s="42" t="s">
        <v>1375</v>
      </c>
      <c r="J3153" t="s">
        <v>248</v>
      </c>
      <c r="K3153" t="s">
        <v>1413</v>
      </c>
      <c r="L3153" s="34">
        <v>3</v>
      </c>
      <c r="M3153" s="38">
        <v>0.75</v>
      </c>
      <c r="N3153" s="38">
        <f t="shared" si="49"/>
        <v>2.25</v>
      </c>
    </row>
    <row r="3154" spans="1:14">
      <c r="A3154" s="29">
        <v>45404</v>
      </c>
      <c r="B3154" s="22" t="s">
        <v>63</v>
      </c>
      <c r="C3154" s="22" t="s">
        <v>57</v>
      </c>
      <c r="D3154" s="48" t="s">
        <v>5</v>
      </c>
      <c r="E3154" t="s">
        <v>157</v>
      </c>
      <c r="F3154">
        <v>2023</v>
      </c>
      <c r="G3154" t="s">
        <v>427</v>
      </c>
      <c r="H3154" s="42" t="s">
        <v>818</v>
      </c>
      <c r="J3154" t="s">
        <v>248</v>
      </c>
      <c r="L3154" s="34">
        <v>3</v>
      </c>
      <c r="M3154" s="38">
        <v>0.75</v>
      </c>
      <c r="N3154" s="38">
        <f t="shared" si="49"/>
        <v>2.25</v>
      </c>
    </row>
    <row r="3155" spans="1:14">
      <c r="A3155" s="29">
        <v>45407</v>
      </c>
      <c r="B3155" s="22" t="s">
        <v>63</v>
      </c>
      <c r="C3155" s="22" t="s">
        <v>57</v>
      </c>
      <c r="D3155" s="48" t="s">
        <v>8</v>
      </c>
      <c r="E3155" t="s">
        <v>192</v>
      </c>
      <c r="F3155">
        <v>2023</v>
      </c>
      <c r="G3155" t="s">
        <v>1414</v>
      </c>
      <c r="H3155" s="42" t="s">
        <v>1374</v>
      </c>
      <c r="J3155" t="s">
        <v>248</v>
      </c>
      <c r="K3155" t="s">
        <v>1412</v>
      </c>
      <c r="L3155" s="34">
        <v>2</v>
      </c>
      <c r="M3155" s="38">
        <v>0.75</v>
      </c>
      <c r="N3155" s="38">
        <f t="shared" si="49"/>
        <v>1.5</v>
      </c>
    </row>
    <row r="3156" spans="1:14">
      <c r="A3156" s="29">
        <v>45407</v>
      </c>
      <c r="B3156" s="22" t="s">
        <v>63</v>
      </c>
      <c r="C3156" s="22" t="s">
        <v>57</v>
      </c>
      <c r="D3156" s="48" t="s">
        <v>8</v>
      </c>
      <c r="E3156" t="s">
        <v>179</v>
      </c>
      <c r="F3156">
        <v>2023</v>
      </c>
      <c r="G3156" t="s">
        <v>1414</v>
      </c>
      <c r="H3156" s="42" t="s">
        <v>1375</v>
      </c>
      <c r="J3156" t="s">
        <v>248</v>
      </c>
      <c r="K3156" t="s">
        <v>1413</v>
      </c>
      <c r="L3156" s="34">
        <v>2</v>
      </c>
      <c r="M3156" s="38">
        <v>0.75</v>
      </c>
      <c r="N3156" s="38">
        <f t="shared" si="49"/>
        <v>1.5</v>
      </c>
    </row>
    <row r="3157" spans="1:14">
      <c r="A3157" s="29">
        <v>45407</v>
      </c>
      <c r="B3157" s="22" t="s">
        <v>75</v>
      </c>
      <c r="C3157" s="22" t="s">
        <v>151</v>
      </c>
      <c r="D3157" s="48" t="s">
        <v>8</v>
      </c>
      <c r="E3157" t="s">
        <v>1415</v>
      </c>
      <c r="F3157">
        <v>2023</v>
      </c>
      <c r="G3157" t="s">
        <v>618</v>
      </c>
      <c r="H3157" s="42" t="s">
        <v>57</v>
      </c>
      <c r="J3157" t="s">
        <v>248</v>
      </c>
      <c r="K3157" t="s">
        <v>1416</v>
      </c>
      <c r="L3157" s="34">
        <v>2</v>
      </c>
      <c r="M3157" s="38">
        <v>0.75</v>
      </c>
      <c r="N3157" s="38">
        <f t="shared" si="49"/>
        <v>1.5</v>
      </c>
    </row>
    <row r="3158" spans="1:14">
      <c r="A3158" s="29">
        <v>45407</v>
      </c>
      <c r="B3158" s="22" t="s">
        <v>75</v>
      </c>
      <c r="C3158" s="22" t="s">
        <v>151</v>
      </c>
      <c r="D3158" s="48" t="s">
        <v>8</v>
      </c>
      <c r="E3158" t="s">
        <v>192</v>
      </c>
      <c r="F3158">
        <v>2023</v>
      </c>
      <c r="G3158" t="s">
        <v>618</v>
      </c>
      <c r="H3158" s="42" t="s">
        <v>1374</v>
      </c>
      <c r="J3158" t="s">
        <v>248</v>
      </c>
      <c r="K3158" t="s">
        <v>1417</v>
      </c>
      <c r="L3158" s="34">
        <v>2</v>
      </c>
      <c r="M3158" s="38">
        <v>0.75</v>
      </c>
      <c r="N3158" s="38">
        <f t="shared" si="49"/>
        <v>1.5</v>
      </c>
    </row>
    <row r="3159" spans="1:14">
      <c r="A3159" s="29">
        <v>45407</v>
      </c>
      <c r="B3159" s="22" t="s">
        <v>75</v>
      </c>
      <c r="C3159" s="22" t="s">
        <v>151</v>
      </c>
      <c r="D3159" s="48" t="s">
        <v>8</v>
      </c>
      <c r="E3159" t="s">
        <v>1415</v>
      </c>
      <c r="F3159">
        <v>2023</v>
      </c>
      <c r="G3159" t="s">
        <v>1414</v>
      </c>
      <c r="H3159" s="42" t="s">
        <v>57</v>
      </c>
      <c r="J3159" t="s">
        <v>248</v>
      </c>
      <c r="K3159" t="s">
        <v>1418</v>
      </c>
      <c r="L3159" s="34">
        <v>2</v>
      </c>
      <c r="M3159" s="38">
        <v>0.75</v>
      </c>
      <c r="N3159" s="38">
        <f t="shared" si="49"/>
        <v>1.5</v>
      </c>
    </row>
    <row r="3160" spans="1:14">
      <c r="A3160" s="29">
        <v>45407</v>
      </c>
      <c r="B3160" s="22" t="s">
        <v>57</v>
      </c>
      <c r="C3160" s="22" t="s">
        <v>271</v>
      </c>
      <c r="D3160" s="48" t="s">
        <v>5</v>
      </c>
      <c r="E3160" t="s">
        <v>159</v>
      </c>
      <c r="F3160">
        <v>2023</v>
      </c>
      <c r="G3160" t="s">
        <v>618</v>
      </c>
      <c r="H3160" s="42" t="s">
        <v>1142</v>
      </c>
      <c r="J3160" t="s">
        <v>248</v>
      </c>
      <c r="K3160" t="s">
        <v>1419</v>
      </c>
      <c r="L3160" s="34">
        <v>2</v>
      </c>
      <c r="M3160" s="38">
        <v>0.75</v>
      </c>
      <c r="N3160" s="38">
        <f t="shared" si="49"/>
        <v>1.5</v>
      </c>
    </row>
    <row r="3161" spans="1:14">
      <c r="A3161" s="29">
        <v>45407</v>
      </c>
      <c r="B3161" s="22" t="s">
        <v>57</v>
      </c>
      <c r="C3161" s="22" t="s">
        <v>271</v>
      </c>
      <c r="D3161" s="48" t="s">
        <v>5</v>
      </c>
      <c r="E3161" t="s">
        <v>1415</v>
      </c>
      <c r="F3161">
        <v>2023</v>
      </c>
      <c r="G3161" t="s">
        <v>618</v>
      </c>
      <c r="H3161" s="42" t="s">
        <v>57</v>
      </c>
      <c r="J3161" t="s">
        <v>248</v>
      </c>
      <c r="K3161" t="s">
        <v>1420</v>
      </c>
      <c r="L3161" s="34">
        <v>2</v>
      </c>
      <c r="M3161" s="38">
        <v>0.75</v>
      </c>
      <c r="N3161" s="38">
        <f t="shared" si="49"/>
        <v>1.5</v>
      </c>
    </row>
    <row r="3162" spans="1:14">
      <c r="A3162" s="29">
        <v>45407</v>
      </c>
      <c r="B3162" s="22" t="s">
        <v>57</v>
      </c>
      <c r="C3162" s="22" t="s">
        <v>271</v>
      </c>
      <c r="D3162" s="48" t="s">
        <v>8</v>
      </c>
      <c r="E3162" t="s">
        <v>178</v>
      </c>
      <c r="F3162">
        <v>2023</v>
      </c>
      <c r="G3162" t="s">
        <v>618</v>
      </c>
      <c r="H3162" s="42" t="s">
        <v>1374</v>
      </c>
      <c r="J3162" t="s">
        <v>248</v>
      </c>
      <c r="L3162" s="34">
        <v>2</v>
      </c>
      <c r="M3162" s="38">
        <v>0.75</v>
      </c>
      <c r="N3162" s="38">
        <f t="shared" si="49"/>
        <v>1.5</v>
      </c>
    </row>
    <row r="3163" spans="1:14">
      <c r="A3163" s="29">
        <v>45407</v>
      </c>
      <c r="B3163" s="22" t="s">
        <v>57</v>
      </c>
      <c r="C3163" s="22" t="s">
        <v>271</v>
      </c>
      <c r="D3163" s="48" t="s">
        <v>8</v>
      </c>
      <c r="E3163" t="s">
        <v>179</v>
      </c>
      <c r="F3163">
        <v>2023</v>
      </c>
      <c r="G3163" t="s">
        <v>618</v>
      </c>
      <c r="H3163" s="42" t="s">
        <v>1375</v>
      </c>
      <c r="J3163" t="s">
        <v>248</v>
      </c>
      <c r="L3163" s="34">
        <v>2</v>
      </c>
      <c r="M3163" s="38">
        <v>0.75</v>
      </c>
      <c r="N3163" s="38">
        <f t="shared" si="49"/>
        <v>1.5</v>
      </c>
    </row>
    <row r="3164" spans="1:14">
      <c r="A3164" s="29">
        <v>45414</v>
      </c>
      <c r="B3164" s="22" t="s">
        <v>63</v>
      </c>
      <c r="C3164" s="22" t="s">
        <v>57</v>
      </c>
      <c r="D3164" s="48" t="s">
        <v>8</v>
      </c>
      <c r="E3164" t="s">
        <v>178</v>
      </c>
      <c r="F3164">
        <v>2023</v>
      </c>
      <c r="G3164" t="s">
        <v>618</v>
      </c>
      <c r="H3164" s="42" t="s">
        <v>1374</v>
      </c>
      <c r="J3164" t="s">
        <v>248</v>
      </c>
      <c r="L3164" s="34">
        <v>1</v>
      </c>
      <c r="M3164" s="38">
        <v>0.75</v>
      </c>
      <c r="N3164" s="38">
        <f t="shared" si="49"/>
        <v>0.75</v>
      </c>
    </row>
    <row r="3165" spans="1:14">
      <c r="A3165" s="29">
        <v>45414</v>
      </c>
      <c r="B3165" s="22" t="s">
        <v>63</v>
      </c>
      <c r="C3165" s="22" t="s">
        <v>57</v>
      </c>
      <c r="D3165" s="48" t="s">
        <v>8</v>
      </c>
      <c r="E3165" t="s">
        <v>1130</v>
      </c>
      <c r="F3165">
        <v>2023</v>
      </c>
      <c r="G3165" t="s">
        <v>618</v>
      </c>
      <c r="H3165" s="42" t="s">
        <v>1373</v>
      </c>
      <c r="J3165" t="s">
        <v>248</v>
      </c>
      <c r="L3165" s="34">
        <v>1</v>
      </c>
      <c r="M3165" s="38">
        <v>0.75</v>
      </c>
      <c r="N3165" s="38">
        <f t="shared" si="49"/>
        <v>0.75</v>
      </c>
    </row>
    <row r="3166" spans="1:14">
      <c r="A3166" s="29">
        <v>45414</v>
      </c>
      <c r="B3166" s="22" t="s">
        <v>63</v>
      </c>
      <c r="C3166" s="22" t="s">
        <v>57</v>
      </c>
      <c r="D3166" s="48" t="s">
        <v>8</v>
      </c>
      <c r="E3166" t="s">
        <v>179</v>
      </c>
      <c r="F3166">
        <v>2023</v>
      </c>
      <c r="G3166" t="s">
        <v>618</v>
      </c>
      <c r="H3166" s="42" t="s">
        <v>1375</v>
      </c>
      <c r="J3166" t="s">
        <v>248</v>
      </c>
      <c r="L3166" s="34">
        <v>4</v>
      </c>
      <c r="M3166" s="38">
        <v>0.75</v>
      </c>
      <c r="N3166" s="38">
        <f t="shared" si="49"/>
        <v>3</v>
      </c>
    </row>
    <row r="3167" spans="1:14">
      <c r="A3167" s="29">
        <v>45414</v>
      </c>
      <c r="B3167" s="22" t="s">
        <v>63</v>
      </c>
      <c r="C3167" s="22" t="s">
        <v>57</v>
      </c>
      <c r="D3167" s="48" t="s">
        <v>8</v>
      </c>
      <c r="E3167" t="s">
        <v>180</v>
      </c>
      <c r="F3167">
        <v>2023</v>
      </c>
      <c r="G3167" t="s">
        <v>618</v>
      </c>
      <c r="H3167" s="42" t="s">
        <v>1421</v>
      </c>
      <c r="J3167" t="s">
        <v>248</v>
      </c>
      <c r="L3167" s="34">
        <v>4</v>
      </c>
      <c r="M3167" s="38">
        <v>0.75</v>
      </c>
      <c r="N3167" s="38">
        <f t="shared" si="49"/>
        <v>3</v>
      </c>
    </row>
    <row r="3168" spans="1:14">
      <c r="A3168" s="29">
        <v>45425</v>
      </c>
      <c r="B3168" s="22" t="s">
        <v>63</v>
      </c>
      <c r="C3168" s="22" t="s">
        <v>57</v>
      </c>
      <c r="D3168" s="48" t="s">
        <v>8</v>
      </c>
      <c r="E3168" t="s">
        <v>178</v>
      </c>
      <c r="F3168">
        <v>2023</v>
      </c>
      <c r="G3168" t="s">
        <v>618</v>
      </c>
      <c r="H3168" s="44" t="s">
        <v>1374</v>
      </c>
      <c r="J3168" s="2" t="s">
        <v>248</v>
      </c>
      <c r="K3168" t="s">
        <v>1412</v>
      </c>
      <c r="L3168" s="34">
        <v>2</v>
      </c>
      <c r="M3168" s="38">
        <v>0.75</v>
      </c>
      <c r="N3168" s="38">
        <f t="shared" si="49"/>
        <v>1.5</v>
      </c>
    </row>
    <row r="3169" spans="1:14">
      <c r="A3169" s="29">
        <v>45425</v>
      </c>
      <c r="B3169" s="22" t="s">
        <v>63</v>
      </c>
      <c r="C3169" s="22" t="s">
        <v>57</v>
      </c>
      <c r="D3169" s="48" t="s">
        <v>8</v>
      </c>
      <c r="E3169" t="s">
        <v>179</v>
      </c>
      <c r="F3169">
        <v>2023</v>
      </c>
      <c r="G3169" t="s">
        <v>618</v>
      </c>
      <c r="H3169" s="42" t="s">
        <v>1375</v>
      </c>
      <c r="J3169" t="s">
        <v>248</v>
      </c>
      <c r="K3169" t="s">
        <v>1413</v>
      </c>
      <c r="L3169" s="34">
        <v>4</v>
      </c>
      <c r="M3169" s="38">
        <v>0.75</v>
      </c>
      <c r="N3169" s="38">
        <f t="shared" si="49"/>
        <v>3</v>
      </c>
    </row>
    <row r="3170" spans="1:14">
      <c r="A3170" s="29">
        <v>45426</v>
      </c>
      <c r="B3170" s="22" t="s">
        <v>57</v>
      </c>
      <c r="C3170" s="22" t="s">
        <v>151</v>
      </c>
      <c r="D3170" s="48" t="s">
        <v>8</v>
      </c>
      <c r="E3170" t="s">
        <v>1415</v>
      </c>
      <c r="F3170">
        <v>2023</v>
      </c>
      <c r="G3170" t="s">
        <v>618</v>
      </c>
      <c r="H3170" s="42" t="s">
        <v>57</v>
      </c>
      <c r="J3170" t="s">
        <v>248</v>
      </c>
      <c r="K3170" t="s">
        <v>1422</v>
      </c>
      <c r="L3170" s="34">
        <v>3</v>
      </c>
      <c r="M3170" s="38">
        <v>0.75</v>
      </c>
      <c r="N3170" s="38">
        <f t="shared" si="49"/>
        <v>2.25</v>
      </c>
    </row>
    <row r="3171" spans="1:14">
      <c r="A3171" s="29">
        <v>45426</v>
      </c>
      <c r="B3171" s="22" t="s">
        <v>57</v>
      </c>
      <c r="C3171" s="22" t="s">
        <v>151</v>
      </c>
      <c r="D3171" s="48" t="s">
        <v>8</v>
      </c>
      <c r="E3171" t="s">
        <v>1130</v>
      </c>
      <c r="F3171">
        <v>2023</v>
      </c>
      <c r="G3171" t="s">
        <v>618</v>
      </c>
      <c r="H3171" s="42" t="s">
        <v>1373</v>
      </c>
      <c r="J3171" t="s">
        <v>248</v>
      </c>
      <c r="K3171" t="s">
        <v>1136</v>
      </c>
      <c r="L3171" s="34">
        <v>3</v>
      </c>
      <c r="M3171" s="38">
        <v>0.75</v>
      </c>
      <c r="N3171" s="38">
        <f t="shared" si="49"/>
        <v>2.25</v>
      </c>
    </row>
    <row r="3172" spans="1:14">
      <c r="A3172" s="29">
        <v>45426</v>
      </c>
      <c r="B3172" s="22" t="s">
        <v>63</v>
      </c>
      <c r="C3172" s="22" t="s">
        <v>57</v>
      </c>
      <c r="D3172" s="48" t="s">
        <v>5</v>
      </c>
      <c r="E3172" t="s">
        <v>255</v>
      </c>
      <c r="F3172">
        <v>2023</v>
      </c>
      <c r="G3172" t="s">
        <v>618</v>
      </c>
      <c r="H3172" s="42" t="s">
        <v>1405</v>
      </c>
      <c r="J3172" t="s">
        <v>248</v>
      </c>
      <c r="L3172" s="34">
        <v>2</v>
      </c>
      <c r="M3172" s="38">
        <v>0.75</v>
      </c>
      <c r="N3172" s="38">
        <f t="shared" si="49"/>
        <v>1.5</v>
      </c>
    </row>
    <row r="3173" spans="1:14">
      <c r="A3173" s="29">
        <v>45427</v>
      </c>
      <c r="B3173" s="22" t="s">
        <v>3</v>
      </c>
      <c r="C3173" s="22" t="s">
        <v>57</v>
      </c>
      <c r="D3173" s="48" t="s">
        <v>5</v>
      </c>
      <c r="E3173" t="s">
        <v>157</v>
      </c>
      <c r="F3173">
        <v>2023</v>
      </c>
      <c r="G3173" t="s">
        <v>253</v>
      </c>
      <c r="H3173" s="42" t="s">
        <v>1329</v>
      </c>
      <c r="J3173" t="s">
        <v>248</v>
      </c>
      <c r="L3173" s="34">
        <v>3</v>
      </c>
      <c r="M3173" s="38">
        <v>0.75</v>
      </c>
      <c r="N3173" s="38">
        <f t="shared" si="49"/>
        <v>2.25</v>
      </c>
    </row>
    <row r="3174" spans="1:14">
      <c r="A3174" s="29">
        <v>45427</v>
      </c>
      <c r="B3174" s="22" t="s">
        <v>3</v>
      </c>
      <c r="C3174" s="22" t="s">
        <v>57</v>
      </c>
      <c r="D3174" s="48" t="s">
        <v>5</v>
      </c>
      <c r="E3174" t="s">
        <v>157</v>
      </c>
      <c r="F3174">
        <v>2023</v>
      </c>
      <c r="G3174" t="s">
        <v>251</v>
      </c>
      <c r="H3174" s="42" t="s">
        <v>1217</v>
      </c>
      <c r="J3174" t="s">
        <v>248</v>
      </c>
      <c r="L3174" s="34">
        <v>3</v>
      </c>
      <c r="M3174" s="38">
        <v>0.75</v>
      </c>
      <c r="N3174" s="38">
        <f t="shared" si="49"/>
        <v>2.25</v>
      </c>
    </row>
    <row r="3175" spans="1:14">
      <c r="A3175" s="29">
        <v>45427</v>
      </c>
      <c r="B3175" s="22" t="s">
        <v>109</v>
      </c>
      <c r="C3175" s="22" t="s">
        <v>57</v>
      </c>
      <c r="D3175" s="48" t="s">
        <v>8</v>
      </c>
      <c r="E3175" t="s">
        <v>502</v>
      </c>
      <c r="F3175">
        <v>2023</v>
      </c>
      <c r="G3175" t="s">
        <v>618</v>
      </c>
      <c r="H3175" s="42" t="s">
        <v>1352</v>
      </c>
      <c r="J3175" t="s">
        <v>248</v>
      </c>
      <c r="K3175" t="s">
        <v>1423</v>
      </c>
      <c r="L3175" s="34">
        <v>1</v>
      </c>
      <c r="M3175" s="38">
        <v>0.75</v>
      </c>
      <c r="N3175" s="38">
        <f t="shared" si="49"/>
        <v>0.75</v>
      </c>
    </row>
    <row r="3176" spans="1:14">
      <c r="A3176" s="29">
        <v>45427</v>
      </c>
      <c r="B3176" s="22" t="s">
        <v>109</v>
      </c>
      <c r="C3176" s="22" t="s">
        <v>57</v>
      </c>
      <c r="D3176" s="48" t="s">
        <v>8</v>
      </c>
      <c r="E3176" t="s">
        <v>502</v>
      </c>
      <c r="F3176">
        <v>2023</v>
      </c>
      <c r="G3176" t="s">
        <v>618</v>
      </c>
      <c r="H3176" s="42" t="s">
        <v>1249</v>
      </c>
      <c r="J3176" t="s">
        <v>248</v>
      </c>
      <c r="K3176" t="s">
        <v>1314</v>
      </c>
      <c r="L3176" s="34">
        <v>1</v>
      </c>
      <c r="M3176" s="38">
        <v>0.75</v>
      </c>
      <c r="N3176" s="38">
        <f t="shared" si="49"/>
        <v>0.75</v>
      </c>
    </row>
    <row r="3177" spans="1:14">
      <c r="A3177" s="29">
        <v>45427</v>
      </c>
      <c r="B3177" s="22" t="s">
        <v>109</v>
      </c>
      <c r="C3177" s="22" t="s">
        <v>57</v>
      </c>
      <c r="D3177" s="48" t="s">
        <v>8</v>
      </c>
      <c r="E3177" t="s">
        <v>502</v>
      </c>
      <c r="F3177">
        <v>2023</v>
      </c>
      <c r="G3177" t="s">
        <v>618</v>
      </c>
      <c r="H3177" s="42" t="s">
        <v>57</v>
      </c>
      <c r="J3177" t="s">
        <v>248</v>
      </c>
      <c r="K3177" t="s">
        <v>1424</v>
      </c>
      <c r="L3177" s="34">
        <v>1</v>
      </c>
      <c r="M3177" s="38">
        <v>0.75</v>
      </c>
      <c r="N3177" s="38">
        <f t="shared" si="49"/>
        <v>0.75</v>
      </c>
    </row>
    <row r="3178" spans="1:14">
      <c r="A3178" s="29">
        <v>45427</v>
      </c>
      <c r="B3178" s="22" t="s">
        <v>109</v>
      </c>
      <c r="C3178" s="22" t="s">
        <v>57</v>
      </c>
      <c r="D3178" s="48" t="s">
        <v>8</v>
      </c>
      <c r="E3178" t="s">
        <v>502</v>
      </c>
      <c r="F3178">
        <v>2023</v>
      </c>
      <c r="G3178" t="s">
        <v>618</v>
      </c>
      <c r="H3178" s="42" t="s">
        <v>57</v>
      </c>
      <c r="J3178" t="s">
        <v>248</v>
      </c>
      <c r="K3178" t="s">
        <v>1425</v>
      </c>
      <c r="L3178" s="34">
        <v>1</v>
      </c>
      <c r="M3178" s="38">
        <v>0.75</v>
      </c>
      <c r="N3178" s="38">
        <f t="shared" si="49"/>
        <v>0.75</v>
      </c>
    </row>
    <row r="3179" spans="1:14">
      <c r="A3179" s="29">
        <v>45434</v>
      </c>
      <c r="B3179" s="22" t="s">
        <v>16</v>
      </c>
      <c r="C3179" s="22" t="s">
        <v>49</v>
      </c>
      <c r="D3179" s="48" t="s">
        <v>5</v>
      </c>
      <c r="E3179" t="s">
        <v>1278</v>
      </c>
      <c r="F3179">
        <v>2023</v>
      </c>
      <c r="G3179" t="s">
        <v>618</v>
      </c>
      <c r="H3179" s="42" t="s">
        <v>1260</v>
      </c>
      <c r="J3179" t="s">
        <v>248</v>
      </c>
      <c r="L3179" s="34">
        <v>3</v>
      </c>
      <c r="M3179" s="38">
        <v>0.75</v>
      </c>
      <c r="N3179" s="38">
        <f t="shared" si="49"/>
        <v>2.25</v>
      </c>
    </row>
    <row r="3180" spans="1:14">
      <c r="A3180" s="29">
        <v>45434</v>
      </c>
      <c r="B3180" s="22" t="s">
        <v>16</v>
      </c>
      <c r="C3180" s="22" t="s">
        <v>49</v>
      </c>
      <c r="D3180" s="48" t="s">
        <v>5</v>
      </c>
      <c r="E3180" t="s">
        <v>159</v>
      </c>
      <c r="F3180">
        <v>2023</v>
      </c>
      <c r="G3180" t="s">
        <v>251</v>
      </c>
      <c r="H3180" s="42" t="s">
        <v>1142</v>
      </c>
      <c r="J3180" t="s">
        <v>248</v>
      </c>
      <c r="L3180" s="34">
        <v>3</v>
      </c>
      <c r="M3180" s="38">
        <v>0.75</v>
      </c>
      <c r="N3180" s="38">
        <f t="shared" si="49"/>
        <v>2.25</v>
      </c>
    </row>
    <row r="3181" spans="1:14">
      <c r="A3181" s="29">
        <v>45434</v>
      </c>
      <c r="B3181" s="22" t="s">
        <v>16</v>
      </c>
      <c r="C3181" s="22" t="s">
        <v>49</v>
      </c>
      <c r="D3181" s="48" t="s">
        <v>5</v>
      </c>
      <c r="E3181" t="s">
        <v>158</v>
      </c>
      <c r="F3181">
        <v>2023</v>
      </c>
      <c r="G3181" t="s">
        <v>618</v>
      </c>
      <c r="H3181" s="42" t="s">
        <v>1426</v>
      </c>
      <c r="J3181" t="s">
        <v>248</v>
      </c>
      <c r="L3181" s="34">
        <v>3</v>
      </c>
      <c r="M3181" s="38">
        <v>0.75</v>
      </c>
      <c r="N3181" s="38">
        <f t="shared" si="49"/>
        <v>2.25</v>
      </c>
    </row>
    <row r="3182" spans="1:14">
      <c r="A3182" s="29">
        <v>45434</v>
      </c>
      <c r="B3182" s="22" t="s">
        <v>16</v>
      </c>
      <c r="C3182" s="22" t="s">
        <v>49</v>
      </c>
      <c r="D3182" s="48" t="s">
        <v>5</v>
      </c>
      <c r="E3182" t="s">
        <v>255</v>
      </c>
      <c r="F3182">
        <v>2023</v>
      </c>
      <c r="G3182" t="s">
        <v>618</v>
      </c>
      <c r="H3182" s="42" t="s">
        <v>1203</v>
      </c>
      <c r="J3182" t="s">
        <v>248</v>
      </c>
      <c r="L3182" s="34">
        <v>3</v>
      </c>
      <c r="M3182" s="38">
        <v>0.75</v>
      </c>
      <c r="N3182" s="38">
        <f t="shared" si="49"/>
        <v>2.25</v>
      </c>
    </row>
    <row r="3183" spans="1:14">
      <c r="A3183" s="29">
        <v>45434</v>
      </c>
      <c r="B3183" s="22" t="s">
        <v>16</v>
      </c>
      <c r="C3183" s="22" t="s">
        <v>49</v>
      </c>
      <c r="D3183" s="48" t="s">
        <v>8</v>
      </c>
      <c r="E3183" t="s">
        <v>186</v>
      </c>
      <c r="F3183">
        <v>2023</v>
      </c>
      <c r="G3183" t="s">
        <v>618</v>
      </c>
      <c r="H3183" s="42" t="s">
        <v>1375</v>
      </c>
      <c r="J3183" t="s">
        <v>248</v>
      </c>
      <c r="K3183" t="s">
        <v>1427</v>
      </c>
      <c r="L3183" s="34">
        <v>3</v>
      </c>
      <c r="M3183" s="38">
        <v>0.75</v>
      </c>
      <c r="N3183" s="38">
        <f t="shared" si="49"/>
        <v>2.25</v>
      </c>
    </row>
    <row r="3184" spans="1:14">
      <c r="A3184" s="29">
        <v>45434</v>
      </c>
      <c r="B3184" s="22" t="s">
        <v>16</v>
      </c>
      <c r="C3184" s="22" t="s">
        <v>49</v>
      </c>
      <c r="D3184" s="48" t="s">
        <v>8</v>
      </c>
      <c r="E3184" t="s">
        <v>1130</v>
      </c>
      <c r="F3184">
        <v>2023</v>
      </c>
      <c r="G3184" t="s">
        <v>618</v>
      </c>
      <c r="H3184" s="42" t="s">
        <v>1373</v>
      </c>
      <c r="J3184" t="s">
        <v>248</v>
      </c>
      <c r="L3184" s="34">
        <v>3</v>
      </c>
      <c r="M3184" s="38">
        <v>0.75</v>
      </c>
      <c r="N3184" s="38">
        <f t="shared" si="49"/>
        <v>2.25</v>
      </c>
    </row>
    <row r="3185" spans="1:14">
      <c r="A3185" s="29">
        <v>45434</v>
      </c>
      <c r="B3185" s="22" t="s">
        <v>16</v>
      </c>
      <c r="C3185" s="22" t="s">
        <v>49</v>
      </c>
      <c r="D3185" s="48" t="s">
        <v>11</v>
      </c>
      <c r="E3185" t="s">
        <v>180</v>
      </c>
      <c r="F3185">
        <v>2023</v>
      </c>
      <c r="G3185" t="s">
        <v>618</v>
      </c>
      <c r="H3185" s="42" t="s">
        <v>1367</v>
      </c>
      <c r="J3185" t="s">
        <v>248</v>
      </c>
      <c r="L3185" s="34">
        <v>3</v>
      </c>
      <c r="M3185" s="38">
        <v>0.75</v>
      </c>
      <c r="N3185" s="38">
        <f t="shared" si="49"/>
        <v>2.25</v>
      </c>
    </row>
    <row r="3186" spans="1:14">
      <c r="A3186" s="29">
        <v>45434</v>
      </c>
      <c r="B3186" s="22" t="s">
        <v>16</v>
      </c>
      <c r="C3186" s="22" t="s">
        <v>49</v>
      </c>
      <c r="D3186" s="48" t="s">
        <v>11</v>
      </c>
      <c r="E3186" t="s">
        <v>1086</v>
      </c>
      <c r="F3186">
        <v>2023</v>
      </c>
      <c r="G3186" t="s">
        <v>618</v>
      </c>
      <c r="H3186" s="42" t="s">
        <v>1401</v>
      </c>
      <c r="J3186" t="s">
        <v>248</v>
      </c>
      <c r="L3186" s="34">
        <v>3</v>
      </c>
      <c r="M3186" s="38">
        <v>0.75</v>
      </c>
      <c r="N3186" s="38">
        <f t="shared" ref="N3186:N3249" si="50">M3186*L3186</f>
        <v>2.25</v>
      </c>
    </row>
    <row r="3187" spans="1:14">
      <c r="A3187" s="29">
        <v>45434</v>
      </c>
      <c r="B3187" s="22" t="s">
        <v>63</v>
      </c>
      <c r="C3187" s="22" t="s">
        <v>57</v>
      </c>
      <c r="D3187" s="48" t="s">
        <v>5</v>
      </c>
      <c r="E3187" t="s">
        <v>157</v>
      </c>
      <c r="F3187">
        <v>2023</v>
      </c>
      <c r="G3187" t="s">
        <v>507</v>
      </c>
      <c r="H3187" s="42" t="s">
        <v>1391</v>
      </c>
      <c r="J3187" t="s">
        <v>248</v>
      </c>
      <c r="L3187" s="34">
        <v>2</v>
      </c>
      <c r="M3187" s="38">
        <v>0.75</v>
      </c>
      <c r="N3187" s="38">
        <f t="shared" si="50"/>
        <v>1.5</v>
      </c>
    </row>
    <row r="3188" spans="1:14">
      <c r="A3188" s="29">
        <v>45434</v>
      </c>
      <c r="B3188" s="22" t="s">
        <v>63</v>
      </c>
      <c r="C3188" s="22" t="s">
        <v>57</v>
      </c>
      <c r="D3188" s="48" t="s">
        <v>8</v>
      </c>
      <c r="E3188" t="s">
        <v>179</v>
      </c>
      <c r="F3188">
        <v>2023</v>
      </c>
      <c r="G3188" t="s">
        <v>618</v>
      </c>
      <c r="H3188" s="42" t="s">
        <v>1375</v>
      </c>
      <c r="J3188" t="s">
        <v>248</v>
      </c>
      <c r="K3188" t="s">
        <v>1427</v>
      </c>
      <c r="L3188" s="34">
        <v>2</v>
      </c>
      <c r="M3188" s="38">
        <v>0.75</v>
      </c>
      <c r="N3188" s="38">
        <f t="shared" si="50"/>
        <v>1.5</v>
      </c>
    </row>
    <row r="3189" spans="1:14">
      <c r="A3189" s="29">
        <v>45435</v>
      </c>
      <c r="B3189" s="22" t="s">
        <v>1268</v>
      </c>
      <c r="C3189" s="22" t="s">
        <v>57</v>
      </c>
      <c r="D3189" s="48" t="s">
        <v>5</v>
      </c>
      <c r="E3189" t="s">
        <v>159</v>
      </c>
      <c r="F3189">
        <v>2023</v>
      </c>
      <c r="G3189" t="s">
        <v>253</v>
      </c>
      <c r="H3189" s="42" t="s">
        <v>1345</v>
      </c>
      <c r="J3189" t="s">
        <v>248</v>
      </c>
      <c r="L3189" s="34">
        <v>6</v>
      </c>
      <c r="M3189" s="38">
        <v>0.75</v>
      </c>
      <c r="N3189" s="38">
        <f t="shared" si="50"/>
        <v>4.5</v>
      </c>
    </row>
    <row r="3190" spans="1:14">
      <c r="A3190" s="29">
        <v>45435</v>
      </c>
      <c r="B3190" s="22" t="s">
        <v>1268</v>
      </c>
      <c r="C3190" s="22" t="s">
        <v>57</v>
      </c>
      <c r="D3190" s="48" t="s">
        <v>11</v>
      </c>
      <c r="E3190" t="s">
        <v>180</v>
      </c>
      <c r="F3190">
        <v>2023</v>
      </c>
      <c r="H3190" s="42" t="s">
        <v>1428</v>
      </c>
      <c r="J3190" t="s">
        <v>248</v>
      </c>
      <c r="L3190" s="34">
        <v>1</v>
      </c>
      <c r="M3190" s="38">
        <v>0.75</v>
      </c>
      <c r="N3190" s="38">
        <f t="shared" si="50"/>
        <v>0.75</v>
      </c>
    </row>
    <row r="3191" spans="1:14">
      <c r="A3191" s="29">
        <v>45435</v>
      </c>
      <c r="B3191" s="22" t="s">
        <v>1268</v>
      </c>
      <c r="C3191" s="22" t="s">
        <v>57</v>
      </c>
      <c r="D3191" s="48" t="s">
        <v>11</v>
      </c>
      <c r="E3191" t="s">
        <v>177</v>
      </c>
      <c r="F3191">
        <v>2023</v>
      </c>
      <c r="H3191" s="42" t="s">
        <v>1429</v>
      </c>
      <c r="J3191" t="s">
        <v>248</v>
      </c>
      <c r="L3191" s="34">
        <v>1</v>
      </c>
      <c r="M3191" s="38">
        <v>0.75</v>
      </c>
      <c r="N3191" s="38">
        <f t="shared" si="50"/>
        <v>0.75</v>
      </c>
    </row>
    <row r="3192" spans="1:14">
      <c r="A3192" s="29">
        <v>45435</v>
      </c>
      <c r="B3192" s="22" t="s">
        <v>75</v>
      </c>
      <c r="C3192" s="22" t="s">
        <v>151</v>
      </c>
      <c r="D3192" s="48" t="s">
        <v>8</v>
      </c>
      <c r="E3192" t="s">
        <v>273</v>
      </c>
      <c r="F3192">
        <v>2023</v>
      </c>
      <c r="G3192" t="s">
        <v>618</v>
      </c>
      <c r="H3192" s="42" t="s">
        <v>1027</v>
      </c>
      <c r="J3192" t="s">
        <v>248</v>
      </c>
      <c r="K3192" t="s">
        <v>1417</v>
      </c>
      <c r="L3192" s="34">
        <v>3</v>
      </c>
      <c r="M3192" s="38">
        <v>0.75</v>
      </c>
      <c r="N3192" s="38">
        <f t="shared" si="50"/>
        <v>2.25</v>
      </c>
    </row>
    <row r="3193" spans="1:14">
      <c r="A3193" s="29">
        <v>45439</v>
      </c>
      <c r="B3193" s="22" t="s">
        <v>63</v>
      </c>
      <c r="C3193" s="22" t="s">
        <v>57</v>
      </c>
      <c r="D3193" s="48" t="s">
        <v>5</v>
      </c>
      <c r="E3193" t="s">
        <v>159</v>
      </c>
      <c r="F3193">
        <v>2023</v>
      </c>
      <c r="G3193" t="s">
        <v>251</v>
      </c>
      <c r="H3193" s="42" t="s">
        <v>1142</v>
      </c>
      <c r="J3193" t="s">
        <v>248</v>
      </c>
      <c r="L3193" s="34">
        <v>3</v>
      </c>
      <c r="M3193" s="38">
        <v>0.75</v>
      </c>
      <c r="N3193" s="38">
        <f t="shared" si="50"/>
        <v>2.25</v>
      </c>
    </row>
    <row r="3194" spans="1:14">
      <c r="A3194" s="29">
        <v>45439</v>
      </c>
      <c r="B3194" s="22" t="s">
        <v>16</v>
      </c>
      <c r="C3194" s="22" t="s">
        <v>49</v>
      </c>
      <c r="D3194" s="48" t="s">
        <v>11</v>
      </c>
      <c r="E3194" t="s">
        <v>180</v>
      </c>
      <c r="F3194">
        <v>2023</v>
      </c>
      <c r="G3194" t="s">
        <v>618</v>
      </c>
      <c r="H3194" s="42" t="s">
        <v>1367</v>
      </c>
      <c r="J3194" t="s">
        <v>248</v>
      </c>
      <c r="L3194" s="34">
        <v>3</v>
      </c>
      <c r="M3194" s="38">
        <v>0.75</v>
      </c>
      <c r="N3194" s="38">
        <f t="shared" si="50"/>
        <v>2.25</v>
      </c>
    </row>
    <row r="3195" spans="1:14">
      <c r="A3195" s="29">
        <v>45439</v>
      </c>
      <c r="B3195" s="22" t="s">
        <v>16</v>
      </c>
      <c r="C3195" s="22" t="s">
        <v>49</v>
      </c>
      <c r="D3195" s="48" t="s">
        <v>11</v>
      </c>
      <c r="E3195" t="s">
        <v>1430</v>
      </c>
      <c r="F3195">
        <v>2023</v>
      </c>
      <c r="G3195" t="s">
        <v>618</v>
      </c>
      <c r="H3195" s="42" t="s">
        <v>1401</v>
      </c>
      <c r="J3195" t="s">
        <v>248</v>
      </c>
      <c r="K3195" t="s">
        <v>1431</v>
      </c>
      <c r="L3195" s="34">
        <v>3</v>
      </c>
      <c r="M3195" s="38">
        <v>0.75</v>
      </c>
      <c r="N3195" s="38">
        <f t="shared" si="50"/>
        <v>2.25</v>
      </c>
    </row>
    <row r="3196" spans="1:14">
      <c r="A3196" s="29">
        <v>45440</v>
      </c>
      <c r="B3196" s="22" t="s">
        <v>63</v>
      </c>
      <c r="C3196" s="22" t="s">
        <v>57</v>
      </c>
      <c r="D3196" s="48" t="s">
        <v>8</v>
      </c>
      <c r="E3196" t="s">
        <v>179</v>
      </c>
      <c r="F3196">
        <v>2023</v>
      </c>
      <c r="G3196" t="s">
        <v>618</v>
      </c>
      <c r="H3196" s="42" t="s">
        <v>1432</v>
      </c>
      <c r="J3196" t="s">
        <v>248</v>
      </c>
      <c r="K3196" t="s">
        <v>1433</v>
      </c>
      <c r="L3196" s="34">
        <v>4</v>
      </c>
      <c r="M3196" s="38">
        <v>0.75</v>
      </c>
      <c r="N3196" s="38">
        <f t="shared" si="50"/>
        <v>3</v>
      </c>
    </row>
    <row r="3197" spans="1:14">
      <c r="A3197" s="29">
        <v>45440</v>
      </c>
      <c r="B3197" s="22" t="s">
        <v>63</v>
      </c>
      <c r="C3197" s="22" t="s">
        <v>57</v>
      </c>
      <c r="D3197" s="48" t="s">
        <v>8</v>
      </c>
      <c r="E3197" t="s">
        <v>1130</v>
      </c>
      <c r="F3197">
        <v>2023</v>
      </c>
      <c r="G3197" t="s">
        <v>618</v>
      </c>
      <c r="H3197" s="42" t="s">
        <v>1421</v>
      </c>
      <c r="J3197" t="s">
        <v>248</v>
      </c>
      <c r="K3197" t="s">
        <v>1434</v>
      </c>
      <c r="L3197" s="34">
        <v>4</v>
      </c>
      <c r="M3197" s="38">
        <v>0.75</v>
      </c>
      <c r="N3197" s="38">
        <f t="shared" si="50"/>
        <v>3</v>
      </c>
    </row>
    <row r="3198" spans="1:14">
      <c r="A3198" s="29">
        <v>45440</v>
      </c>
      <c r="B3198" s="22" t="s">
        <v>79</v>
      </c>
      <c r="C3198" s="22" t="s">
        <v>57</v>
      </c>
      <c r="D3198" s="48" t="s">
        <v>11</v>
      </c>
      <c r="E3198" t="s">
        <v>1435</v>
      </c>
      <c r="F3198">
        <v>2023</v>
      </c>
      <c r="G3198" t="s">
        <v>618</v>
      </c>
      <c r="H3198" s="42" t="s">
        <v>1360</v>
      </c>
      <c r="J3198" t="s">
        <v>248</v>
      </c>
      <c r="L3198" s="34">
        <v>2</v>
      </c>
      <c r="M3198" s="38">
        <v>0.75</v>
      </c>
      <c r="N3198" s="38">
        <f t="shared" si="50"/>
        <v>1.5</v>
      </c>
    </row>
    <row r="3199" spans="1:14">
      <c r="A3199" s="29">
        <v>45440</v>
      </c>
      <c r="B3199" s="22" t="s">
        <v>79</v>
      </c>
      <c r="C3199" s="22" t="s">
        <v>57</v>
      </c>
      <c r="D3199" s="48" t="s">
        <v>8</v>
      </c>
      <c r="E3199" t="s">
        <v>190</v>
      </c>
      <c r="F3199">
        <v>2023</v>
      </c>
      <c r="G3199" t="s">
        <v>618</v>
      </c>
      <c r="H3199" s="42" t="s">
        <v>1324</v>
      </c>
      <c r="J3199" t="s">
        <v>248</v>
      </c>
      <c r="L3199" s="34">
        <v>3</v>
      </c>
      <c r="M3199" s="38">
        <v>0.75</v>
      </c>
      <c r="N3199" s="38">
        <f t="shared" si="50"/>
        <v>2.25</v>
      </c>
    </row>
    <row r="3200" spans="1:14">
      <c r="A3200" s="29">
        <v>45440</v>
      </c>
      <c r="B3200" s="22" t="s">
        <v>79</v>
      </c>
      <c r="C3200" s="22" t="s">
        <v>57</v>
      </c>
      <c r="D3200" s="48" t="s">
        <v>8</v>
      </c>
      <c r="E3200" t="s">
        <v>1130</v>
      </c>
      <c r="F3200">
        <v>2023</v>
      </c>
      <c r="G3200" t="s">
        <v>618</v>
      </c>
      <c r="H3200" s="42" t="s">
        <v>1421</v>
      </c>
      <c r="J3200" t="s">
        <v>248</v>
      </c>
      <c r="L3200" s="34">
        <v>3</v>
      </c>
      <c r="M3200" s="38">
        <v>0.75</v>
      </c>
      <c r="N3200" s="38">
        <f t="shared" si="50"/>
        <v>2.25</v>
      </c>
    </row>
    <row r="3201" spans="1:14">
      <c r="A3201" s="29">
        <v>45446</v>
      </c>
      <c r="B3201" s="22" t="s">
        <v>96</v>
      </c>
      <c r="C3201" s="22" t="s">
        <v>57</v>
      </c>
      <c r="D3201" s="48" t="s">
        <v>5</v>
      </c>
      <c r="E3201" t="s">
        <v>157</v>
      </c>
      <c r="F3201">
        <v>2023</v>
      </c>
      <c r="G3201" t="s">
        <v>247</v>
      </c>
      <c r="H3201" s="42" t="s">
        <v>1329</v>
      </c>
      <c r="J3201" t="s">
        <v>248</v>
      </c>
      <c r="L3201" s="34">
        <v>2</v>
      </c>
      <c r="M3201" s="38">
        <v>0.75</v>
      </c>
      <c r="N3201" s="38">
        <f t="shared" si="50"/>
        <v>1.5</v>
      </c>
    </row>
    <row r="3202" spans="1:14">
      <c r="A3202" s="29">
        <v>45446</v>
      </c>
      <c r="B3202" s="22" t="s">
        <v>96</v>
      </c>
      <c r="C3202" s="22" t="s">
        <v>57</v>
      </c>
      <c r="D3202" s="48" t="s">
        <v>5</v>
      </c>
      <c r="E3202" t="s">
        <v>157</v>
      </c>
      <c r="F3202">
        <v>2023</v>
      </c>
      <c r="G3202" t="s">
        <v>326</v>
      </c>
      <c r="H3202" s="42" t="s">
        <v>1309</v>
      </c>
      <c r="J3202" t="s">
        <v>248</v>
      </c>
      <c r="L3202" s="34">
        <v>2</v>
      </c>
      <c r="M3202" s="38">
        <v>0.75</v>
      </c>
      <c r="N3202" s="38">
        <f t="shared" si="50"/>
        <v>1.5</v>
      </c>
    </row>
    <row r="3203" spans="1:14">
      <c r="A3203" s="29">
        <v>45446</v>
      </c>
      <c r="B3203" s="22" t="s">
        <v>96</v>
      </c>
      <c r="C3203" s="22" t="s">
        <v>57</v>
      </c>
      <c r="D3203" s="48" t="s">
        <v>5</v>
      </c>
      <c r="E3203" t="s">
        <v>159</v>
      </c>
      <c r="F3203">
        <v>2023</v>
      </c>
      <c r="G3203" t="s">
        <v>326</v>
      </c>
      <c r="H3203" s="42" t="s">
        <v>1216</v>
      </c>
      <c r="J3203" t="s">
        <v>248</v>
      </c>
      <c r="L3203" s="34">
        <v>2</v>
      </c>
      <c r="M3203" s="38">
        <v>0.75</v>
      </c>
      <c r="N3203" s="38">
        <f t="shared" si="50"/>
        <v>1.5</v>
      </c>
    </row>
    <row r="3204" spans="1:14">
      <c r="A3204" s="29">
        <v>45446</v>
      </c>
      <c r="B3204" s="22" t="s">
        <v>57</v>
      </c>
      <c r="C3204" s="22" t="s">
        <v>1436</v>
      </c>
      <c r="D3204" s="48" t="s">
        <v>11</v>
      </c>
      <c r="E3204" t="s">
        <v>1415</v>
      </c>
      <c r="F3204">
        <v>2023</v>
      </c>
      <c r="G3204" t="s">
        <v>618</v>
      </c>
      <c r="H3204" s="42" t="s">
        <v>57</v>
      </c>
      <c r="J3204" t="s">
        <v>248</v>
      </c>
      <c r="K3204" t="s">
        <v>1437</v>
      </c>
      <c r="L3204" s="34">
        <v>2</v>
      </c>
      <c r="M3204" s="38">
        <v>0.75</v>
      </c>
      <c r="N3204" s="38">
        <f t="shared" si="50"/>
        <v>1.5</v>
      </c>
    </row>
    <row r="3205" spans="1:14">
      <c r="A3205" s="29">
        <v>45447</v>
      </c>
      <c r="B3205" s="22" t="s">
        <v>75</v>
      </c>
      <c r="C3205" s="22" t="s">
        <v>151</v>
      </c>
      <c r="D3205" s="48" t="s">
        <v>8</v>
      </c>
      <c r="E3205" t="s">
        <v>178</v>
      </c>
      <c r="F3205">
        <v>2023</v>
      </c>
      <c r="G3205" t="s">
        <v>618</v>
      </c>
      <c r="H3205" s="42" t="s">
        <v>1374</v>
      </c>
      <c r="J3205" t="s">
        <v>248</v>
      </c>
      <c r="L3205" s="34">
        <v>2</v>
      </c>
      <c r="M3205" s="38">
        <v>0.75</v>
      </c>
      <c r="N3205" s="38">
        <f t="shared" si="50"/>
        <v>1.5</v>
      </c>
    </row>
    <row r="3206" spans="1:14">
      <c r="A3206" s="29">
        <v>45447</v>
      </c>
      <c r="B3206" s="22" t="s">
        <v>75</v>
      </c>
      <c r="C3206" s="22" t="s">
        <v>151</v>
      </c>
      <c r="D3206" s="48" t="s">
        <v>8</v>
      </c>
      <c r="E3206" t="s">
        <v>1415</v>
      </c>
      <c r="F3206">
        <v>2023</v>
      </c>
      <c r="G3206" t="s">
        <v>618</v>
      </c>
      <c r="H3206" s="42" t="s">
        <v>57</v>
      </c>
      <c r="J3206" t="s">
        <v>248</v>
      </c>
      <c r="K3206" t="s">
        <v>1438</v>
      </c>
      <c r="L3206" s="34">
        <v>3</v>
      </c>
      <c r="M3206" s="38">
        <v>0.75</v>
      </c>
      <c r="N3206" s="38">
        <f t="shared" si="50"/>
        <v>2.25</v>
      </c>
    </row>
    <row r="3207" spans="1:14">
      <c r="A3207" s="29">
        <v>45447</v>
      </c>
      <c r="B3207" s="22" t="s">
        <v>75</v>
      </c>
      <c r="C3207" s="22" t="s">
        <v>151</v>
      </c>
      <c r="D3207" s="48" t="s">
        <v>8</v>
      </c>
      <c r="E3207" t="s">
        <v>179</v>
      </c>
      <c r="F3207">
        <v>2023</v>
      </c>
      <c r="G3207" t="s">
        <v>618</v>
      </c>
      <c r="H3207" s="42" t="s">
        <v>1372</v>
      </c>
      <c r="J3207" t="s">
        <v>248</v>
      </c>
      <c r="K3207" t="s">
        <v>1439</v>
      </c>
      <c r="L3207" s="34">
        <v>3</v>
      </c>
      <c r="M3207" s="38">
        <v>0.75</v>
      </c>
      <c r="N3207" s="38">
        <f t="shared" si="50"/>
        <v>2.25</v>
      </c>
    </row>
    <row r="3208" spans="1:14">
      <c r="A3208" s="29">
        <v>45447</v>
      </c>
      <c r="B3208" s="22" t="s">
        <v>57</v>
      </c>
      <c r="C3208" s="22" t="s">
        <v>41</v>
      </c>
      <c r="D3208" s="48" t="s">
        <v>5</v>
      </c>
      <c r="E3208" t="s">
        <v>159</v>
      </c>
      <c r="F3208">
        <v>2023</v>
      </c>
      <c r="G3208" t="s">
        <v>618</v>
      </c>
      <c r="H3208" s="42" t="s">
        <v>57</v>
      </c>
      <c r="J3208" t="s">
        <v>248</v>
      </c>
      <c r="K3208" t="s">
        <v>1440</v>
      </c>
      <c r="L3208" s="34">
        <v>2</v>
      </c>
      <c r="M3208" s="38">
        <v>0.75</v>
      </c>
      <c r="N3208" s="38">
        <f t="shared" si="50"/>
        <v>1.5</v>
      </c>
    </row>
    <row r="3209" spans="1:14">
      <c r="A3209" s="29">
        <v>45447</v>
      </c>
      <c r="B3209" s="22" t="s">
        <v>57</v>
      </c>
      <c r="C3209" s="22" t="s">
        <v>41</v>
      </c>
      <c r="D3209" s="48" t="s">
        <v>8</v>
      </c>
      <c r="E3209" t="s">
        <v>179</v>
      </c>
      <c r="F3209">
        <v>2023</v>
      </c>
      <c r="G3209" t="s">
        <v>618</v>
      </c>
      <c r="H3209" s="42" t="s">
        <v>1432</v>
      </c>
      <c r="J3209" t="s">
        <v>248</v>
      </c>
      <c r="K3209" t="s">
        <v>1441</v>
      </c>
      <c r="L3209" s="34">
        <v>2</v>
      </c>
      <c r="M3209" s="38">
        <v>0.75</v>
      </c>
      <c r="N3209" s="38">
        <f t="shared" si="50"/>
        <v>1.5</v>
      </c>
    </row>
    <row r="3210" spans="1:14">
      <c r="A3210" s="29">
        <v>45447</v>
      </c>
      <c r="B3210" s="22" t="s">
        <v>63</v>
      </c>
      <c r="C3210" s="22" t="s">
        <v>57</v>
      </c>
      <c r="D3210" s="48" t="s">
        <v>5</v>
      </c>
      <c r="E3210" t="s">
        <v>255</v>
      </c>
      <c r="F3210">
        <v>2023</v>
      </c>
      <c r="G3210" t="s">
        <v>618</v>
      </c>
      <c r="H3210" s="42" t="s">
        <v>1203</v>
      </c>
      <c r="J3210" t="s">
        <v>248</v>
      </c>
      <c r="L3210" s="34">
        <v>2</v>
      </c>
      <c r="M3210" s="38">
        <v>0.75</v>
      </c>
      <c r="N3210" s="38">
        <f t="shared" si="50"/>
        <v>1.5</v>
      </c>
    </row>
    <row r="3211" spans="1:14">
      <c r="A3211" s="29">
        <v>45450</v>
      </c>
      <c r="B3211" s="22" t="s">
        <v>63</v>
      </c>
      <c r="C3211" s="22" t="s">
        <v>57</v>
      </c>
      <c r="D3211" s="48" t="s">
        <v>8</v>
      </c>
      <c r="E3211" t="s">
        <v>180</v>
      </c>
      <c r="F3211">
        <v>2023</v>
      </c>
      <c r="G3211" t="s">
        <v>79</v>
      </c>
      <c r="H3211" s="42" t="s">
        <v>855</v>
      </c>
      <c r="J3211" t="s">
        <v>248</v>
      </c>
      <c r="L3211" s="34">
        <v>3</v>
      </c>
      <c r="M3211" s="38">
        <v>0.75</v>
      </c>
      <c r="N3211" s="38">
        <f t="shared" si="50"/>
        <v>2.25</v>
      </c>
    </row>
    <row r="3212" spans="1:14">
      <c r="A3212" s="29">
        <v>45450</v>
      </c>
      <c r="B3212" s="22" t="s">
        <v>63</v>
      </c>
      <c r="C3212" s="22" t="s">
        <v>57</v>
      </c>
      <c r="D3212" s="48" t="s">
        <v>8</v>
      </c>
      <c r="E3212" t="s">
        <v>179</v>
      </c>
      <c r="F3212">
        <v>2023</v>
      </c>
      <c r="G3212" t="s">
        <v>618</v>
      </c>
      <c r="H3212" s="42" t="s">
        <v>1442</v>
      </c>
      <c r="J3212" t="s">
        <v>248</v>
      </c>
      <c r="L3212" s="34">
        <v>3</v>
      </c>
      <c r="M3212" s="38">
        <v>0.75</v>
      </c>
      <c r="N3212" s="38">
        <f t="shared" si="50"/>
        <v>2.25</v>
      </c>
    </row>
    <row r="3213" spans="1:14">
      <c r="A3213" s="29">
        <v>45450</v>
      </c>
      <c r="B3213" s="22" t="s">
        <v>63</v>
      </c>
      <c r="C3213" s="22" t="s">
        <v>57</v>
      </c>
      <c r="D3213" s="48" t="s">
        <v>11</v>
      </c>
      <c r="E3213" t="s">
        <v>180</v>
      </c>
      <c r="F3213">
        <v>2023</v>
      </c>
      <c r="G3213" t="s">
        <v>1443</v>
      </c>
      <c r="H3213" s="42" t="s">
        <v>1428</v>
      </c>
      <c r="J3213" t="s">
        <v>248</v>
      </c>
      <c r="L3213" s="34">
        <v>1</v>
      </c>
      <c r="M3213" s="38">
        <v>0.75</v>
      </c>
      <c r="N3213" s="38">
        <f t="shared" si="50"/>
        <v>0.75</v>
      </c>
    </row>
    <row r="3214" spans="1:14">
      <c r="A3214" s="29">
        <v>45450</v>
      </c>
      <c r="B3214" s="22" t="s">
        <v>63</v>
      </c>
      <c r="C3214" s="22" t="s">
        <v>57</v>
      </c>
      <c r="D3214" s="48" t="s">
        <v>5</v>
      </c>
      <c r="E3214" t="s">
        <v>159</v>
      </c>
      <c r="F3214">
        <v>2023</v>
      </c>
      <c r="G3214" t="s">
        <v>1444</v>
      </c>
      <c r="H3214" s="42" t="s">
        <v>811</v>
      </c>
      <c r="J3214" t="s">
        <v>248</v>
      </c>
      <c r="L3214" s="34">
        <v>1</v>
      </c>
      <c r="M3214" s="38">
        <v>0.75</v>
      </c>
      <c r="N3214" s="38">
        <f t="shared" si="50"/>
        <v>0.75</v>
      </c>
    </row>
    <row r="3215" spans="1:14">
      <c r="A3215" s="29">
        <v>45455</v>
      </c>
      <c r="B3215" s="22" t="s">
        <v>63</v>
      </c>
      <c r="C3215" s="22" t="s">
        <v>57</v>
      </c>
      <c r="D3215" s="48" t="s">
        <v>8</v>
      </c>
      <c r="E3215" t="s">
        <v>180</v>
      </c>
      <c r="F3215">
        <v>2023</v>
      </c>
      <c r="G3215" t="s">
        <v>618</v>
      </c>
      <c r="H3215" s="42" t="s">
        <v>1324</v>
      </c>
      <c r="J3215" t="s">
        <v>248</v>
      </c>
      <c r="L3215" s="34">
        <v>3</v>
      </c>
      <c r="M3215" s="38">
        <v>0.75</v>
      </c>
      <c r="N3215" s="38">
        <f t="shared" si="50"/>
        <v>2.25</v>
      </c>
    </row>
    <row r="3216" spans="1:14">
      <c r="A3216" s="29">
        <v>45455</v>
      </c>
      <c r="B3216" s="22" t="s">
        <v>63</v>
      </c>
      <c r="C3216" s="22" t="s">
        <v>57</v>
      </c>
      <c r="D3216" s="48" t="s">
        <v>8</v>
      </c>
      <c r="E3216" t="s">
        <v>179</v>
      </c>
      <c r="F3216">
        <v>2023</v>
      </c>
      <c r="G3216" t="s">
        <v>618</v>
      </c>
      <c r="H3216" s="42" t="s">
        <v>1365</v>
      </c>
      <c r="J3216" t="s">
        <v>248</v>
      </c>
      <c r="L3216" s="34">
        <v>3</v>
      </c>
      <c r="M3216" s="38">
        <v>0.75</v>
      </c>
      <c r="N3216" s="38">
        <f t="shared" si="50"/>
        <v>2.25</v>
      </c>
    </row>
    <row r="3217" spans="1:14">
      <c r="A3217" s="29">
        <v>45455</v>
      </c>
      <c r="B3217" s="22" t="s">
        <v>63</v>
      </c>
      <c r="C3217" s="22" t="s">
        <v>57</v>
      </c>
      <c r="D3217" s="48" t="s">
        <v>5</v>
      </c>
      <c r="E3217" t="s">
        <v>159</v>
      </c>
      <c r="F3217">
        <v>2023</v>
      </c>
      <c r="G3217" t="s">
        <v>1444</v>
      </c>
      <c r="H3217" s="42" t="s">
        <v>1445</v>
      </c>
      <c r="J3217" t="s">
        <v>248</v>
      </c>
      <c r="L3217" s="34">
        <v>2</v>
      </c>
      <c r="M3217" s="38">
        <v>0.75</v>
      </c>
      <c r="N3217" s="38">
        <f t="shared" si="50"/>
        <v>1.5</v>
      </c>
    </row>
    <row r="3218" spans="1:14">
      <c r="A3218" s="29">
        <v>45455</v>
      </c>
      <c r="B3218" s="22" t="s">
        <v>79</v>
      </c>
      <c r="C3218" s="22" t="s">
        <v>57</v>
      </c>
      <c r="D3218" s="48" t="s">
        <v>8</v>
      </c>
      <c r="E3218" t="s">
        <v>180</v>
      </c>
      <c r="F3218">
        <v>2023</v>
      </c>
      <c r="G3218" t="s">
        <v>618</v>
      </c>
      <c r="H3218" s="42" t="s">
        <v>1324</v>
      </c>
      <c r="J3218" t="s">
        <v>248</v>
      </c>
      <c r="L3218" s="34">
        <v>3</v>
      </c>
      <c r="M3218" s="38">
        <v>0.75</v>
      </c>
      <c r="N3218" s="38">
        <f t="shared" si="50"/>
        <v>2.25</v>
      </c>
    </row>
    <row r="3219" spans="1:14">
      <c r="A3219" s="29">
        <v>45460</v>
      </c>
      <c r="B3219" s="22" t="s">
        <v>79</v>
      </c>
      <c r="C3219" s="22" t="s">
        <v>57</v>
      </c>
      <c r="D3219" s="48" t="s">
        <v>8</v>
      </c>
      <c r="E3219" t="s">
        <v>180</v>
      </c>
      <c r="F3219">
        <v>2023</v>
      </c>
      <c r="G3219" t="s">
        <v>618</v>
      </c>
      <c r="H3219" s="42" t="s">
        <v>1324</v>
      </c>
      <c r="J3219" t="s">
        <v>248</v>
      </c>
      <c r="L3219" s="34">
        <v>1</v>
      </c>
      <c r="M3219" s="38">
        <v>0.75</v>
      </c>
      <c r="N3219" s="38">
        <f t="shared" si="50"/>
        <v>0.75</v>
      </c>
    </row>
    <row r="3220" spans="1:14">
      <c r="A3220" s="29">
        <v>45460</v>
      </c>
      <c r="B3220" s="22" t="s">
        <v>79</v>
      </c>
      <c r="C3220" s="22" t="s">
        <v>57</v>
      </c>
      <c r="D3220" s="48" t="s">
        <v>8</v>
      </c>
      <c r="E3220" t="s">
        <v>1130</v>
      </c>
      <c r="F3220">
        <v>2023</v>
      </c>
      <c r="G3220" t="s">
        <v>618</v>
      </c>
      <c r="H3220" s="42" t="s">
        <v>1421</v>
      </c>
      <c r="J3220" t="s">
        <v>248</v>
      </c>
      <c r="L3220" s="34">
        <v>1</v>
      </c>
      <c r="M3220" s="38">
        <v>0.75</v>
      </c>
      <c r="N3220" s="38">
        <f t="shared" si="50"/>
        <v>0.75</v>
      </c>
    </row>
    <row r="3221" spans="1:14">
      <c r="A3221" s="29">
        <v>45460</v>
      </c>
      <c r="B3221" s="22" t="s">
        <v>79</v>
      </c>
      <c r="C3221" s="22" t="s">
        <v>57</v>
      </c>
      <c r="D3221" s="48" t="s">
        <v>11</v>
      </c>
      <c r="E3221" t="s">
        <v>1446</v>
      </c>
      <c r="F3221">
        <v>2023</v>
      </c>
      <c r="G3221" t="s">
        <v>618</v>
      </c>
      <c r="H3221" s="42" t="s">
        <v>1447</v>
      </c>
      <c r="J3221" t="s">
        <v>248</v>
      </c>
      <c r="L3221" s="34">
        <v>1</v>
      </c>
      <c r="M3221" s="38">
        <v>0.75</v>
      </c>
      <c r="N3221" s="38">
        <f t="shared" si="50"/>
        <v>0.75</v>
      </c>
    </row>
    <row r="3222" spans="1:14">
      <c r="A3222" s="29">
        <v>45461</v>
      </c>
      <c r="B3222" s="22" t="s">
        <v>63</v>
      </c>
      <c r="C3222" s="22" t="s">
        <v>57</v>
      </c>
      <c r="D3222" s="48" t="s">
        <v>8</v>
      </c>
      <c r="E3222" t="s">
        <v>179</v>
      </c>
      <c r="F3222">
        <v>2023</v>
      </c>
      <c r="G3222" t="s">
        <v>618</v>
      </c>
      <c r="H3222" s="42" t="s">
        <v>1365</v>
      </c>
      <c r="J3222" t="s">
        <v>248</v>
      </c>
      <c r="L3222" s="34">
        <v>3</v>
      </c>
      <c r="M3222" s="38">
        <v>0.75</v>
      </c>
      <c r="N3222" s="38">
        <f t="shared" si="50"/>
        <v>2.25</v>
      </c>
    </row>
    <row r="3223" spans="1:14">
      <c r="A3223" s="29">
        <v>45462</v>
      </c>
      <c r="B3223" s="22" t="s">
        <v>1448</v>
      </c>
      <c r="C3223" s="22" t="s">
        <v>57</v>
      </c>
      <c r="D3223" s="48" t="s">
        <v>5</v>
      </c>
      <c r="E3223" t="s">
        <v>157</v>
      </c>
      <c r="F3223">
        <v>2023</v>
      </c>
      <c r="G3223" t="s">
        <v>319</v>
      </c>
      <c r="H3223" s="42" t="s">
        <v>1217</v>
      </c>
      <c r="J3223" t="s">
        <v>248</v>
      </c>
      <c r="L3223" s="34">
        <v>2</v>
      </c>
      <c r="M3223" s="38">
        <v>0.75</v>
      </c>
      <c r="N3223" s="38">
        <f t="shared" si="50"/>
        <v>1.5</v>
      </c>
    </row>
    <row r="3224" spans="1:14">
      <c r="A3224" s="29">
        <v>45462</v>
      </c>
      <c r="B3224" s="22" t="s">
        <v>1448</v>
      </c>
      <c r="C3224" s="22" t="s">
        <v>57</v>
      </c>
      <c r="D3224" s="48" t="s">
        <v>5</v>
      </c>
      <c r="E3224" t="s">
        <v>1290</v>
      </c>
      <c r="F3224">
        <v>2023</v>
      </c>
      <c r="G3224" t="s">
        <v>618</v>
      </c>
      <c r="H3224" s="42" t="s">
        <v>1381</v>
      </c>
      <c r="J3224" t="s">
        <v>248</v>
      </c>
      <c r="L3224" s="34">
        <v>2</v>
      </c>
      <c r="M3224" s="38">
        <v>0.75</v>
      </c>
      <c r="N3224" s="38">
        <f t="shared" si="50"/>
        <v>1.5</v>
      </c>
    </row>
    <row r="3225" spans="1:14">
      <c r="A3225" s="29">
        <v>45462</v>
      </c>
      <c r="B3225" s="22" t="s">
        <v>1448</v>
      </c>
      <c r="C3225" s="22" t="s">
        <v>57</v>
      </c>
      <c r="D3225" s="48" t="s">
        <v>5</v>
      </c>
      <c r="E3225" t="s">
        <v>1241</v>
      </c>
      <c r="F3225">
        <v>2023</v>
      </c>
      <c r="G3225" t="s">
        <v>1449</v>
      </c>
      <c r="H3225" s="42" t="s">
        <v>57</v>
      </c>
      <c r="J3225" t="s">
        <v>248</v>
      </c>
      <c r="K3225" t="s">
        <v>1450</v>
      </c>
      <c r="L3225" s="34">
        <v>2</v>
      </c>
      <c r="M3225" s="38">
        <v>0.75</v>
      </c>
      <c r="N3225" s="38">
        <f t="shared" si="50"/>
        <v>1.5</v>
      </c>
    </row>
    <row r="3226" spans="1:14">
      <c r="A3226" s="29">
        <v>45462</v>
      </c>
      <c r="B3226" s="22" t="s">
        <v>16</v>
      </c>
      <c r="C3226" s="22" t="s">
        <v>49</v>
      </c>
      <c r="D3226" s="48" t="s">
        <v>5</v>
      </c>
      <c r="E3226" t="s">
        <v>1278</v>
      </c>
      <c r="F3226">
        <v>2023</v>
      </c>
      <c r="G3226" t="s">
        <v>618</v>
      </c>
      <c r="H3226" s="42" t="s">
        <v>1451</v>
      </c>
      <c r="J3226" t="s">
        <v>248</v>
      </c>
      <c r="L3226" s="34">
        <v>3</v>
      </c>
      <c r="M3226" s="38">
        <v>0.75</v>
      </c>
      <c r="N3226" s="38">
        <f t="shared" si="50"/>
        <v>2.25</v>
      </c>
    </row>
    <row r="3227" spans="1:14">
      <c r="A3227" s="29">
        <v>45462</v>
      </c>
      <c r="B3227" s="22" t="s">
        <v>16</v>
      </c>
      <c r="C3227" s="22" t="s">
        <v>49</v>
      </c>
      <c r="D3227" s="48" t="s">
        <v>5</v>
      </c>
      <c r="E3227" t="s">
        <v>158</v>
      </c>
      <c r="F3227">
        <v>2023</v>
      </c>
      <c r="G3227" t="s">
        <v>618</v>
      </c>
      <c r="H3227" s="42" t="s">
        <v>1426</v>
      </c>
      <c r="J3227" t="s">
        <v>248</v>
      </c>
      <c r="L3227" s="34">
        <v>3</v>
      </c>
      <c r="M3227" s="38">
        <v>0.75</v>
      </c>
      <c r="N3227" s="38">
        <f t="shared" si="50"/>
        <v>2.25</v>
      </c>
    </row>
    <row r="3228" spans="1:14">
      <c r="A3228" s="29">
        <v>45462</v>
      </c>
      <c r="B3228" s="22" t="s">
        <v>16</v>
      </c>
      <c r="C3228" s="22" t="s">
        <v>49</v>
      </c>
      <c r="D3228" s="48" t="s">
        <v>5</v>
      </c>
      <c r="E3228" t="s">
        <v>157</v>
      </c>
      <c r="F3228">
        <v>2023</v>
      </c>
      <c r="G3228" t="s">
        <v>319</v>
      </c>
      <c r="H3228" s="42" t="s">
        <v>1217</v>
      </c>
      <c r="J3228" t="s">
        <v>248</v>
      </c>
      <c r="K3228" t="s">
        <v>1452</v>
      </c>
      <c r="L3228" s="34">
        <v>3</v>
      </c>
      <c r="M3228" s="38">
        <v>0.75</v>
      </c>
      <c r="N3228" s="38">
        <f t="shared" si="50"/>
        <v>2.25</v>
      </c>
    </row>
    <row r="3229" spans="1:14">
      <c r="A3229" s="29">
        <v>45462</v>
      </c>
      <c r="B3229" s="22" t="s">
        <v>16</v>
      </c>
      <c r="C3229" s="22" t="s">
        <v>49</v>
      </c>
      <c r="D3229" s="48" t="s">
        <v>5</v>
      </c>
      <c r="E3229" t="s">
        <v>1415</v>
      </c>
      <c r="F3229">
        <v>2023</v>
      </c>
      <c r="G3229" t="s">
        <v>57</v>
      </c>
      <c r="H3229" s="42" t="s">
        <v>1343</v>
      </c>
      <c r="J3229" t="s">
        <v>248</v>
      </c>
      <c r="K3229" t="s">
        <v>1453</v>
      </c>
      <c r="L3229" s="34">
        <v>3</v>
      </c>
      <c r="M3229" s="38">
        <v>0.75</v>
      </c>
      <c r="N3229" s="38">
        <f t="shared" si="50"/>
        <v>2.25</v>
      </c>
    </row>
    <row r="3230" spans="1:14">
      <c r="A3230" s="29">
        <v>45462</v>
      </c>
      <c r="B3230" s="22" t="s">
        <v>16</v>
      </c>
      <c r="C3230" s="22" t="s">
        <v>49</v>
      </c>
      <c r="D3230" s="48" t="s">
        <v>8</v>
      </c>
      <c r="E3230" t="s">
        <v>1130</v>
      </c>
      <c r="F3230">
        <v>2023</v>
      </c>
      <c r="G3230" t="s">
        <v>618</v>
      </c>
      <c r="H3230" s="42" t="s">
        <v>1203</v>
      </c>
      <c r="J3230" t="s">
        <v>248</v>
      </c>
      <c r="L3230" s="34">
        <v>3</v>
      </c>
      <c r="M3230" s="38">
        <v>0.75</v>
      </c>
      <c r="N3230" s="38">
        <f t="shared" si="50"/>
        <v>2.25</v>
      </c>
    </row>
    <row r="3231" spans="1:14">
      <c r="A3231" s="29">
        <v>45462</v>
      </c>
      <c r="B3231" s="22" t="s">
        <v>77</v>
      </c>
      <c r="C3231" s="22" t="s">
        <v>47</v>
      </c>
      <c r="D3231" s="48" t="s">
        <v>5</v>
      </c>
      <c r="E3231" t="s">
        <v>159</v>
      </c>
      <c r="F3231">
        <v>2023</v>
      </c>
      <c r="G3231" t="s">
        <v>1454</v>
      </c>
      <c r="H3231" s="42" t="s">
        <v>1445</v>
      </c>
      <c r="J3231" t="s">
        <v>248</v>
      </c>
      <c r="L3231" s="34">
        <v>2</v>
      </c>
      <c r="M3231" s="38">
        <v>0.75</v>
      </c>
      <c r="N3231" s="38">
        <f t="shared" si="50"/>
        <v>1.5</v>
      </c>
    </row>
    <row r="3232" spans="1:14">
      <c r="A3232" s="29">
        <v>45462</v>
      </c>
      <c r="B3232" s="22" t="s">
        <v>57</v>
      </c>
      <c r="C3232" s="22" t="s">
        <v>34</v>
      </c>
      <c r="D3232" s="48" t="s">
        <v>5</v>
      </c>
      <c r="E3232" t="s">
        <v>159</v>
      </c>
      <c r="F3232">
        <v>2023</v>
      </c>
      <c r="G3232" t="s">
        <v>1454</v>
      </c>
      <c r="H3232" s="42" t="s">
        <v>1445</v>
      </c>
      <c r="J3232" t="s">
        <v>248</v>
      </c>
      <c r="L3232" s="34">
        <v>2</v>
      </c>
      <c r="M3232" s="38">
        <v>0.75</v>
      </c>
      <c r="N3232" s="38">
        <f t="shared" si="50"/>
        <v>1.5</v>
      </c>
    </row>
    <row r="3233" spans="1:14">
      <c r="A3233" s="29">
        <v>45462</v>
      </c>
      <c r="B3233" s="22" t="s">
        <v>57</v>
      </c>
      <c r="C3233" s="22" t="s">
        <v>34</v>
      </c>
      <c r="D3233" s="48" t="s">
        <v>5</v>
      </c>
      <c r="E3233" t="s">
        <v>157</v>
      </c>
      <c r="F3233">
        <v>2023</v>
      </c>
      <c r="G3233" t="s">
        <v>1455</v>
      </c>
      <c r="H3233" s="42" t="s">
        <v>1456</v>
      </c>
      <c r="J3233" t="s">
        <v>248</v>
      </c>
      <c r="L3233" s="34">
        <v>2</v>
      </c>
      <c r="M3233" s="38">
        <v>0.75</v>
      </c>
      <c r="N3233" s="38">
        <f t="shared" si="50"/>
        <v>1.5</v>
      </c>
    </row>
    <row r="3234" spans="1:14">
      <c r="A3234" s="29">
        <v>45462</v>
      </c>
      <c r="B3234" s="22" t="s">
        <v>57</v>
      </c>
      <c r="C3234" s="22" t="s">
        <v>34</v>
      </c>
      <c r="D3234" s="48" t="s">
        <v>5</v>
      </c>
      <c r="E3234" t="s">
        <v>157</v>
      </c>
      <c r="F3234">
        <v>2023</v>
      </c>
      <c r="G3234" t="s">
        <v>257</v>
      </c>
      <c r="H3234" s="42" t="s">
        <v>1456</v>
      </c>
      <c r="J3234" t="s">
        <v>248</v>
      </c>
      <c r="K3234" t="s">
        <v>1457</v>
      </c>
      <c r="L3234" s="34">
        <v>2</v>
      </c>
      <c r="M3234" s="38">
        <v>0.75</v>
      </c>
      <c r="N3234" s="38">
        <f t="shared" si="50"/>
        <v>1.5</v>
      </c>
    </row>
    <row r="3235" spans="1:14">
      <c r="A3235" s="29">
        <v>45463</v>
      </c>
      <c r="B3235" s="22" t="s">
        <v>63</v>
      </c>
      <c r="C3235" s="22" t="s">
        <v>57</v>
      </c>
      <c r="D3235" s="48" t="s">
        <v>5</v>
      </c>
      <c r="E3235" t="s">
        <v>1444</v>
      </c>
      <c r="F3235">
        <v>2023</v>
      </c>
      <c r="G3235" t="s">
        <v>618</v>
      </c>
      <c r="H3235" s="42" t="s">
        <v>1445</v>
      </c>
      <c r="J3235" t="s">
        <v>248</v>
      </c>
      <c r="L3235" s="34">
        <v>6</v>
      </c>
      <c r="M3235" s="38">
        <v>0.75</v>
      </c>
      <c r="N3235" s="38">
        <f t="shared" si="50"/>
        <v>4.5</v>
      </c>
    </row>
    <row r="3236" spans="1:14">
      <c r="A3236" s="29">
        <v>45463</v>
      </c>
      <c r="B3236" s="22" t="s">
        <v>63</v>
      </c>
      <c r="C3236" s="22" t="s">
        <v>57</v>
      </c>
      <c r="D3236" s="48" t="s">
        <v>8</v>
      </c>
      <c r="E3236" t="s">
        <v>186</v>
      </c>
      <c r="F3236">
        <v>2023</v>
      </c>
      <c r="G3236" t="s">
        <v>618</v>
      </c>
      <c r="H3236" s="42" t="s">
        <v>1203</v>
      </c>
      <c r="J3236" t="s">
        <v>248</v>
      </c>
      <c r="L3236" s="34">
        <v>4</v>
      </c>
      <c r="M3236" s="38">
        <v>0.75</v>
      </c>
      <c r="N3236" s="38">
        <f t="shared" si="50"/>
        <v>3</v>
      </c>
    </row>
    <row r="3237" spans="1:14">
      <c r="A3237" s="29">
        <v>45463</v>
      </c>
      <c r="B3237" s="22" t="s">
        <v>63</v>
      </c>
      <c r="C3237" s="22" t="s">
        <v>57</v>
      </c>
      <c r="D3237" s="48" t="s">
        <v>8</v>
      </c>
      <c r="E3237" t="s">
        <v>1130</v>
      </c>
      <c r="F3237">
        <v>2023</v>
      </c>
      <c r="G3237" t="s">
        <v>618</v>
      </c>
      <c r="H3237" s="42" t="s">
        <v>1421</v>
      </c>
      <c r="J3237" t="s">
        <v>248</v>
      </c>
      <c r="K3237" t="s">
        <v>1458</v>
      </c>
      <c r="L3237" s="34">
        <v>4</v>
      </c>
      <c r="M3237" s="38">
        <v>0.75</v>
      </c>
      <c r="N3237" s="38">
        <f t="shared" si="50"/>
        <v>3</v>
      </c>
    </row>
    <row r="3238" spans="1:14">
      <c r="A3238" s="29">
        <v>45463</v>
      </c>
      <c r="B3238" s="22" t="s">
        <v>63</v>
      </c>
      <c r="C3238" s="22" t="s">
        <v>57</v>
      </c>
      <c r="D3238" s="48" t="s">
        <v>5</v>
      </c>
      <c r="E3238" t="s">
        <v>1459</v>
      </c>
      <c r="F3238">
        <v>2023</v>
      </c>
      <c r="G3238" t="s">
        <v>618</v>
      </c>
      <c r="H3238" s="42" t="s">
        <v>1355</v>
      </c>
      <c r="J3238" t="s">
        <v>248</v>
      </c>
      <c r="L3238" s="34">
        <v>2</v>
      </c>
      <c r="M3238" s="38">
        <v>0.75</v>
      </c>
      <c r="N3238" s="38">
        <f t="shared" si="50"/>
        <v>1.5</v>
      </c>
    </row>
    <row r="3239" spans="1:14">
      <c r="A3239" s="29">
        <v>45464</v>
      </c>
      <c r="B3239" s="22" t="s">
        <v>1460</v>
      </c>
      <c r="C3239" s="22" t="s">
        <v>1461</v>
      </c>
      <c r="D3239" s="48" t="s">
        <v>5</v>
      </c>
      <c r="E3239" t="s">
        <v>159</v>
      </c>
      <c r="F3239">
        <v>2023</v>
      </c>
      <c r="G3239" t="s">
        <v>1454</v>
      </c>
      <c r="H3239" s="42" t="s">
        <v>1407</v>
      </c>
      <c r="J3239" t="s">
        <v>248</v>
      </c>
      <c r="L3239" s="34">
        <v>2</v>
      </c>
      <c r="M3239" s="38">
        <v>0.75</v>
      </c>
      <c r="N3239" s="38">
        <f t="shared" si="50"/>
        <v>1.5</v>
      </c>
    </row>
    <row r="3240" spans="1:14">
      <c r="A3240" s="29">
        <v>45467</v>
      </c>
      <c r="B3240" s="22" t="s">
        <v>16</v>
      </c>
      <c r="C3240" s="22" t="s">
        <v>49</v>
      </c>
      <c r="D3240" s="48" t="s">
        <v>5</v>
      </c>
      <c r="E3240" t="s">
        <v>1174</v>
      </c>
      <c r="F3240">
        <v>2023</v>
      </c>
      <c r="G3240" t="s">
        <v>57</v>
      </c>
      <c r="H3240" s="42" t="s">
        <v>1451</v>
      </c>
      <c r="J3240" t="s">
        <v>248</v>
      </c>
      <c r="L3240" s="34">
        <v>6</v>
      </c>
      <c r="M3240" s="38">
        <v>0.75</v>
      </c>
      <c r="N3240" s="38">
        <f t="shared" si="50"/>
        <v>4.5</v>
      </c>
    </row>
    <row r="3241" spans="1:14">
      <c r="A3241" s="29">
        <v>45467</v>
      </c>
      <c r="B3241" s="22" t="s">
        <v>16</v>
      </c>
      <c r="C3241" s="22" t="s">
        <v>49</v>
      </c>
      <c r="D3241" s="48" t="s">
        <v>11</v>
      </c>
      <c r="E3241" t="s">
        <v>177</v>
      </c>
      <c r="F3241">
        <v>2023</v>
      </c>
      <c r="G3241" t="s">
        <v>618</v>
      </c>
      <c r="H3241" s="42" t="s">
        <v>1401</v>
      </c>
      <c r="J3241" t="s">
        <v>248</v>
      </c>
      <c r="L3241" s="34">
        <v>3</v>
      </c>
      <c r="M3241" s="38">
        <v>0.75</v>
      </c>
      <c r="N3241" s="38">
        <f t="shared" si="50"/>
        <v>2.25</v>
      </c>
    </row>
    <row r="3242" spans="1:14">
      <c r="A3242" s="29">
        <v>45467</v>
      </c>
      <c r="B3242" s="22" t="s">
        <v>16</v>
      </c>
      <c r="C3242" s="22" t="s">
        <v>49</v>
      </c>
      <c r="D3242" s="48" t="s">
        <v>11</v>
      </c>
      <c r="E3242" t="s">
        <v>179</v>
      </c>
      <c r="F3242">
        <v>2023</v>
      </c>
      <c r="G3242" t="s">
        <v>1443</v>
      </c>
      <c r="H3242" s="42" t="s">
        <v>1325</v>
      </c>
      <c r="J3242" t="s">
        <v>248</v>
      </c>
      <c r="L3242" s="34">
        <v>3</v>
      </c>
      <c r="M3242" s="38">
        <v>0.75</v>
      </c>
      <c r="N3242" s="38">
        <f t="shared" si="50"/>
        <v>2.25</v>
      </c>
    </row>
    <row r="3243" spans="1:14">
      <c r="A3243" s="29">
        <v>45467</v>
      </c>
      <c r="B3243" s="22" t="s">
        <v>16</v>
      </c>
      <c r="C3243" s="22" t="s">
        <v>49</v>
      </c>
      <c r="D3243" s="48" t="s">
        <v>5</v>
      </c>
      <c r="E3243" t="s">
        <v>157</v>
      </c>
      <c r="F3243">
        <v>2023</v>
      </c>
      <c r="G3243" t="s">
        <v>1462</v>
      </c>
      <c r="H3243" s="42" t="s">
        <v>1456</v>
      </c>
      <c r="J3243" t="s">
        <v>248</v>
      </c>
      <c r="L3243" s="34">
        <v>3</v>
      </c>
      <c r="M3243" s="38">
        <v>0.75</v>
      </c>
      <c r="N3243" s="38">
        <f t="shared" si="50"/>
        <v>2.25</v>
      </c>
    </row>
    <row r="3244" spans="1:14">
      <c r="A3244" s="29">
        <v>45467</v>
      </c>
      <c r="B3244" s="22" t="s">
        <v>16</v>
      </c>
      <c r="C3244" s="22" t="s">
        <v>49</v>
      </c>
      <c r="D3244" s="48" t="s">
        <v>5</v>
      </c>
      <c r="E3244" t="s">
        <v>157</v>
      </c>
      <c r="F3244">
        <v>2023</v>
      </c>
      <c r="G3244" t="s">
        <v>257</v>
      </c>
      <c r="H3244" s="42" t="s">
        <v>1302</v>
      </c>
      <c r="J3244" t="s">
        <v>248</v>
      </c>
      <c r="L3244" s="34">
        <v>3</v>
      </c>
      <c r="M3244" s="38">
        <v>0.75</v>
      </c>
      <c r="N3244" s="38">
        <f t="shared" si="50"/>
        <v>2.25</v>
      </c>
    </row>
    <row r="3245" spans="1:14">
      <c r="A3245" s="29">
        <v>45485</v>
      </c>
      <c r="B3245" s="22" t="s">
        <v>45</v>
      </c>
      <c r="C3245" s="22" t="s">
        <v>57</v>
      </c>
      <c r="D3245" s="48" t="s">
        <v>5</v>
      </c>
      <c r="E3245" t="s">
        <v>168</v>
      </c>
      <c r="F3245">
        <v>2023</v>
      </c>
      <c r="G3245" t="s">
        <v>618</v>
      </c>
      <c r="H3245" s="42" t="s">
        <v>1445</v>
      </c>
      <c r="J3245" t="s">
        <v>248</v>
      </c>
      <c r="K3245" t="s">
        <v>1463</v>
      </c>
      <c r="L3245" s="34">
        <v>3</v>
      </c>
      <c r="M3245" s="38">
        <v>0.75</v>
      </c>
      <c r="N3245" s="38">
        <f t="shared" si="50"/>
        <v>2.25</v>
      </c>
    </row>
    <row r="3246" spans="1:14">
      <c r="A3246" s="29">
        <v>45511</v>
      </c>
      <c r="B3246" s="22" t="s">
        <v>16</v>
      </c>
      <c r="C3246" s="22" t="s">
        <v>49</v>
      </c>
      <c r="D3246" s="48" t="s">
        <v>11</v>
      </c>
      <c r="E3246" t="s">
        <v>1086</v>
      </c>
      <c r="F3246">
        <v>2023</v>
      </c>
      <c r="G3246" t="s">
        <v>618</v>
      </c>
      <c r="H3246" s="42" t="s">
        <v>1353</v>
      </c>
      <c r="J3246" t="s">
        <v>248</v>
      </c>
      <c r="L3246" s="34">
        <v>3</v>
      </c>
      <c r="M3246" s="38">
        <v>0.75</v>
      </c>
      <c r="N3246" s="38">
        <f t="shared" si="50"/>
        <v>2.25</v>
      </c>
    </row>
    <row r="3247" spans="1:14">
      <c r="A3247" s="29">
        <v>45511</v>
      </c>
      <c r="B3247" s="22" t="s">
        <v>16</v>
      </c>
      <c r="C3247" s="22" t="s">
        <v>49</v>
      </c>
      <c r="D3247" s="48" t="s">
        <v>11</v>
      </c>
      <c r="E3247" t="s">
        <v>190</v>
      </c>
      <c r="F3247">
        <v>2023</v>
      </c>
      <c r="G3247" t="s">
        <v>618</v>
      </c>
      <c r="H3247" s="42" t="s">
        <v>1367</v>
      </c>
      <c r="J3247" t="s">
        <v>248</v>
      </c>
      <c r="L3247" s="34">
        <v>3</v>
      </c>
      <c r="M3247" s="38">
        <v>0.75</v>
      </c>
      <c r="N3247" s="38">
        <f t="shared" si="50"/>
        <v>2.25</v>
      </c>
    </row>
    <row r="3248" spans="1:14">
      <c r="A3248" s="29">
        <v>45511</v>
      </c>
      <c r="B3248" s="22" t="s">
        <v>16</v>
      </c>
      <c r="C3248" s="22" t="s">
        <v>49</v>
      </c>
      <c r="D3248" s="48" t="s">
        <v>11</v>
      </c>
      <c r="E3248" t="s">
        <v>179</v>
      </c>
      <c r="F3248">
        <v>2023</v>
      </c>
      <c r="G3248" t="s">
        <v>618</v>
      </c>
      <c r="H3248" s="42" t="s">
        <v>1325</v>
      </c>
      <c r="J3248" t="s">
        <v>248</v>
      </c>
      <c r="L3248" s="34">
        <v>3</v>
      </c>
      <c r="M3248" s="38">
        <v>0.75</v>
      </c>
      <c r="N3248" s="38">
        <f t="shared" si="50"/>
        <v>2.25</v>
      </c>
    </row>
    <row r="3249" spans="1:14" ht="30">
      <c r="A3249" s="29">
        <v>45516</v>
      </c>
      <c r="B3249" s="22" t="s">
        <v>56</v>
      </c>
      <c r="C3249" s="22" t="s">
        <v>1464</v>
      </c>
      <c r="D3249" s="48" t="s">
        <v>11</v>
      </c>
      <c r="E3249" t="s">
        <v>190</v>
      </c>
      <c r="F3249">
        <v>2022</v>
      </c>
      <c r="G3249" t="s">
        <v>618</v>
      </c>
      <c r="H3249" s="42" t="s">
        <v>1449</v>
      </c>
      <c r="J3249" t="s">
        <v>248</v>
      </c>
      <c r="K3249" s="11" t="s">
        <v>1465</v>
      </c>
      <c r="L3249" s="34">
        <v>2</v>
      </c>
      <c r="M3249" s="38">
        <v>0.75</v>
      </c>
      <c r="N3249" s="38">
        <f t="shared" si="50"/>
        <v>1.5</v>
      </c>
    </row>
    <row r="3250" spans="1:14" ht="30">
      <c r="A3250" s="29">
        <v>45516</v>
      </c>
      <c r="B3250" s="22" t="s">
        <v>56</v>
      </c>
      <c r="C3250" s="22" t="s">
        <v>1464</v>
      </c>
      <c r="D3250" s="48" t="s">
        <v>11</v>
      </c>
      <c r="E3250" t="s">
        <v>190</v>
      </c>
      <c r="F3250">
        <v>2022</v>
      </c>
      <c r="G3250" t="s">
        <v>618</v>
      </c>
      <c r="H3250" s="42" t="s">
        <v>1449</v>
      </c>
      <c r="J3250" t="s">
        <v>248</v>
      </c>
      <c r="K3250" s="11" t="s">
        <v>1466</v>
      </c>
      <c r="L3250" s="34">
        <v>2</v>
      </c>
      <c r="M3250" s="38">
        <v>0.75</v>
      </c>
      <c r="N3250" s="38">
        <f t="shared" ref="N3250:N3313" si="51">M3250*L3250</f>
        <v>1.5</v>
      </c>
    </row>
    <row r="3251" spans="1:14">
      <c r="A3251" s="29">
        <v>45530</v>
      </c>
      <c r="B3251" s="22" t="s">
        <v>96</v>
      </c>
      <c r="C3251" s="22" t="s">
        <v>57</v>
      </c>
      <c r="D3251" s="48" t="s">
        <v>5</v>
      </c>
      <c r="E3251" t="s">
        <v>159</v>
      </c>
      <c r="F3251">
        <v>2023</v>
      </c>
      <c r="G3251" t="s">
        <v>618</v>
      </c>
      <c r="H3251" s="42" t="s">
        <v>1399</v>
      </c>
      <c r="J3251" t="s">
        <v>248</v>
      </c>
      <c r="K3251" t="s">
        <v>1467</v>
      </c>
      <c r="L3251" s="34">
        <v>3</v>
      </c>
      <c r="M3251" s="38">
        <v>0.75</v>
      </c>
      <c r="N3251" s="38">
        <f t="shared" si="51"/>
        <v>2.25</v>
      </c>
    </row>
    <row r="3252" spans="1:14">
      <c r="A3252" s="29">
        <v>45565</v>
      </c>
      <c r="B3252" s="24" t="s">
        <v>151</v>
      </c>
      <c r="C3252" s="22" t="s">
        <v>57</v>
      </c>
      <c r="D3252" s="48" t="s">
        <v>5</v>
      </c>
      <c r="E3252" t="s">
        <v>157</v>
      </c>
      <c r="F3252">
        <v>2024</v>
      </c>
      <c r="G3252" t="s">
        <v>618</v>
      </c>
      <c r="H3252" s="42" t="s">
        <v>763</v>
      </c>
      <c r="J3252" t="s">
        <v>248</v>
      </c>
      <c r="K3252" t="s">
        <v>1468</v>
      </c>
      <c r="L3252" s="34">
        <v>3</v>
      </c>
      <c r="M3252" s="38">
        <v>0.75</v>
      </c>
      <c r="N3252" s="38">
        <f t="shared" si="51"/>
        <v>2.25</v>
      </c>
    </row>
    <row r="3253" spans="1:14">
      <c r="A3253" s="29">
        <v>45565</v>
      </c>
      <c r="B3253" s="22" t="s">
        <v>151</v>
      </c>
      <c r="C3253" s="22" t="s">
        <v>57</v>
      </c>
      <c r="D3253" s="48" t="s">
        <v>8</v>
      </c>
      <c r="E3253" t="s">
        <v>1469</v>
      </c>
      <c r="F3253">
        <v>2024</v>
      </c>
      <c r="G3253" t="s">
        <v>618</v>
      </c>
      <c r="H3253" s="42" t="s">
        <v>1231</v>
      </c>
      <c r="J3253" t="s">
        <v>248</v>
      </c>
      <c r="L3253" s="34">
        <v>3</v>
      </c>
      <c r="M3253" s="38">
        <v>0.75</v>
      </c>
      <c r="N3253" s="38">
        <f t="shared" si="51"/>
        <v>2.25</v>
      </c>
    </row>
    <row r="3254" spans="1:14">
      <c r="A3254" s="29">
        <v>45565</v>
      </c>
      <c r="B3254" s="22" t="s">
        <v>151</v>
      </c>
      <c r="C3254" s="22" t="s">
        <v>57</v>
      </c>
      <c r="D3254" s="48" t="s">
        <v>5</v>
      </c>
      <c r="E3254" t="s">
        <v>1470</v>
      </c>
      <c r="F3254">
        <v>2024</v>
      </c>
      <c r="G3254" t="s">
        <v>618</v>
      </c>
      <c r="H3254" s="42" t="s">
        <v>1471</v>
      </c>
      <c r="J3254" t="s">
        <v>248</v>
      </c>
      <c r="L3254" s="34">
        <v>3</v>
      </c>
      <c r="M3254" s="38">
        <v>0.75</v>
      </c>
      <c r="N3254" s="38">
        <f t="shared" si="51"/>
        <v>2.25</v>
      </c>
    </row>
    <row r="3255" spans="1:14">
      <c r="A3255" s="29">
        <v>45565</v>
      </c>
      <c r="B3255" s="22" t="s">
        <v>151</v>
      </c>
      <c r="C3255" s="22" t="s">
        <v>57</v>
      </c>
      <c r="D3255" s="48" t="s">
        <v>5</v>
      </c>
      <c r="E3255" t="s">
        <v>1472</v>
      </c>
      <c r="F3255">
        <v>2024</v>
      </c>
      <c r="G3255" t="s">
        <v>618</v>
      </c>
      <c r="H3255" s="42" t="s">
        <v>1473</v>
      </c>
      <c r="J3255" t="s">
        <v>248</v>
      </c>
      <c r="L3255" s="34">
        <v>3</v>
      </c>
      <c r="M3255" s="38">
        <v>0.75</v>
      </c>
      <c r="N3255" s="38">
        <f t="shared" si="51"/>
        <v>2.25</v>
      </c>
    </row>
    <row r="3256" spans="1:14">
      <c r="A3256" s="29">
        <v>45582</v>
      </c>
      <c r="B3256" s="22" t="s">
        <v>96</v>
      </c>
      <c r="C3256" s="22" t="s">
        <v>57</v>
      </c>
      <c r="D3256" s="48" t="s">
        <v>8</v>
      </c>
      <c r="E3256" t="s">
        <v>1474</v>
      </c>
      <c r="F3256">
        <v>2024</v>
      </c>
      <c r="G3256" t="s">
        <v>618</v>
      </c>
      <c r="H3256" s="42" t="s">
        <v>1303</v>
      </c>
      <c r="J3256" t="s">
        <v>248</v>
      </c>
      <c r="L3256" s="34">
        <v>2</v>
      </c>
      <c r="M3256" s="38">
        <v>0.75</v>
      </c>
      <c r="N3256" s="38">
        <f t="shared" si="51"/>
        <v>1.5</v>
      </c>
    </row>
    <row r="3257" spans="1:14">
      <c r="A3257" s="29">
        <v>45582</v>
      </c>
      <c r="B3257" s="22" t="s">
        <v>96</v>
      </c>
      <c r="C3257" s="22" t="s">
        <v>57</v>
      </c>
      <c r="D3257" s="48" t="s">
        <v>8</v>
      </c>
      <c r="E3257" t="s">
        <v>189</v>
      </c>
      <c r="F3257">
        <v>2024</v>
      </c>
      <c r="G3257" t="s">
        <v>618</v>
      </c>
      <c r="H3257" s="42" t="s">
        <v>748</v>
      </c>
      <c r="J3257" t="s">
        <v>248</v>
      </c>
      <c r="L3257" s="34">
        <v>2</v>
      </c>
      <c r="M3257" s="38">
        <v>0.75</v>
      </c>
      <c r="N3257" s="38">
        <f t="shared" si="51"/>
        <v>1.5</v>
      </c>
    </row>
    <row r="3258" spans="1:14">
      <c r="A3258" s="29">
        <v>45582</v>
      </c>
      <c r="B3258" s="22" t="s">
        <v>96</v>
      </c>
      <c r="C3258" s="22" t="s">
        <v>57</v>
      </c>
      <c r="D3258" s="48" t="s">
        <v>8</v>
      </c>
      <c r="E3258" t="s">
        <v>189</v>
      </c>
      <c r="F3258">
        <v>2024</v>
      </c>
      <c r="G3258" t="s">
        <v>618</v>
      </c>
      <c r="H3258" s="42" t="s">
        <v>1218</v>
      </c>
      <c r="J3258" t="s">
        <v>248</v>
      </c>
      <c r="L3258" s="34">
        <v>2</v>
      </c>
      <c r="M3258" s="38">
        <v>0.75</v>
      </c>
      <c r="N3258" s="38">
        <f t="shared" si="51"/>
        <v>1.5</v>
      </c>
    </row>
    <row r="3259" spans="1:14">
      <c r="A3259" s="29">
        <v>45582</v>
      </c>
      <c r="B3259" s="22" t="s">
        <v>96</v>
      </c>
      <c r="C3259" s="22" t="s">
        <v>57</v>
      </c>
      <c r="D3259" s="48" t="s">
        <v>8</v>
      </c>
      <c r="E3259" t="s">
        <v>189</v>
      </c>
      <c r="F3259">
        <v>2024</v>
      </c>
      <c r="G3259" t="s">
        <v>618</v>
      </c>
      <c r="H3259" s="42" t="s">
        <v>1475</v>
      </c>
      <c r="J3259" t="s">
        <v>248</v>
      </c>
      <c r="L3259" s="34">
        <v>2</v>
      </c>
      <c r="M3259" s="38">
        <v>0.75</v>
      </c>
      <c r="N3259" s="38">
        <f t="shared" si="51"/>
        <v>1.5</v>
      </c>
    </row>
    <row r="3260" spans="1:14">
      <c r="A3260" s="29">
        <v>45582</v>
      </c>
      <c r="B3260" s="22" t="s">
        <v>16</v>
      </c>
      <c r="C3260" s="22" t="s">
        <v>49</v>
      </c>
      <c r="D3260" s="48" t="s">
        <v>5</v>
      </c>
      <c r="E3260" t="s">
        <v>163</v>
      </c>
      <c r="F3260">
        <v>2024</v>
      </c>
      <c r="G3260" t="s">
        <v>326</v>
      </c>
      <c r="H3260" s="42" t="s">
        <v>1449</v>
      </c>
      <c r="J3260" t="s">
        <v>248</v>
      </c>
      <c r="L3260" s="34">
        <v>3</v>
      </c>
      <c r="M3260" s="38">
        <v>0.75</v>
      </c>
      <c r="N3260" s="38">
        <f t="shared" si="51"/>
        <v>2.25</v>
      </c>
    </row>
    <row r="3261" spans="1:14">
      <c r="A3261" s="29">
        <v>45582</v>
      </c>
      <c r="B3261" s="22" t="s">
        <v>16</v>
      </c>
      <c r="C3261" s="22" t="s">
        <v>49</v>
      </c>
      <c r="D3261" s="48" t="s">
        <v>5</v>
      </c>
      <c r="E3261" t="s">
        <v>163</v>
      </c>
      <c r="F3261">
        <v>2024</v>
      </c>
      <c r="G3261" t="s">
        <v>247</v>
      </c>
      <c r="H3261" s="42" t="s">
        <v>1449</v>
      </c>
      <c r="J3261" t="s">
        <v>248</v>
      </c>
      <c r="L3261" s="34">
        <v>3</v>
      </c>
      <c r="M3261" s="38">
        <v>0.75</v>
      </c>
      <c r="N3261" s="38">
        <f t="shared" si="51"/>
        <v>2.25</v>
      </c>
    </row>
    <row r="3262" spans="1:14">
      <c r="A3262" s="29">
        <v>45582</v>
      </c>
      <c r="B3262" s="22" t="s">
        <v>16</v>
      </c>
      <c r="C3262" s="22" t="s">
        <v>49</v>
      </c>
      <c r="D3262" s="48" t="s">
        <v>5</v>
      </c>
      <c r="E3262" t="s">
        <v>159</v>
      </c>
      <c r="F3262">
        <v>2024</v>
      </c>
      <c r="G3262" t="s">
        <v>326</v>
      </c>
      <c r="H3262" s="42" t="s">
        <v>1476</v>
      </c>
      <c r="J3262" t="s">
        <v>248</v>
      </c>
      <c r="L3262" s="34">
        <v>3</v>
      </c>
      <c r="M3262" s="38">
        <v>0.75</v>
      </c>
      <c r="N3262" s="38">
        <f t="shared" si="51"/>
        <v>2.25</v>
      </c>
    </row>
    <row r="3263" spans="1:14">
      <c r="A3263" s="29">
        <v>45582</v>
      </c>
      <c r="B3263" s="22" t="s">
        <v>16</v>
      </c>
      <c r="C3263" s="22" t="s">
        <v>49</v>
      </c>
      <c r="D3263" s="48" t="s">
        <v>5</v>
      </c>
      <c r="E3263" t="s">
        <v>159</v>
      </c>
      <c r="F3263">
        <v>2024</v>
      </c>
      <c r="G3263" t="s">
        <v>247</v>
      </c>
      <c r="H3263" s="42" t="s">
        <v>1449</v>
      </c>
      <c r="J3263" t="s">
        <v>248</v>
      </c>
      <c r="L3263" s="34">
        <v>3</v>
      </c>
      <c r="M3263" s="38">
        <v>0.75</v>
      </c>
      <c r="N3263" s="38">
        <f t="shared" si="51"/>
        <v>2.25</v>
      </c>
    </row>
    <row r="3264" spans="1:14">
      <c r="A3264" s="29">
        <v>45582</v>
      </c>
      <c r="B3264" s="22" t="s">
        <v>16</v>
      </c>
      <c r="C3264" s="22" t="s">
        <v>49</v>
      </c>
      <c r="D3264" s="48" t="s">
        <v>5</v>
      </c>
      <c r="E3264" t="s">
        <v>158</v>
      </c>
      <c r="F3264">
        <v>2024</v>
      </c>
      <c r="G3264" t="s">
        <v>618</v>
      </c>
      <c r="H3264" s="42" t="s">
        <v>1449</v>
      </c>
      <c r="J3264" t="s">
        <v>248</v>
      </c>
      <c r="L3264" s="34">
        <v>3</v>
      </c>
      <c r="M3264" s="38">
        <v>0.75</v>
      </c>
      <c r="N3264" s="38">
        <f t="shared" si="51"/>
        <v>2.25</v>
      </c>
    </row>
    <row r="3265" spans="1:14">
      <c r="A3265" s="29">
        <v>45582</v>
      </c>
      <c r="B3265" s="22" t="s">
        <v>16</v>
      </c>
      <c r="C3265" s="22" t="s">
        <v>49</v>
      </c>
      <c r="D3265" s="48" t="s">
        <v>5</v>
      </c>
      <c r="E3265" t="s">
        <v>255</v>
      </c>
      <c r="F3265">
        <v>2024</v>
      </c>
      <c r="G3265" t="s">
        <v>727</v>
      </c>
      <c r="H3265" s="42" t="s">
        <v>1449</v>
      </c>
      <c r="J3265" t="s">
        <v>248</v>
      </c>
      <c r="L3265" s="34">
        <v>3</v>
      </c>
      <c r="M3265" s="38">
        <v>0.75</v>
      </c>
      <c r="N3265" s="38">
        <f t="shared" si="51"/>
        <v>2.25</v>
      </c>
    </row>
    <row r="3266" spans="1:14">
      <c r="A3266" s="29">
        <v>45582</v>
      </c>
      <c r="B3266" s="22" t="s">
        <v>16</v>
      </c>
      <c r="C3266" s="22" t="s">
        <v>49</v>
      </c>
      <c r="D3266" s="48" t="s">
        <v>5</v>
      </c>
      <c r="E3266" t="s">
        <v>255</v>
      </c>
      <c r="F3266">
        <v>2024</v>
      </c>
      <c r="G3266" t="s">
        <v>359</v>
      </c>
      <c r="H3266" s="42" t="s">
        <v>1449</v>
      </c>
      <c r="J3266" t="s">
        <v>248</v>
      </c>
      <c r="L3266" s="34">
        <v>3</v>
      </c>
      <c r="M3266" s="38">
        <v>0.75</v>
      </c>
      <c r="N3266" s="38">
        <f t="shared" si="51"/>
        <v>2.25</v>
      </c>
    </row>
    <row r="3267" spans="1:14">
      <c r="A3267" s="29">
        <v>45582</v>
      </c>
      <c r="B3267" s="22" t="s">
        <v>16</v>
      </c>
      <c r="C3267" s="22" t="s">
        <v>49</v>
      </c>
      <c r="D3267" s="48" t="s">
        <v>5</v>
      </c>
      <c r="E3267" t="s">
        <v>182</v>
      </c>
      <c r="F3267">
        <v>2024</v>
      </c>
      <c r="G3267" t="s">
        <v>618</v>
      </c>
      <c r="H3267" s="42" t="s">
        <v>1203</v>
      </c>
      <c r="J3267" t="s">
        <v>248</v>
      </c>
      <c r="L3267" s="34">
        <v>3</v>
      </c>
      <c r="M3267" s="38">
        <v>0.75</v>
      </c>
      <c r="N3267" s="38">
        <f t="shared" si="51"/>
        <v>2.25</v>
      </c>
    </row>
    <row r="3268" spans="1:14">
      <c r="A3268" s="29">
        <v>45582</v>
      </c>
      <c r="B3268" s="22" t="s">
        <v>16</v>
      </c>
      <c r="C3268" s="22" t="s">
        <v>49</v>
      </c>
      <c r="D3268" s="48" t="s">
        <v>5</v>
      </c>
      <c r="E3268" t="s">
        <v>182</v>
      </c>
      <c r="F3268">
        <v>2024</v>
      </c>
      <c r="G3268" t="s">
        <v>618</v>
      </c>
      <c r="H3268" s="42" t="s">
        <v>1239</v>
      </c>
      <c r="J3268" t="s">
        <v>248</v>
      </c>
      <c r="L3268" s="34">
        <v>3</v>
      </c>
      <c r="M3268" s="38">
        <v>0.75</v>
      </c>
      <c r="N3268" s="38">
        <f t="shared" si="51"/>
        <v>2.25</v>
      </c>
    </row>
    <row r="3269" spans="1:14">
      <c r="A3269" s="29">
        <v>45582</v>
      </c>
      <c r="B3269" s="22" t="s">
        <v>63</v>
      </c>
      <c r="C3269" s="22" t="s">
        <v>57</v>
      </c>
      <c r="D3269" s="48" t="s">
        <v>5</v>
      </c>
      <c r="E3269" t="s">
        <v>255</v>
      </c>
      <c r="F3269">
        <v>2024</v>
      </c>
      <c r="G3269" t="s">
        <v>727</v>
      </c>
      <c r="H3269" s="42" t="s">
        <v>1449</v>
      </c>
      <c r="J3269" t="s">
        <v>248</v>
      </c>
      <c r="L3269" s="34">
        <v>3</v>
      </c>
      <c r="M3269" s="38">
        <v>0.75</v>
      </c>
      <c r="N3269" s="38">
        <f t="shared" si="51"/>
        <v>2.25</v>
      </c>
    </row>
    <row r="3270" spans="1:14">
      <c r="A3270" s="29">
        <v>45582</v>
      </c>
      <c r="B3270" s="22" t="s">
        <v>63</v>
      </c>
      <c r="C3270" s="22" t="s">
        <v>57</v>
      </c>
      <c r="D3270" s="48" t="s">
        <v>5</v>
      </c>
      <c r="E3270" t="s">
        <v>255</v>
      </c>
      <c r="F3270">
        <v>2024</v>
      </c>
      <c r="G3270" t="s">
        <v>359</v>
      </c>
      <c r="H3270" s="42" t="s">
        <v>1449</v>
      </c>
      <c r="J3270" t="s">
        <v>248</v>
      </c>
      <c r="L3270" s="34">
        <v>3</v>
      </c>
      <c r="M3270" s="38">
        <v>0.75</v>
      </c>
      <c r="N3270" s="38">
        <f t="shared" si="51"/>
        <v>2.25</v>
      </c>
    </row>
    <row r="3271" spans="1:14">
      <c r="A3271" s="29">
        <v>45582</v>
      </c>
      <c r="B3271" s="22" t="s">
        <v>63</v>
      </c>
      <c r="C3271" s="22" t="s">
        <v>57</v>
      </c>
      <c r="D3271" s="48" t="s">
        <v>5</v>
      </c>
      <c r="E3271" t="s">
        <v>159</v>
      </c>
      <c r="F3271">
        <v>2024</v>
      </c>
      <c r="G3271" t="s">
        <v>326</v>
      </c>
      <c r="H3271" s="42" t="s">
        <v>1476</v>
      </c>
      <c r="J3271" t="s">
        <v>248</v>
      </c>
      <c r="L3271" s="34">
        <v>3</v>
      </c>
      <c r="M3271" s="38">
        <v>0.75</v>
      </c>
      <c r="N3271" s="38">
        <f t="shared" si="51"/>
        <v>2.25</v>
      </c>
    </row>
    <row r="3272" spans="1:14">
      <c r="A3272" s="29">
        <v>45582</v>
      </c>
      <c r="B3272" s="22" t="s">
        <v>63</v>
      </c>
      <c r="C3272" s="22" t="s">
        <v>57</v>
      </c>
      <c r="D3272" s="48" t="s">
        <v>5</v>
      </c>
      <c r="E3272" t="s">
        <v>157</v>
      </c>
      <c r="F3272">
        <v>2024</v>
      </c>
      <c r="G3272" t="s">
        <v>427</v>
      </c>
      <c r="H3272" s="42" t="s">
        <v>1381</v>
      </c>
      <c r="J3272" t="s">
        <v>248</v>
      </c>
      <c r="L3272" s="34">
        <v>2</v>
      </c>
      <c r="M3272" s="38">
        <v>0.75</v>
      </c>
      <c r="N3272" s="38">
        <f t="shared" si="51"/>
        <v>1.5</v>
      </c>
    </row>
    <row r="3273" spans="1:14">
      <c r="A3273" s="29">
        <v>45583</v>
      </c>
      <c r="B3273" s="22" t="s">
        <v>55</v>
      </c>
      <c r="C3273" s="22" t="s">
        <v>57</v>
      </c>
      <c r="D3273" s="48" t="s">
        <v>5</v>
      </c>
      <c r="E3273" t="s">
        <v>163</v>
      </c>
      <c r="F3273">
        <v>2024</v>
      </c>
      <c r="G3273" t="s">
        <v>326</v>
      </c>
      <c r="H3273" s="42" t="s">
        <v>1449</v>
      </c>
      <c r="J3273" t="s">
        <v>248</v>
      </c>
      <c r="L3273" s="34">
        <v>3</v>
      </c>
      <c r="M3273" s="38">
        <v>0.75</v>
      </c>
      <c r="N3273" s="38">
        <f t="shared" si="51"/>
        <v>2.25</v>
      </c>
    </row>
    <row r="3274" spans="1:14">
      <c r="A3274" s="29">
        <v>45583</v>
      </c>
      <c r="B3274" s="22" t="s">
        <v>55</v>
      </c>
      <c r="C3274" s="22" t="s">
        <v>57</v>
      </c>
      <c r="D3274" s="48" t="s">
        <v>5</v>
      </c>
      <c r="E3274" t="s">
        <v>163</v>
      </c>
      <c r="F3274">
        <v>2024</v>
      </c>
      <c r="G3274" t="s">
        <v>247</v>
      </c>
      <c r="H3274" s="42" t="s">
        <v>1449</v>
      </c>
      <c r="J3274" t="s">
        <v>248</v>
      </c>
      <c r="L3274" s="34">
        <v>3</v>
      </c>
      <c r="M3274" s="38">
        <v>0.75</v>
      </c>
      <c r="N3274" s="38">
        <f t="shared" si="51"/>
        <v>2.25</v>
      </c>
    </row>
    <row r="3275" spans="1:14">
      <c r="A3275" s="29">
        <v>45583</v>
      </c>
      <c r="B3275" s="22" t="s">
        <v>55</v>
      </c>
      <c r="C3275" s="22" t="s">
        <v>57</v>
      </c>
      <c r="D3275" s="48" t="s">
        <v>5</v>
      </c>
      <c r="E3275" t="s">
        <v>159</v>
      </c>
      <c r="F3275">
        <v>2024</v>
      </c>
      <c r="G3275" t="s">
        <v>326</v>
      </c>
      <c r="H3275" s="42" t="s">
        <v>1476</v>
      </c>
      <c r="J3275" t="s">
        <v>248</v>
      </c>
      <c r="L3275" s="34">
        <v>3</v>
      </c>
      <c r="M3275" s="38">
        <v>0.75</v>
      </c>
      <c r="N3275" s="38">
        <f t="shared" si="51"/>
        <v>2.25</v>
      </c>
    </row>
    <row r="3276" spans="1:14">
      <c r="A3276" s="29">
        <v>45583</v>
      </c>
      <c r="B3276" s="22" t="s">
        <v>55</v>
      </c>
      <c r="C3276" s="22" t="s">
        <v>57</v>
      </c>
      <c r="D3276" s="48" t="s">
        <v>5</v>
      </c>
      <c r="E3276" t="s">
        <v>159</v>
      </c>
      <c r="F3276">
        <v>2024</v>
      </c>
      <c r="G3276" t="s">
        <v>247</v>
      </c>
      <c r="H3276" s="42" t="s">
        <v>1449</v>
      </c>
      <c r="J3276" t="s">
        <v>248</v>
      </c>
      <c r="L3276" s="34">
        <v>3</v>
      </c>
      <c r="M3276" s="38">
        <v>0.75</v>
      </c>
      <c r="N3276" s="38">
        <f t="shared" si="51"/>
        <v>2.25</v>
      </c>
    </row>
    <row r="3277" spans="1:14">
      <c r="A3277" s="29">
        <v>45583</v>
      </c>
      <c r="B3277" s="22" t="s">
        <v>55</v>
      </c>
      <c r="C3277" s="22" t="s">
        <v>57</v>
      </c>
      <c r="D3277" s="48" t="s">
        <v>5</v>
      </c>
      <c r="E3277" t="s">
        <v>255</v>
      </c>
      <c r="F3277">
        <v>2024</v>
      </c>
      <c r="G3277" t="s">
        <v>727</v>
      </c>
      <c r="H3277" s="42" t="s">
        <v>1449</v>
      </c>
      <c r="J3277" t="s">
        <v>248</v>
      </c>
      <c r="L3277" s="34">
        <v>3</v>
      </c>
      <c r="M3277" s="38">
        <v>0.75</v>
      </c>
      <c r="N3277" s="38">
        <f t="shared" si="51"/>
        <v>2.25</v>
      </c>
    </row>
    <row r="3278" spans="1:14">
      <c r="A3278" s="29">
        <v>45583</v>
      </c>
      <c r="B3278" s="22" t="s">
        <v>55</v>
      </c>
      <c r="C3278" s="22" t="s">
        <v>57</v>
      </c>
      <c r="D3278" s="48" t="s">
        <v>5</v>
      </c>
      <c r="E3278" t="s">
        <v>255</v>
      </c>
      <c r="F3278">
        <v>2024</v>
      </c>
      <c r="G3278" t="s">
        <v>359</v>
      </c>
      <c r="H3278" s="42" t="s">
        <v>1449</v>
      </c>
      <c r="J3278" t="s">
        <v>248</v>
      </c>
      <c r="L3278" s="34">
        <v>3</v>
      </c>
      <c r="M3278" s="38">
        <v>0.75</v>
      </c>
      <c r="N3278" s="38">
        <f t="shared" si="51"/>
        <v>2.25</v>
      </c>
    </row>
    <row r="3279" spans="1:14">
      <c r="A3279" s="29">
        <v>45586</v>
      </c>
      <c r="B3279" s="22" t="s">
        <v>57</v>
      </c>
      <c r="C3279" s="22" t="s">
        <v>4</v>
      </c>
      <c r="D3279" s="48" t="s">
        <v>5</v>
      </c>
      <c r="E3279" t="s">
        <v>159</v>
      </c>
      <c r="F3279">
        <v>2024</v>
      </c>
      <c r="G3279" t="s">
        <v>326</v>
      </c>
      <c r="H3279" s="42" t="s">
        <v>1476</v>
      </c>
      <c r="J3279" t="s">
        <v>248</v>
      </c>
      <c r="L3279" s="34">
        <v>3</v>
      </c>
      <c r="M3279" s="38">
        <v>0.75</v>
      </c>
      <c r="N3279" s="38">
        <f t="shared" si="51"/>
        <v>2.25</v>
      </c>
    </row>
    <row r="3280" spans="1:14">
      <c r="A3280" s="29">
        <v>45586</v>
      </c>
      <c r="B3280" s="22" t="s">
        <v>57</v>
      </c>
      <c r="C3280" s="22" t="s">
        <v>4</v>
      </c>
      <c r="D3280" s="48" t="s">
        <v>5</v>
      </c>
      <c r="E3280" t="s">
        <v>159</v>
      </c>
      <c r="F3280">
        <v>2024</v>
      </c>
      <c r="G3280" t="s">
        <v>247</v>
      </c>
      <c r="H3280" s="42" t="s">
        <v>1449</v>
      </c>
      <c r="J3280" t="s">
        <v>248</v>
      </c>
      <c r="L3280" s="34">
        <v>3</v>
      </c>
      <c r="M3280" s="38">
        <v>0.75</v>
      </c>
      <c r="N3280" s="38">
        <f t="shared" si="51"/>
        <v>2.25</v>
      </c>
    </row>
    <row r="3281" spans="1:14">
      <c r="A3281" s="29">
        <v>45586</v>
      </c>
      <c r="B3281" s="22" t="s">
        <v>57</v>
      </c>
      <c r="C3281" s="22" t="s">
        <v>4</v>
      </c>
      <c r="D3281" s="48" t="s">
        <v>5</v>
      </c>
      <c r="E3281" t="s">
        <v>255</v>
      </c>
      <c r="F3281">
        <v>2024</v>
      </c>
      <c r="G3281" t="s">
        <v>727</v>
      </c>
      <c r="H3281" s="42" t="s">
        <v>1449</v>
      </c>
      <c r="J3281" t="s">
        <v>248</v>
      </c>
      <c r="L3281" s="34">
        <v>3</v>
      </c>
      <c r="M3281" s="38">
        <v>0.75</v>
      </c>
      <c r="N3281" s="38">
        <f t="shared" si="51"/>
        <v>2.25</v>
      </c>
    </row>
    <row r="3282" spans="1:14">
      <c r="A3282" s="29">
        <v>45586</v>
      </c>
      <c r="B3282" s="22" t="s">
        <v>57</v>
      </c>
      <c r="C3282" s="22" t="s">
        <v>4</v>
      </c>
      <c r="D3282" s="48" t="s">
        <v>5</v>
      </c>
      <c r="E3282" t="s">
        <v>255</v>
      </c>
      <c r="F3282">
        <v>2024</v>
      </c>
      <c r="G3282" t="s">
        <v>359</v>
      </c>
      <c r="H3282" s="42" t="s">
        <v>1449</v>
      </c>
      <c r="J3282" t="s">
        <v>248</v>
      </c>
      <c r="L3282" s="34">
        <v>3</v>
      </c>
      <c r="M3282" s="38">
        <v>0.75</v>
      </c>
      <c r="N3282" s="38">
        <f t="shared" si="51"/>
        <v>2.25</v>
      </c>
    </row>
    <row r="3283" spans="1:14">
      <c r="A3283" s="29">
        <v>45588</v>
      </c>
      <c r="B3283" s="22" t="s">
        <v>63</v>
      </c>
      <c r="C3283" s="22" t="s">
        <v>4</v>
      </c>
      <c r="D3283" s="48" t="s">
        <v>5</v>
      </c>
      <c r="E3283" t="s">
        <v>262</v>
      </c>
      <c r="F3283">
        <v>2024</v>
      </c>
      <c r="G3283" t="s">
        <v>873</v>
      </c>
      <c r="H3283" s="42" t="s">
        <v>1449</v>
      </c>
      <c r="J3283" t="s">
        <v>248</v>
      </c>
      <c r="L3283" s="34">
        <v>2</v>
      </c>
      <c r="M3283" s="38">
        <v>0.75</v>
      </c>
      <c r="N3283" s="38">
        <f t="shared" si="51"/>
        <v>1.5</v>
      </c>
    </row>
    <row r="3284" spans="1:14">
      <c r="A3284" s="29">
        <v>45588</v>
      </c>
      <c r="B3284" s="22" t="s">
        <v>63</v>
      </c>
      <c r="C3284" s="22" t="s">
        <v>57</v>
      </c>
      <c r="D3284" s="48" t="s">
        <v>5</v>
      </c>
      <c r="E3284" t="s">
        <v>255</v>
      </c>
      <c r="F3284">
        <v>2024</v>
      </c>
      <c r="G3284" t="s">
        <v>618</v>
      </c>
      <c r="H3284" s="42" t="s">
        <v>1449</v>
      </c>
      <c r="J3284" t="s">
        <v>248</v>
      </c>
      <c r="L3284" s="34">
        <v>2</v>
      </c>
      <c r="M3284" s="38">
        <v>0.75</v>
      </c>
      <c r="N3284" s="38">
        <f t="shared" si="51"/>
        <v>1.5</v>
      </c>
    </row>
    <row r="3285" spans="1:14">
      <c r="A3285" s="29">
        <v>45588</v>
      </c>
      <c r="B3285" s="22" t="s">
        <v>63</v>
      </c>
      <c r="C3285" s="22" t="s">
        <v>57</v>
      </c>
      <c r="D3285" s="48" t="s">
        <v>5</v>
      </c>
      <c r="E3285" t="s">
        <v>159</v>
      </c>
      <c r="F3285">
        <v>2024</v>
      </c>
      <c r="G3285" t="s">
        <v>252</v>
      </c>
      <c r="H3285" s="42" t="s">
        <v>1449</v>
      </c>
      <c r="J3285" t="s">
        <v>248</v>
      </c>
      <c r="L3285" s="34">
        <v>2</v>
      </c>
      <c r="M3285" s="38">
        <v>0.75</v>
      </c>
      <c r="N3285" s="38">
        <f t="shared" si="51"/>
        <v>1.5</v>
      </c>
    </row>
    <row r="3286" spans="1:14">
      <c r="A3286" s="29">
        <v>45588</v>
      </c>
      <c r="B3286" s="22" t="s">
        <v>63</v>
      </c>
      <c r="C3286" s="22" t="s">
        <v>57</v>
      </c>
      <c r="D3286" s="48" t="s">
        <v>5</v>
      </c>
      <c r="E3286" t="s">
        <v>159</v>
      </c>
      <c r="F3286">
        <v>2024</v>
      </c>
      <c r="G3286" t="s">
        <v>253</v>
      </c>
      <c r="H3286" s="42" t="s">
        <v>1449</v>
      </c>
      <c r="J3286" t="s">
        <v>248</v>
      </c>
      <c r="L3286" s="34">
        <v>2</v>
      </c>
      <c r="M3286" s="38">
        <v>0.75</v>
      </c>
      <c r="N3286" s="38">
        <f t="shared" si="51"/>
        <v>1.5</v>
      </c>
    </row>
    <row r="3287" spans="1:14">
      <c r="A3287" s="29">
        <v>45588</v>
      </c>
      <c r="B3287" s="22" t="s">
        <v>16</v>
      </c>
      <c r="C3287" s="22" t="s">
        <v>49</v>
      </c>
      <c r="D3287" s="48" t="s">
        <v>5</v>
      </c>
      <c r="E3287" t="s">
        <v>159</v>
      </c>
      <c r="F3287">
        <v>2024</v>
      </c>
      <c r="G3287" t="s">
        <v>252</v>
      </c>
      <c r="H3287" s="42" t="s">
        <v>1449</v>
      </c>
      <c r="J3287" t="s">
        <v>248</v>
      </c>
      <c r="L3287" s="34">
        <v>4</v>
      </c>
      <c r="M3287" s="38">
        <v>0.75</v>
      </c>
      <c r="N3287" s="38">
        <f t="shared" si="51"/>
        <v>3</v>
      </c>
    </row>
    <row r="3288" spans="1:14">
      <c r="A3288" s="29">
        <v>45588</v>
      </c>
      <c r="B3288" s="22" t="s">
        <v>16</v>
      </c>
      <c r="C3288" s="22" t="s">
        <v>49</v>
      </c>
      <c r="D3288" s="48" t="s">
        <v>5</v>
      </c>
      <c r="E3288" t="s">
        <v>163</v>
      </c>
      <c r="F3288">
        <v>2024</v>
      </c>
      <c r="G3288" t="s">
        <v>253</v>
      </c>
      <c r="H3288" s="42" t="s">
        <v>1449</v>
      </c>
      <c r="J3288" t="s">
        <v>248</v>
      </c>
      <c r="L3288" s="34">
        <v>4</v>
      </c>
      <c r="M3288" s="38">
        <v>0.75</v>
      </c>
      <c r="N3288" s="38">
        <f t="shared" si="51"/>
        <v>3</v>
      </c>
    </row>
    <row r="3289" spans="1:14">
      <c r="A3289" s="29">
        <v>45588</v>
      </c>
      <c r="B3289" s="22" t="s">
        <v>16</v>
      </c>
      <c r="C3289" s="22" t="s">
        <v>49</v>
      </c>
      <c r="D3289" s="48" t="s">
        <v>5</v>
      </c>
      <c r="E3289" t="s">
        <v>163</v>
      </c>
      <c r="F3289">
        <v>2024</v>
      </c>
      <c r="G3289" t="s">
        <v>252</v>
      </c>
      <c r="H3289" s="42" t="s">
        <v>1449</v>
      </c>
      <c r="J3289" t="s">
        <v>248</v>
      </c>
      <c r="L3289" s="34">
        <v>4</v>
      </c>
      <c r="M3289" s="38">
        <v>0.75</v>
      </c>
      <c r="N3289" s="38">
        <f t="shared" si="51"/>
        <v>3</v>
      </c>
    </row>
    <row r="3290" spans="1:14">
      <c r="A3290" s="29">
        <v>45588</v>
      </c>
      <c r="B3290" s="22" t="s">
        <v>16</v>
      </c>
      <c r="C3290" s="22" t="s">
        <v>49</v>
      </c>
      <c r="D3290" s="48" t="s">
        <v>5</v>
      </c>
      <c r="E3290" t="s">
        <v>255</v>
      </c>
      <c r="F3290">
        <v>2024</v>
      </c>
      <c r="G3290" t="s">
        <v>252</v>
      </c>
      <c r="H3290" s="42" t="s">
        <v>1449</v>
      </c>
      <c r="J3290" t="s">
        <v>248</v>
      </c>
      <c r="L3290" s="34">
        <v>4</v>
      </c>
      <c r="M3290" s="38">
        <v>0.75</v>
      </c>
      <c r="N3290" s="38">
        <f t="shared" si="51"/>
        <v>3</v>
      </c>
    </row>
    <row r="3291" spans="1:14">
      <c r="A3291" s="29">
        <v>45588</v>
      </c>
      <c r="B3291" s="22" t="s">
        <v>81</v>
      </c>
      <c r="C3291" s="22" t="s">
        <v>57</v>
      </c>
      <c r="D3291" s="48" t="s">
        <v>5</v>
      </c>
      <c r="E3291" t="s">
        <v>158</v>
      </c>
      <c r="F3291">
        <v>2024</v>
      </c>
      <c r="G3291" t="s">
        <v>618</v>
      </c>
      <c r="H3291" s="42" t="s">
        <v>1449</v>
      </c>
      <c r="J3291" t="s">
        <v>248</v>
      </c>
      <c r="L3291" s="34">
        <v>1</v>
      </c>
      <c r="M3291" s="38">
        <v>10</v>
      </c>
      <c r="N3291" s="38">
        <f t="shared" si="51"/>
        <v>10</v>
      </c>
    </row>
    <row r="3292" spans="1:14">
      <c r="A3292" s="29">
        <v>45588</v>
      </c>
      <c r="B3292" s="22" t="s">
        <v>81</v>
      </c>
      <c r="C3292" s="22" t="s">
        <v>57</v>
      </c>
      <c r="D3292" s="48" t="s">
        <v>5</v>
      </c>
      <c r="E3292" t="s">
        <v>157</v>
      </c>
      <c r="F3292">
        <v>2024</v>
      </c>
      <c r="G3292" t="s">
        <v>253</v>
      </c>
      <c r="H3292" s="42" t="s">
        <v>1449</v>
      </c>
      <c r="J3292" t="s">
        <v>248</v>
      </c>
      <c r="L3292" s="34">
        <v>1</v>
      </c>
      <c r="M3292" s="38">
        <v>10</v>
      </c>
      <c r="N3292" s="38">
        <f t="shared" si="51"/>
        <v>10</v>
      </c>
    </row>
    <row r="3293" spans="1:14">
      <c r="A3293" s="29">
        <v>45593</v>
      </c>
      <c r="B3293" s="22" t="s">
        <v>63</v>
      </c>
      <c r="C3293" s="22" t="s">
        <v>57</v>
      </c>
      <c r="D3293" s="48" t="s">
        <v>5</v>
      </c>
      <c r="E3293" t="s">
        <v>267</v>
      </c>
      <c r="F3293">
        <v>2024</v>
      </c>
      <c r="G3293" t="s">
        <v>618</v>
      </c>
      <c r="H3293" s="42" t="s">
        <v>1449</v>
      </c>
      <c r="J3293" t="s">
        <v>248</v>
      </c>
      <c r="K3293" t="s">
        <v>1290</v>
      </c>
      <c r="L3293" s="34">
        <v>2</v>
      </c>
      <c r="M3293" s="38">
        <v>0.75</v>
      </c>
      <c r="N3293" s="38">
        <f t="shared" si="51"/>
        <v>1.5</v>
      </c>
    </row>
    <row r="3294" spans="1:14">
      <c r="A3294" s="29">
        <v>45593</v>
      </c>
      <c r="B3294" s="22" t="s">
        <v>63</v>
      </c>
      <c r="C3294" s="22" t="s">
        <v>57</v>
      </c>
      <c r="D3294" s="48" t="s">
        <v>5</v>
      </c>
      <c r="E3294" t="s">
        <v>159</v>
      </c>
      <c r="F3294">
        <v>2024</v>
      </c>
      <c r="G3294" t="s">
        <v>326</v>
      </c>
      <c r="H3294" s="42" t="s">
        <v>1449</v>
      </c>
      <c r="J3294" t="s">
        <v>248</v>
      </c>
      <c r="L3294" s="34">
        <v>2</v>
      </c>
      <c r="M3294" s="38">
        <v>0.75</v>
      </c>
      <c r="N3294" s="38">
        <f t="shared" si="51"/>
        <v>1.5</v>
      </c>
    </row>
    <row r="3295" spans="1:14">
      <c r="A3295" s="29">
        <v>45593</v>
      </c>
      <c r="B3295" s="22" t="s">
        <v>63</v>
      </c>
      <c r="C3295" s="22" t="s">
        <v>57</v>
      </c>
      <c r="D3295" s="48" t="s">
        <v>5</v>
      </c>
      <c r="E3295" t="s">
        <v>159</v>
      </c>
      <c r="F3295">
        <v>2024</v>
      </c>
      <c r="G3295" t="s">
        <v>253</v>
      </c>
      <c r="H3295" s="42" t="s">
        <v>1449</v>
      </c>
      <c r="J3295" t="s">
        <v>248</v>
      </c>
      <c r="L3295" s="34">
        <v>2</v>
      </c>
      <c r="M3295" s="38">
        <v>0.75</v>
      </c>
      <c r="N3295" s="38">
        <f t="shared" si="51"/>
        <v>1.5</v>
      </c>
    </row>
    <row r="3296" spans="1:14">
      <c r="A3296" s="29">
        <v>45593</v>
      </c>
      <c r="B3296" s="22" t="s">
        <v>63</v>
      </c>
      <c r="C3296" s="22" t="s">
        <v>57</v>
      </c>
      <c r="D3296" s="48" t="s">
        <v>5</v>
      </c>
      <c r="E3296" t="s">
        <v>159</v>
      </c>
      <c r="F3296">
        <v>2024</v>
      </c>
      <c r="G3296" t="s">
        <v>252</v>
      </c>
      <c r="H3296" s="42" t="s">
        <v>1449</v>
      </c>
      <c r="J3296" t="s">
        <v>248</v>
      </c>
      <c r="L3296" s="34">
        <v>2</v>
      </c>
      <c r="M3296" s="38">
        <v>0.75</v>
      </c>
      <c r="N3296" s="38">
        <f t="shared" si="51"/>
        <v>1.5</v>
      </c>
    </row>
    <row r="3297" spans="1:14">
      <c r="A3297" s="29">
        <v>45593</v>
      </c>
      <c r="B3297" s="22" t="s">
        <v>63</v>
      </c>
      <c r="C3297" s="22" t="s">
        <v>57</v>
      </c>
      <c r="D3297" s="48" t="s">
        <v>5</v>
      </c>
      <c r="E3297" t="s">
        <v>157</v>
      </c>
      <c r="F3297">
        <v>2024</v>
      </c>
      <c r="G3297" t="s">
        <v>252</v>
      </c>
      <c r="H3297" s="42" t="s">
        <v>1449</v>
      </c>
      <c r="J3297" t="s">
        <v>248</v>
      </c>
      <c r="L3297" s="34">
        <v>2</v>
      </c>
      <c r="M3297" s="38">
        <v>0.75</v>
      </c>
      <c r="N3297" s="38">
        <f t="shared" si="51"/>
        <v>1.5</v>
      </c>
    </row>
    <row r="3298" spans="1:14">
      <c r="A3298" s="29">
        <v>45593</v>
      </c>
      <c r="B3298" s="22" t="s">
        <v>63</v>
      </c>
      <c r="C3298" s="22" t="s">
        <v>57</v>
      </c>
      <c r="D3298" s="48" t="s">
        <v>5</v>
      </c>
      <c r="E3298" t="s">
        <v>157</v>
      </c>
      <c r="F3298">
        <v>2024</v>
      </c>
      <c r="G3298" t="s">
        <v>253</v>
      </c>
      <c r="H3298" s="42" t="s">
        <v>1449</v>
      </c>
      <c r="J3298" t="s">
        <v>248</v>
      </c>
      <c r="L3298" s="34">
        <v>2</v>
      </c>
      <c r="M3298" s="38">
        <v>0.75</v>
      </c>
      <c r="N3298" s="38">
        <f t="shared" si="51"/>
        <v>1.5</v>
      </c>
    </row>
    <row r="3299" spans="1:14">
      <c r="A3299" s="29">
        <v>45593</v>
      </c>
      <c r="B3299" s="22" t="s">
        <v>63</v>
      </c>
      <c r="C3299" s="22" t="s">
        <v>57</v>
      </c>
      <c r="D3299" s="48" t="s">
        <v>5</v>
      </c>
      <c r="E3299" t="s">
        <v>157</v>
      </c>
      <c r="F3299">
        <v>2024</v>
      </c>
      <c r="G3299" t="s">
        <v>507</v>
      </c>
      <c r="H3299" s="42" t="s">
        <v>1381</v>
      </c>
      <c r="J3299" t="s">
        <v>248</v>
      </c>
      <c r="L3299" s="34">
        <v>1</v>
      </c>
      <c r="M3299" s="38">
        <v>0.75</v>
      </c>
      <c r="N3299" s="38">
        <f t="shared" si="51"/>
        <v>0.75</v>
      </c>
    </row>
    <row r="3300" spans="1:14">
      <c r="A3300" s="29">
        <v>45593</v>
      </c>
      <c r="B3300" s="22" t="s">
        <v>63</v>
      </c>
      <c r="C3300" s="22" t="s">
        <v>57</v>
      </c>
      <c r="D3300" s="48" t="s">
        <v>5</v>
      </c>
      <c r="E3300" t="s">
        <v>255</v>
      </c>
      <c r="F3300">
        <v>2024</v>
      </c>
      <c r="G3300" t="s">
        <v>618</v>
      </c>
      <c r="H3300" s="42" t="s">
        <v>1449</v>
      </c>
      <c r="J3300" t="s">
        <v>248</v>
      </c>
      <c r="L3300" s="34">
        <v>2</v>
      </c>
      <c r="M3300" s="38">
        <v>0.75</v>
      </c>
      <c r="N3300" s="38">
        <f t="shared" si="51"/>
        <v>1.5</v>
      </c>
    </row>
    <row r="3301" spans="1:14">
      <c r="A3301" s="29">
        <v>45595</v>
      </c>
      <c r="B3301" s="22" t="s">
        <v>16</v>
      </c>
      <c r="C3301" s="22" t="s">
        <v>49</v>
      </c>
      <c r="D3301" s="48" t="s">
        <v>5</v>
      </c>
      <c r="E3301" t="s">
        <v>159</v>
      </c>
      <c r="F3301">
        <v>2024</v>
      </c>
      <c r="G3301" t="s">
        <v>253</v>
      </c>
      <c r="H3301" s="42" t="s">
        <v>1449</v>
      </c>
      <c r="J3301" t="s">
        <v>248</v>
      </c>
      <c r="L3301" s="34">
        <v>4</v>
      </c>
      <c r="M3301" s="38">
        <v>0.75</v>
      </c>
      <c r="N3301" s="38">
        <f t="shared" si="51"/>
        <v>3</v>
      </c>
    </row>
    <row r="3302" spans="1:14">
      <c r="A3302" s="29">
        <v>45595</v>
      </c>
      <c r="B3302" s="22" t="s">
        <v>16</v>
      </c>
      <c r="C3302" s="22" t="s">
        <v>49</v>
      </c>
      <c r="D3302" s="48" t="s">
        <v>5</v>
      </c>
      <c r="E3302" t="s">
        <v>158</v>
      </c>
      <c r="F3302">
        <v>2024</v>
      </c>
      <c r="G3302" t="s">
        <v>252</v>
      </c>
      <c r="H3302" s="42" t="s">
        <v>1449</v>
      </c>
      <c r="J3302" t="s">
        <v>248</v>
      </c>
      <c r="L3302" s="34">
        <v>4</v>
      </c>
      <c r="M3302" s="38">
        <v>0.75</v>
      </c>
      <c r="N3302" s="38">
        <f t="shared" si="51"/>
        <v>3</v>
      </c>
    </row>
    <row r="3303" spans="1:14">
      <c r="A3303" s="29">
        <v>45595</v>
      </c>
      <c r="B3303" s="22" t="s">
        <v>16</v>
      </c>
      <c r="C3303" s="22" t="s">
        <v>49</v>
      </c>
      <c r="D3303" s="48" t="s">
        <v>8</v>
      </c>
      <c r="E3303" t="s">
        <v>179</v>
      </c>
      <c r="F3303">
        <v>2024</v>
      </c>
      <c r="G3303" t="s">
        <v>57</v>
      </c>
      <c r="H3303" s="42" t="s">
        <v>848</v>
      </c>
      <c r="J3303" t="s">
        <v>248</v>
      </c>
      <c r="L3303" s="34">
        <v>4</v>
      </c>
      <c r="M3303" s="38">
        <v>0.75</v>
      </c>
      <c r="N3303" s="38">
        <f t="shared" si="51"/>
        <v>3</v>
      </c>
    </row>
    <row r="3304" spans="1:14">
      <c r="A3304" s="29">
        <v>45595</v>
      </c>
      <c r="B3304" s="22" t="s">
        <v>16</v>
      </c>
      <c r="C3304" s="22" t="s">
        <v>49</v>
      </c>
      <c r="D3304" s="48" t="s">
        <v>8</v>
      </c>
      <c r="E3304" t="s">
        <v>179</v>
      </c>
      <c r="F3304">
        <v>2024</v>
      </c>
      <c r="G3304" t="s">
        <v>57</v>
      </c>
      <c r="H3304" s="42" t="s">
        <v>1009</v>
      </c>
      <c r="J3304" t="s">
        <v>248</v>
      </c>
      <c r="L3304" s="34">
        <v>4</v>
      </c>
      <c r="M3304" s="38">
        <v>0.75</v>
      </c>
      <c r="N3304" s="38">
        <f t="shared" si="51"/>
        <v>3</v>
      </c>
    </row>
    <row r="3305" spans="1:14">
      <c r="A3305" s="29">
        <v>45595</v>
      </c>
      <c r="B3305" s="22" t="s">
        <v>16</v>
      </c>
      <c r="C3305" s="22" t="s">
        <v>49</v>
      </c>
      <c r="D3305" s="48" t="s">
        <v>8</v>
      </c>
      <c r="E3305" t="s">
        <v>178</v>
      </c>
      <c r="F3305">
        <v>2024</v>
      </c>
      <c r="G3305" t="s">
        <v>57</v>
      </c>
      <c r="H3305" s="42" t="s">
        <v>835</v>
      </c>
      <c r="J3305" t="s">
        <v>248</v>
      </c>
      <c r="L3305" s="34">
        <v>4</v>
      </c>
      <c r="M3305" s="38">
        <v>0.75</v>
      </c>
      <c r="N3305" s="38">
        <f t="shared" si="51"/>
        <v>3</v>
      </c>
    </row>
    <row r="3306" spans="1:14">
      <c r="A3306" s="29">
        <v>45595</v>
      </c>
      <c r="B3306" s="22" t="s">
        <v>16</v>
      </c>
      <c r="C3306" s="22" t="s">
        <v>49</v>
      </c>
      <c r="D3306" s="48" t="s">
        <v>8</v>
      </c>
      <c r="E3306" t="s">
        <v>179</v>
      </c>
      <c r="F3306">
        <v>2024</v>
      </c>
      <c r="G3306" t="s">
        <v>57</v>
      </c>
      <c r="H3306" s="42" t="s">
        <v>1477</v>
      </c>
      <c r="J3306" t="s">
        <v>248</v>
      </c>
      <c r="L3306" s="34">
        <v>4</v>
      </c>
      <c r="M3306" s="38">
        <v>0.75</v>
      </c>
      <c r="N3306" s="38">
        <f t="shared" si="51"/>
        <v>3</v>
      </c>
    </row>
    <row r="3307" spans="1:14">
      <c r="A3307" s="29">
        <v>45596</v>
      </c>
      <c r="B3307" s="22" t="s">
        <v>109</v>
      </c>
      <c r="C3307" s="22" t="s">
        <v>57</v>
      </c>
      <c r="D3307" s="48" t="s">
        <v>8</v>
      </c>
      <c r="E3307" t="s">
        <v>184</v>
      </c>
      <c r="F3307">
        <v>2024</v>
      </c>
      <c r="G3307" t="s">
        <v>57</v>
      </c>
      <c r="H3307" s="42" t="s">
        <v>752</v>
      </c>
      <c r="J3307" t="s">
        <v>248</v>
      </c>
      <c r="L3307" s="34">
        <v>2</v>
      </c>
      <c r="M3307" s="38">
        <v>0.75</v>
      </c>
      <c r="N3307" s="38">
        <f t="shared" si="51"/>
        <v>1.5</v>
      </c>
    </row>
    <row r="3308" spans="1:14">
      <c r="A3308" s="29">
        <v>45596</v>
      </c>
      <c r="B3308" s="22" t="s">
        <v>109</v>
      </c>
      <c r="C3308" s="22" t="s">
        <v>57</v>
      </c>
      <c r="D3308" s="48" t="s">
        <v>8</v>
      </c>
      <c r="E3308" t="s">
        <v>1474</v>
      </c>
      <c r="F3308">
        <v>2024</v>
      </c>
      <c r="G3308" t="s">
        <v>57</v>
      </c>
      <c r="H3308" s="42" t="s">
        <v>852</v>
      </c>
      <c r="J3308" t="s">
        <v>248</v>
      </c>
      <c r="L3308" s="34">
        <v>2</v>
      </c>
      <c r="M3308" s="38">
        <v>0.75</v>
      </c>
      <c r="N3308" s="38">
        <f t="shared" si="51"/>
        <v>1.5</v>
      </c>
    </row>
    <row r="3309" spans="1:14">
      <c r="A3309" s="29">
        <v>45596</v>
      </c>
      <c r="B3309" s="22" t="s">
        <v>109</v>
      </c>
      <c r="C3309" s="22" t="s">
        <v>57</v>
      </c>
      <c r="D3309" s="48" t="s">
        <v>8</v>
      </c>
      <c r="E3309" t="s">
        <v>1474</v>
      </c>
      <c r="F3309">
        <v>2024</v>
      </c>
      <c r="G3309" t="s">
        <v>57</v>
      </c>
      <c r="H3309" s="42" t="s">
        <v>875</v>
      </c>
      <c r="J3309" t="s">
        <v>248</v>
      </c>
      <c r="L3309" s="34">
        <v>2</v>
      </c>
      <c r="M3309" s="38">
        <v>0.75</v>
      </c>
      <c r="N3309" s="38">
        <f t="shared" si="51"/>
        <v>1.5</v>
      </c>
    </row>
    <row r="3310" spans="1:14">
      <c r="A3310" s="29">
        <v>45596</v>
      </c>
      <c r="B3310" s="22" t="s">
        <v>109</v>
      </c>
      <c r="C3310" s="22" t="s">
        <v>57</v>
      </c>
      <c r="D3310" s="48" t="s">
        <v>5</v>
      </c>
      <c r="E3310" t="s">
        <v>160</v>
      </c>
      <c r="F3310">
        <v>2024</v>
      </c>
      <c r="G3310" t="s">
        <v>57</v>
      </c>
      <c r="H3310" s="42" t="s">
        <v>807</v>
      </c>
      <c r="J3310" t="s">
        <v>248</v>
      </c>
      <c r="L3310" s="34">
        <v>2</v>
      </c>
      <c r="M3310" s="38">
        <v>0.75</v>
      </c>
      <c r="N3310" s="38">
        <f t="shared" si="51"/>
        <v>1.5</v>
      </c>
    </row>
    <row r="3311" spans="1:14">
      <c r="A3311" s="29">
        <v>45596</v>
      </c>
      <c r="B3311" s="22" t="s">
        <v>109</v>
      </c>
      <c r="C3311" s="22" t="s">
        <v>57</v>
      </c>
      <c r="D3311" s="48" t="s">
        <v>11</v>
      </c>
      <c r="E3311" t="s">
        <v>180</v>
      </c>
      <c r="F3311">
        <v>2024</v>
      </c>
      <c r="G3311" t="s">
        <v>1443</v>
      </c>
      <c r="H3311" s="42" t="s">
        <v>1428</v>
      </c>
      <c r="J3311" t="s">
        <v>248</v>
      </c>
      <c r="L3311" s="34">
        <v>1</v>
      </c>
      <c r="M3311" s="38">
        <v>0.75</v>
      </c>
      <c r="N3311" s="38">
        <f t="shared" si="51"/>
        <v>0.75</v>
      </c>
    </row>
    <row r="3312" spans="1:14">
      <c r="A3312" s="29">
        <v>45600</v>
      </c>
      <c r="B3312" s="22" t="s">
        <v>63</v>
      </c>
      <c r="C3312" s="22" t="s">
        <v>57</v>
      </c>
      <c r="D3312" s="48" t="s">
        <v>5</v>
      </c>
      <c r="E3312" t="s">
        <v>255</v>
      </c>
      <c r="F3312">
        <v>2024</v>
      </c>
      <c r="G3312" t="s">
        <v>618</v>
      </c>
      <c r="H3312" s="42" t="s">
        <v>1449</v>
      </c>
      <c r="J3312" t="s">
        <v>248</v>
      </c>
      <c r="L3312" s="34">
        <v>4</v>
      </c>
      <c r="M3312" s="38">
        <v>0.75</v>
      </c>
      <c r="N3312" s="38">
        <f t="shared" si="51"/>
        <v>3</v>
      </c>
    </row>
    <row r="3313" spans="1:14">
      <c r="A3313" s="29">
        <v>45600</v>
      </c>
      <c r="B3313" s="22" t="s">
        <v>63</v>
      </c>
      <c r="C3313" s="22" t="s">
        <v>57</v>
      </c>
      <c r="D3313" s="48" t="s">
        <v>8</v>
      </c>
      <c r="E3313" t="s">
        <v>180</v>
      </c>
      <c r="F3313">
        <v>2024</v>
      </c>
      <c r="G3313" t="s">
        <v>618</v>
      </c>
      <c r="H3313" s="42" t="s">
        <v>1449</v>
      </c>
      <c r="J3313" t="s">
        <v>248</v>
      </c>
      <c r="L3313" s="34">
        <v>4</v>
      </c>
      <c r="M3313" s="38">
        <v>0.75</v>
      </c>
      <c r="N3313" s="38">
        <f t="shared" si="51"/>
        <v>3</v>
      </c>
    </row>
    <row r="3314" spans="1:14">
      <c r="A3314" s="29">
        <v>45600</v>
      </c>
      <c r="B3314" s="22" t="s">
        <v>63</v>
      </c>
      <c r="C3314" s="22" t="s">
        <v>57</v>
      </c>
      <c r="D3314" s="48" t="s">
        <v>8</v>
      </c>
      <c r="E3314" t="s">
        <v>179</v>
      </c>
      <c r="F3314">
        <v>2024</v>
      </c>
      <c r="G3314" t="s">
        <v>57</v>
      </c>
      <c r="H3314" s="42" t="s">
        <v>1197</v>
      </c>
      <c r="J3314" t="s">
        <v>248</v>
      </c>
      <c r="L3314" s="34">
        <v>4</v>
      </c>
      <c r="M3314" s="38">
        <v>0.75</v>
      </c>
      <c r="N3314" s="38">
        <f t="shared" ref="N3314:N3368" si="52">M3314*L3314</f>
        <v>3</v>
      </c>
    </row>
    <row r="3315" spans="1:14">
      <c r="A3315" s="29">
        <v>45600</v>
      </c>
      <c r="B3315" s="22" t="s">
        <v>63</v>
      </c>
      <c r="C3315" s="22" t="s">
        <v>57</v>
      </c>
      <c r="D3315" s="48" t="s">
        <v>8</v>
      </c>
      <c r="E3315" t="s">
        <v>179</v>
      </c>
      <c r="F3315">
        <v>2024</v>
      </c>
      <c r="G3315" t="s">
        <v>57</v>
      </c>
      <c r="H3315" s="42" t="s">
        <v>1259</v>
      </c>
      <c r="J3315" t="s">
        <v>248</v>
      </c>
      <c r="L3315" s="34">
        <v>4</v>
      </c>
      <c r="M3315" s="38">
        <v>0.75</v>
      </c>
      <c r="N3315" s="38">
        <f t="shared" si="52"/>
        <v>3</v>
      </c>
    </row>
    <row r="3316" spans="1:14">
      <c r="A3316" s="29">
        <v>45600</v>
      </c>
      <c r="B3316" s="22" t="s">
        <v>63</v>
      </c>
      <c r="C3316" s="22" t="s">
        <v>57</v>
      </c>
      <c r="D3316" s="48" t="s">
        <v>8</v>
      </c>
      <c r="E3316" t="s">
        <v>178</v>
      </c>
      <c r="F3316">
        <v>2024</v>
      </c>
      <c r="G3316" t="s">
        <v>57</v>
      </c>
      <c r="H3316" s="42" t="s">
        <v>1303</v>
      </c>
      <c r="J3316" t="s">
        <v>248</v>
      </c>
      <c r="L3316" s="34">
        <v>4</v>
      </c>
      <c r="M3316" s="38">
        <v>0.75</v>
      </c>
      <c r="N3316" s="38">
        <f t="shared" si="52"/>
        <v>3</v>
      </c>
    </row>
    <row r="3317" spans="1:14">
      <c r="A3317" s="29">
        <v>45600</v>
      </c>
      <c r="B3317" s="22" t="s">
        <v>63</v>
      </c>
      <c r="C3317" s="22" t="s">
        <v>57</v>
      </c>
      <c r="D3317" s="48" t="s">
        <v>8</v>
      </c>
      <c r="E3317" t="s">
        <v>179</v>
      </c>
      <c r="F3317">
        <v>2024</v>
      </c>
      <c r="G3317" t="s">
        <v>57</v>
      </c>
      <c r="H3317" s="42" t="s">
        <v>1475</v>
      </c>
      <c r="J3317" t="s">
        <v>248</v>
      </c>
      <c r="L3317" s="34">
        <v>4</v>
      </c>
      <c r="M3317" s="38">
        <v>0.75</v>
      </c>
      <c r="N3317" s="38">
        <f t="shared" si="52"/>
        <v>3</v>
      </c>
    </row>
    <row r="3318" spans="1:14">
      <c r="A3318" s="29">
        <v>45601</v>
      </c>
      <c r="B3318" s="22" t="s">
        <v>1268</v>
      </c>
      <c r="C3318" s="22" t="s">
        <v>57</v>
      </c>
      <c r="D3318" s="48" t="s">
        <v>5</v>
      </c>
      <c r="E3318" t="s">
        <v>158</v>
      </c>
      <c r="F3318">
        <v>2024</v>
      </c>
      <c r="G3318" t="s">
        <v>57</v>
      </c>
      <c r="H3318" s="42" t="s">
        <v>1449</v>
      </c>
      <c r="J3318" t="s">
        <v>248</v>
      </c>
      <c r="L3318" s="34">
        <v>6</v>
      </c>
      <c r="M3318" s="38">
        <v>0.75</v>
      </c>
      <c r="N3318" s="38">
        <f t="shared" si="52"/>
        <v>4.5</v>
      </c>
    </row>
    <row r="3319" spans="1:14">
      <c r="A3319" s="29">
        <v>45601</v>
      </c>
      <c r="B3319" s="22" t="s">
        <v>1478</v>
      </c>
      <c r="C3319" s="22" t="s">
        <v>57</v>
      </c>
      <c r="D3319" s="48" t="s">
        <v>5</v>
      </c>
      <c r="E3319" t="s">
        <v>157</v>
      </c>
      <c r="F3319">
        <v>2024</v>
      </c>
      <c r="G3319" t="s">
        <v>252</v>
      </c>
      <c r="H3319" s="42" t="s">
        <v>763</v>
      </c>
      <c r="J3319" t="s">
        <v>248</v>
      </c>
      <c r="L3319" s="34">
        <v>4</v>
      </c>
      <c r="M3319" s="38">
        <v>0.75</v>
      </c>
      <c r="N3319" s="38">
        <f t="shared" si="52"/>
        <v>3</v>
      </c>
    </row>
    <row r="3320" spans="1:14">
      <c r="A3320" s="29">
        <v>45608</v>
      </c>
      <c r="B3320" s="22" t="s">
        <v>1479</v>
      </c>
      <c r="C3320" s="22" t="s">
        <v>57</v>
      </c>
      <c r="D3320" s="48" t="s">
        <v>8</v>
      </c>
      <c r="E3320" t="s">
        <v>180</v>
      </c>
      <c r="F3320">
        <v>2024</v>
      </c>
      <c r="H3320" s="42" t="s">
        <v>1449</v>
      </c>
      <c r="J3320" t="s">
        <v>248</v>
      </c>
      <c r="L3320" s="34">
        <v>3</v>
      </c>
      <c r="M3320" s="38">
        <v>0.75</v>
      </c>
      <c r="N3320" s="38">
        <f t="shared" si="52"/>
        <v>2.25</v>
      </c>
    </row>
    <row r="3321" spans="1:14">
      <c r="A3321" s="29">
        <v>45608</v>
      </c>
      <c r="B3321" s="22" t="s">
        <v>1479</v>
      </c>
      <c r="C3321" s="22" t="s">
        <v>57</v>
      </c>
      <c r="D3321" s="48" t="s">
        <v>8</v>
      </c>
      <c r="E3321" t="s">
        <v>182</v>
      </c>
      <c r="F3321">
        <v>2024</v>
      </c>
      <c r="H3321" s="42" t="s">
        <v>748</v>
      </c>
      <c r="J3321" t="s">
        <v>248</v>
      </c>
      <c r="L3321" s="34">
        <v>2</v>
      </c>
      <c r="M3321" s="38">
        <v>0.75</v>
      </c>
      <c r="N3321" s="38">
        <f t="shared" si="52"/>
        <v>1.5</v>
      </c>
    </row>
    <row r="3322" spans="1:14">
      <c r="A3322" s="29">
        <v>45608</v>
      </c>
      <c r="B3322" s="22" t="s">
        <v>1479</v>
      </c>
      <c r="C3322" s="22" t="s">
        <v>57</v>
      </c>
      <c r="D3322" s="48" t="s">
        <v>5</v>
      </c>
      <c r="E3322" t="s">
        <v>157</v>
      </c>
      <c r="F3322">
        <v>2024</v>
      </c>
      <c r="G3322" t="s">
        <v>326</v>
      </c>
      <c r="H3322" s="42" t="s">
        <v>1202</v>
      </c>
      <c r="J3322" t="s">
        <v>248</v>
      </c>
      <c r="L3322" s="34">
        <v>2</v>
      </c>
      <c r="M3322" s="38">
        <v>0.75</v>
      </c>
      <c r="N3322" s="38">
        <f t="shared" si="52"/>
        <v>1.5</v>
      </c>
    </row>
    <row r="3323" spans="1:14">
      <c r="A3323" s="29">
        <v>45608</v>
      </c>
      <c r="B3323" s="22" t="s">
        <v>1479</v>
      </c>
      <c r="C3323" s="22" t="s">
        <v>57</v>
      </c>
      <c r="D3323" s="48" t="s">
        <v>5</v>
      </c>
      <c r="E3323" t="s">
        <v>159</v>
      </c>
      <c r="F3323">
        <v>2024</v>
      </c>
      <c r="G3323" t="s">
        <v>326</v>
      </c>
      <c r="H3323" s="42" t="s">
        <v>1476</v>
      </c>
      <c r="J3323" t="s">
        <v>248</v>
      </c>
      <c r="L3323" s="34">
        <v>2</v>
      </c>
      <c r="M3323" s="38">
        <v>0.75</v>
      </c>
      <c r="N3323" s="38">
        <f t="shared" si="52"/>
        <v>1.5</v>
      </c>
    </row>
    <row r="3324" spans="1:14">
      <c r="A3324" s="29">
        <v>45608</v>
      </c>
      <c r="B3324" s="22" t="s">
        <v>1479</v>
      </c>
      <c r="C3324" s="22" t="s">
        <v>57</v>
      </c>
      <c r="D3324" s="48" t="s">
        <v>5</v>
      </c>
      <c r="E3324" t="s">
        <v>159</v>
      </c>
      <c r="F3324">
        <v>2023</v>
      </c>
      <c r="H3324" s="42" t="s">
        <v>1480</v>
      </c>
      <c r="J3324" t="s">
        <v>248</v>
      </c>
      <c r="K3324" t="s">
        <v>1481</v>
      </c>
      <c r="L3324" s="34">
        <v>2</v>
      </c>
      <c r="M3324" s="38">
        <v>0.75</v>
      </c>
      <c r="N3324" s="38">
        <f t="shared" si="52"/>
        <v>1.5</v>
      </c>
    </row>
    <row r="3325" spans="1:14">
      <c r="A3325" s="29">
        <v>45608</v>
      </c>
      <c r="B3325" s="22" t="s">
        <v>1479</v>
      </c>
      <c r="C3325" s="22" t="s">
        <v>57</v>
      </c>
      <c r="D3325" s="48" t="s">
        <v>5</v>
      </c>
      <c r="E3325" t="s">
        <v>159</v>
      </c>
      <c r="F3325">
        <v>2023</v>
      </c>
      <c r="H3325" s="42" t="s">
        <v>1482</v>
      </c>
      <c r="J3325" t="s">
        <v>248</v>
      </c>
      <c r="K3325" t="s">
        <v>1483</v>
      </c>
      <c r="L3325" s="34">
        <v>2</v>
      </c>
      <c r="M3325" s="38">
        <v>0.75</v>
      </c>
      <c r="N3325" s="38">
        <f t="shared" si="52"/>
        <v>1.5</v>
      </c>
    </row>
    <row r="3326" spans="1:14">
      <c r="A3326" s="29">
        <v>45608</v>
      </c>
      <c r="B3326" s="22" t="s">
        <v>57</v>
      </c>
      <c r="C3326" s="22" t="s">
        <v>1461</v>
      </c>
      <c r="D3326" s="48" t="s">
        <v>5</v>
      </c>
      <c r="E3326" t="s">
        <v>159</v>
      </c>
      <c r="F3326">
        <v>2024</v>
      </c>
      <c r="G3326" t="s">
        <v>326</v>
      </c>
      <c r="H3326" s="42" t="s">
        <v>1476</v>
      </c>
      <c r="J3326" t="s">
        <v>248</v>
      </c>
      <c r="L3326" s="34">
        <v>3</v>
      </c>
      <c r="M3326" s="38">
        <v>0.75</v>
      </c>
      <c r="N3326" s="38">
        <f t="shared" si="52"/>
        <v>2.25</v>
      </c>
    </row>
    <row r="3327" spans="1:14">
      <c r="A3327" s="29">
        <v>45608</v>
      </c>
      <c r="B3327" s="22" t="s">
        <v>63</v>
      </c>
      <c r="C3327" s="22" t="s">
        <v>57</v>
      </c>
      <c r="D3327" s="48" t="s">
        <v>5</v>
      </c>
      <c r="E3327" t="s">
        <v>159</v>
      </c>
      <c r="F3327">
        <v>2024</v>
      </c>
      <c r="G3327" t="s">
        <v>326</v>
      </c>
      <c r="H3327" s="42" t="s">
        <v>1476</v>
      </c>
      <c r="J3327" t="s">
        <v>248</v>
      </c>
      <c r="L3327" s="34">
        <v>6</v>
      </c>
      <c r="M3327" s="38">
        <v>0.75</v>
      </c>
      <c r="N3327" s="38">
        <f t="shared" si="52"/>
        <v>4.5</v>
      </c>
    </row>
    <row r="3328" spans="1:14">
      <c r="A3328" s="29">
        <v>45608</v>
      </c>
      <c r="B3328" s="22" t="s">
        <v>63</v>
      </c>
      <c r="C3328" s="22" t="s">
        <v>57</v>
      </c>
      <c r="D3328" s="48" t="s">
        <v>5</v>
      </c>
      <c r="E3328" t="s">
        <v>159</v>
      </c>
      <c r="F3328">
        <v>2024</v>
      </c>
      <c r="G3328" t="s">
        <v>247</v>
      </c>
      <c r="H3328" s="42" t="s">
        <v>1449</v>
      </c>
      <c r="J3328" t="s">
        <v>248</v>
      </c>
      <c r="L3328" s="34">
        <v>6</v>
      </c>
      <c r="M3328" s="38">
        <v>0.75</v>
      </c>
      <c r="N3328" s="38">
        <f t="shared" si="52"/>
        <v>4.5</v>
      </c>
    </row>
    <row r="3329" spans="1:14">
      <c r="A3329" s="29">
        <v>45608</v>
      </c>
      <c r="B3329" s="22" t="s">
        <v>63</v>
      </c>
      <c r="C3329" s="22" t="s">
        <v>57</v>
      </c>
      <c r="D3329" s="48" t="s">
        <v>5</v>
      </c>
      <c r="E3329" t="s">
        <v>262</v>
      </c>
      <c r="F3329">
        <v>2024</v>
      </c>
      <c r="G3329" t="s">
        <v>57</v>
      </c>
      <c r="H3329" s="42" t="s">
        <v>1449</v>
      </c>
      <c r="J3329" t="s">
        <v>248</v>
      </c>
      <c r="L3329" s="34">
        <v>3</v>
      </c>
      <c r="M3329" s="38">
        <v>0.75</v>
      </c>
      <c r="N3329" s="38">
        <f t="shared" si="52"/>
        <v>2.25</v>
      </c>
    </row>
    <row r="3330" spans="1:14">
      <c r="A3330" s="29">
        <v>45608</v>
      </c>
      <c r="B3330" s="22" t="s">
        <v>63</v>
      </c>
      <c r="C3330" s="22" t="s">
        <v>57</v>
      </c>
      <c r="D3330" s="48" t="s">
        <v>5</v>
      </c>
      <c r="E3330" t="s">
        <v>157</v>
      </c>
      <c r="F3330">
        <v>2024</v>
      </c>
      <c r="G3330" t="s">
        <v>427</v>
      </c>
      <c r="H3330" s="42" t="s">
        <v>1381</v>
      </c>
      <c r="J3330" t="s">
        <v>248</v>
      </c>
      <c r="L3330" s="34">
        <v>3</v>
      </c>
      <c r="M3330" s="38">
        <v>0.75</v>
      </c>
      <c r="N3330" s="38">
        <f t="shared" si="52"/>
        <v>2.25</v>
      </c>
    </row>
    <row r="3331" spans="1:14">
      <c r="A3331" s="29">
        <v>45608</v>
      </c>
      <c r="B3331" s="22" t="s">
        <v>63</v>
      </c>
      <c r="C3331" s="22" t="s">
        <v>57</v>
      </c>
      <c r="D3331" s="48" t="s">
        <v>5</v>
      </c>
      <c r="E3331" t="s">
        <v>157</v>
      </c>
      <c r="F3331">
        <v>2024</v>
      </c>
      <c r="G3331" t="s">
        <v>247</v>
      </c>
      <c r="H3331" s="42" t="s">
        <v>1233</v>
      </c>
      <c r="J3331" t="s">
        <v>248</v>
      </c>
      <c r="L3331" s="34">
        <v>3</v>
      </c>
      <c r="M3331" s="38">
        <v>0.75</v>
      </c>
      <c r="N3331" s="38">
        <f t="shared" si="52"/>
        <v>2.25</v>
      </c>
    </row>
    <row r="3332" spans="1:14">
      <c r="A3332" s="29">
        <v>45608</v>
      </c>
      <c r="B3332" s="22" t="s">
        <v>63</v>
      </c>
      <c r="C3332" s="22" t="s">
        <v>57</v>
      </c>
      <c r="D3332" s="48" t="s">
        <v>5</v>
      </c>
      <c r="E3332" t="s">
        <v>255</v>
      </c>
      <c r="F3332">
        <v>2024</v>
      </c>
      <c r="G3332" t="s">
        <v>57</v>
      </c>
      <c r="H3332" s="42" t="s">
        <v>1449</v>
      </c>
      <c r="J3332" t="s">
        <v>248</v>
      </c>
      <c r="L3332" s="34">
        <v>3</v>
      </c>
      <c r="M3332" s="38">
        <v>0.75</v>
      </c>
      <c r="N3332" s="38">
        <f t="shared" si="52"/>
        <v>2.25</v>
      </c>
    </row>
    <row r="3333" spans="1:14">
      <c r="A3333" s="29">
        <v>45608</v>
      </c>
      <c r="B3333" s="22" t="s">
        <v>1478</v>
      </c>
      <c r="C3333" s="22" t="s">
        <v>57</v>
      </c>
      <c r="D3333" s="48" t="s">
        <v>8</v>
      </c>
      <c r="E3333" t="s">
        <v>180</v>
      </c>
      <c r="F3333">
        <v>2024</v>
      </c>
      <c r="G3333" t="s">
        <v>57</v>
      </c>
      <c r="H3333" s="42" t="s">
        <v>1449</v>
      </c>
      <c r="J3333" t="s">
        <v>248</v>
      </c>
      <c r="L3333" s="34">
        <v>3</v>
      </c>
      <c r="M3333" s="38">
        <v>0.75</v>
      </c>
      <c r="N3333" s="38">
        <f t="shared" si="52"/>
        <v>2.25</v>
      </c>
    </row>
    <row r="3334" spans="1:14">
      <c r="A3334" s="29">
        <v>45608</v>
      </c>
      <c r="B3334" s="22" t="s">
        <v>109</v>
      </c>
      <c r="C3334" s="22" t="s">
        <v>57</v>
      </c>
      <c r="D3334" s="48" t="s">
        <v>8</v>
      </c>
      <c r="E3334" t="s">
        <v>1204</v>
      </c>
      <c r="F3334">
        <v>2024</v>
      </c>
      <c r="G3334" t="s">
        <v>57</v>
      </c>
      <c r="H3334" s="42" t="s">
        <v>1231</v>
      </c>
      <c r="J3334" t="s">
        <v>248</v>
      </c>
      <c r="L3334" s="34">
        <v>2</v>
      </c>
      <c r="M3334" s="38">
        <v>0.75</v>
      </c>
      <c r="N3334" s="38">
        <f t="shared" si="52"/>
        <v>1.5</v>
      </c>
    </row>
    <row r="3335" spans="1:14">
      <c r="A3335" s="29">
        <v>45608</v>
      </c>
      <c r="B3335" s="22" t="s">
        <v>109</v>
      </c>
      <c r="C3335" s="22" t="s">
        <v>57</v>
      </c>
      <c r="D3335" s="48" t="s">
        <v>8</v>
      </c>
      <c r="E3335" t="s">
        <v>308</v>
      </c>
      <c r="F3335">
        <v>2024</v>
      </c>
      <c r="G3335" t="s">
        <v>57</v>
      </c>
      <c r="H3335" s="42" t="s">
        <v>1449</v>
      </c>
      <c r="J3335" t="s">
        <v>248</v>
      </c>
      <c r="L3335" s="34">
        <v>2</v>
      </c>
      <c r="M3335" s="38">
        <v>0.75</v>
      </c>
      <c r="N3335" s="38">
        <f t="shared" si="52"/>
        <v>1.5</v>
      </c>
    </row>
    <row r="3336" spans="1:14">
      <c r="A3336" s="29">
        <v>45609</v>
      </c>
      <c r="B3336" s="22" t="s">
        <v>57</v>
      </c>
      <c r="C3336" s="22" t="s">
        <v>4</v>
      </c>
      <c r="D3336" s="48" t="s">
        <v>5</v>
      </c>
      <c r="E3336" t="s">
        <v>159</v>
      </c>
      <c r="F3336">
        <v>2024</v>
      </c>
      <c r="H3336" s="42" t="s">
        <v>1476</v>
      </c>
      <c r="J3336" t="s">
        <v>248</v>
      </c>
      <c r="L3336" s="34">
        <v>3</v>
      </c>
      <c r="M3336" s="38">
        <v>0.75</v>
      </c>
      <c r="N3336" s="38">
        <f t="shared" si="52"/>
        <v>2.25</v>
      </c>
    </row>
    <row r="3337" spans="1:14">
      <c r="A3337" s="29">
        <v>45611</v>
      </c>
      <c r="B3337" s="22" t="s">
        <v>109</v>
      </c>
      <c r="C3337" s="22" t="s">
        <v>57</v>
      </c>
      <c r="D3337" s="48" t="s">
        <v>5</v>
      </c>
      <c r="E3337" t="s">
        <v>308</v>
      </c>
      <c r="F3337">
        <v>2024</v>
      </c>
      <c r="H3337" s="42" t="s">
        <v>1449</v>
      </c>
      <c r="J3337" t="s">
        <v>248</v>
      </c>
      <c r="L3337" s="34">
        <v>5</v>
      </c>
      <c r="M3337" s="38">
        <v>0.75</v>
      </c>
      <c r="N3337" s="38">
        <f t="shared" si="52"/>
        <v>3.75</v>
      </c>
    </row>
    <row r="3338" spans="1:14">
      <c r="A3338" s="29">
        <v>45611</v>
      </c>
      <c r="B3338" s="22" t="s">
        <v>109</v>
      </c>
      <c r="C3338" s="22" t="s">
        <v>57</v>
      </c>
      <c r="D3338" s="48" t="s">
        <v>8</v>
      </c>
      <c r="E3338" t="s">
        <v>1204</v>
      </c>
      <c r="F3338">
        <v>2024</v>
      </c>
      <c r="H3338" s="42" t="s">
        <v>1231</v>
      </c>
      <c r="J3338" t="s">
        <v>248</v>
      </c>
      <c r="L3338" s="34">
        <v>4</v>
      </c>
      <c r="M3338" s="38">
        <v>0.75</v>
      </c>
      <c r="N3338" s="38">
        <f t="shared" si="52"/>
        <v>3</v>
      </c>
    </row>
    <row r="3339" spans="1:14">
      <c r="A3339" s="29">
        <v>45611</v>
      </c>
      <c r="B3339" s="22" t="s">
        <v>109</v>
      </c>
      <c r="C3339" s="22" t="s">
        <v>57</v>
      </c>
      <c r="D3339" s="48" t="s">
        <v>5</v>
      </c>
      <c r="E3339" t="s">
        <v>503</v>
      </c>
      <c r="F3339">
        <v>2024</v>
      </c>
      <c r="H3339" s="42" t="s">
        <v>1449</v>
      </c>
      <c r="J3339" t="s">
        <v>248</v>
      </c>
      <c r="L3339" s="34">
        <v>3</v>
      </c>
      <c r="M3339" s="38">
        <v>0.75</v>
      </c>
      <c r="N3339" s="38">
        <f t="shared" si="52"/>
        <v>2.25</v>
      </c>
    </row>
    <row r="3340" spans="1:14">
      <c r="A3340" s="29">
        <v>45611</v>
      </c>
      <c r="B3340" s="22" t="s">
        <v>16</v>
      </c>
      <c r="C3340" s="22" t="s">
        <v>49</v>
      </c>
      <c r="D3340" s="48" t="s">
        <v>8</v>
      </c>
      <c r="E3340" t="s">
        <v>179</v>
      </c>
      <c r="F3340">
        <v>2024</v>
      </c>
      <c r="H3340" s="42" t="s">
        <v>1475</v>
      </c>
      <c r="J3340" t="s">
        <v>248</v>
      </c>
      <c r="L3340" s="34">
        <v>3</v>
      </c>
      <c r="M3340" s="38">
        <v>0.75</v>
      </c>
      <c r="N3340" s="38">
        <f t="shared" si="52"/>
        <v>2.25</v>
      </c>
    </row>
    <row r="3341" spans="1:14">
      <c r="A3341" s="29">
        <v>45611</v>
      </c>
      <c r="B3341" s="22" t="s">
        <v>16</v>
      </c>
      <c r="C3341" s="22" t="s">
        <v>49</v>
      </c>
      <c r="D3341" s="48" t="s">
        <v>8</v>
      </c>
      <c r="E3341" t="s">
        <v>179</v>
      </c>
      <c r="F3341">
        <v>2024</v>
      </c>
      <c r="H3341" s="42" t="s">
        <v>1197</v>
      </c>
      <c r="J3341" t="s">
        <v>248</v>
      </c>
      <c r="L3341" s="34">
        <v>3</v>
      </c>
      <c r="M3341" s="38">
        <v>0.75</v>
      </c>
      <c r="N3341" s="38">
        <f t="shared" si="52"/>
        <v>2.25</v>
      </c>
    </row>
    <row r="3342" spans="1:14">
      <c r="A3342" s="29">
        <v>45611</v>
      </c>
      <c r="B3342" s="22" t="s">
        <v>16</v>
      </c>
      <c r="C3342" s="22" t="s">
        <v>49</v>
      </c>
      <c r="D3342" s="48" t="s">
        <v>5</v>
      </c>
      <c r="E3342" t="s">
        <v>14</v>
      </c>
      <c r="F3342">
        <v>2024</v>
      </c>
      <c r="H3342" s="42" t="s">
        <v>1484</v>
      </c>
      <c r="J3342" t="s">
        <v>248</v>
      </c>
      <c r="L3342" s="34">
        <v>3</v>
      </c>
      <c r="M3342" s="38">
        <v>0.75</v>
      </c>
      <c r="N3342" s="38">
        <f t="shared" si="52"/>
        <v>2.25</v>
      </c>
    </row>
    <row r="3343" spans="1:14">
      <c r="A3343" s="29">
        <v>45611</v>
      </c>
      <c r="B3343" s="22" t="s">
        <v>16</v>
      </c>
      <c r="C3343" s="22" t="s">
        <v>49</v>
      </c>
      <c r="D3343" s="48" t="s">
        <v>5</v>
      </c>
      <c r="E3343" t="s">
        <v>14</v>
      </c>
      <c r="F3343">
        <v>2024</v>
      </c>
      <c r="H3343" s="42" t="s">
        <v>1485</v>
      </c>
      <c r="J3343" t="s">
        <v>248</v>
      </c>
      <c r="L3343" s="34">
        <v>3</v>
      </c>
      <c r="M3343" s="38">
        <v>0.75</v>
      </c>
      <c r="N3343" s="38">
        <f t="shared" si="52"/>
        <v>2.25</v>
      </c>
    </row>
    <row r="3344" spans="1:14">
      <c r="A3344" s="29">
        <v>45611</v>
      </c>
      <c r="B3344" s="22" t="s">
        <v>16</v>
      </c>
      <c r="C3344" s="22" t="s">
        <v>49</v>
      </c>
      <c r="D3344" s="48" t="s">
        <v>5</v>
      </c>
      <c r="E3344" t="s">
        <v>14</v>
      </c>
      <c r="F3344">
        <v>2024</v>
      </c>
      <c r="H3344" s="42" t="s">
        <v>1486</v>
      </c>
      <c r="J3344" t="s">
        <v>248</v>
      </c>
      <c r="L3344" s="34">
        <v>3</v>
      </c>
      <c r="M3344" s="38">
        <v>0.75</v>
      </c>
      <c r="N3344" s="38">
        <f t="shared" si="52"/>
        <v>2.25</v>
      </c>
    </row>
    <row r="3345" spans="1:14">
      <c r="A3345" s="29">
        <v>45614</v>
      </c>
      <c r="B3345" s="22" t="s">
        <v>57</v>
      </c>
      <c r="C3345" s="22" t="s">
        <v>151</v>
      </c>
      <c r="D3345" s="48" t="s">
        <v>5</v>
      </c>
      <c r="E3345" t="s">
        <v>14</v>
      </c>
      <c r="F3345">
        <v>2024</v>
      </c>
      <c r="G3345" t="s">
        <v>57</v>
      </c>
      <c r="H3345" s="42" t="s">
        <v>1449</v>
      </c>
      <c r="J3345" t="s">
        <v>248</v>
      </c>
      <c r="K3345" t="s">
        <v>1487</v>
      </c>
      <c r="L3345" s="34">
        <v>2</v>
      </c>
      <c r="M3345" s="38">
        <v>0.75</v>
      </c>
      <c r="N3345" s="38">
        <f t="shared" si="52"/>
        <v>1.5</v>
      </c>
    </row>
    <row r="3346" spans="1:14">
      <c r="A3346" s="29">
        <v>45614</v>
      </c>
      <c r="B3346" s="22" t="s">
        <v>57</v>
      </c>
      <c r="C3346" s="22" t="s">
        <v>151</v>
      </c>
      <c r="D3346" s="48" t="s">
        <v>8</v>
      </c>
      <c r="E3346" t="s">
        <v>178</v>
      </c>
      <c r="F3346">
        <v>2024</v>
      </c>
      <c r="G3346" t="s">
        <v>1274</v>
      </c>
      <c r="H3346" s="42" t="s">
        <v>1488</v>
      </c>
      <c r="J3346" t="s">
        <v>248</v>
      </c>
      <c r="L3346" s="34">
        <v>2</v>
      </c>
      <c r="M3346" s="38">
        <v>0.75</v>
      </c>
      <c r="N3346" s="38">
        <f t="shared" si="52"/>
        <v>1.5</v>
      </c>
    </row>
    <row r="3347" spans="1:14">
      <c r="A3347" s="29">
        <v>45614</v>
      </c>
      <c r="B3347" s="22" t="s">
        <v>55</v>
      </c>
      <c r="C3347" s="22" t="s">
        <v>57</v>
      </c>
      <c r="D3347" s="48" t="s">
        <v>5</v>
      </c>
      <c r="E3347" t="s">
        <v>262</v>
      </c>
      <c r="F3347">
        <v>2024</v>
      </c>
      <c r="G3347" t="s">
        <v>57</v>
      </c>
      <c r="H3347" s="42" t="s">
        <v>1449</v>
      </c>
      <c r="J3347" t="s">
        <v>248</v>
      </c>
      <c r="L3347" s="34">
        <v>4</v>
      </c>
      <c r="M3347" s="38">
        <v>0.75</v>
      </c>
      <c r="N3347" s="38">
        <f t="shared" si="52"/>
        <v>3</v>
      </c>
    </row>
    <row r="3348" spans="1:14">
      <c r="A3348" s="29">
        <v>45614</v>
      </c>
      <c r="B3348" s="22" t="s">
        <v>55</v>
      </c>
      <c r="C3348" s="22" t="s">
        <v>57</v>
      </c>
      <c r="D3348" s="48" t="s">
        <v>8</v>
      </c>
      <c r="E3348" t="s">
        <v>178</v>
      </c>
      <c r="F3348">
        <v>2024</v>
      </c>
      <c r="G3348" t="s">
        <v>57</v>
      </c>
      <c r="H3348" s="42" t="s">
        <v>1218</v>
      </c>
      <c r="J3348" t="s">
        <v>248</v>
      </c>
      <c r="L3348" s="34">
        <v>4</v>
      </c>
      <c r="M3348" s="38">
        <v>0.75</v>
      </c>
      <c r="N3348" s="38">
        <f t="shared" si="52"/>
        <v>3</v>
      </c>
    </row>
    <row r="3349" spans="1:14">
      <c r="A3349" s="29">
        <v>45614</v>
      </c>
      <c r="B3349" s="22" t="s">
        <v>55</v>
      </c>
      <c r="C3349" s="22" t="s">
        <v>57</v>
      </c>
      <c r="D3349" s="48" t="s">
        <v>8</v>
      </c>
      <c r="E3349" t="s">
        <v>178</v>
      </c>
      <c r="F3349">
        <v>2024</v>
      </c>
      <c r="G3349" t="s">
        <v>57</v>
      </c>
      <c r="H3349" s="42" t="s">
        <v>1489</v>
      </c>
      <c r="J3349" t="s">
        <v>248</v>
      </c>
      <c r="L3349" s="34">
        <v>4</v>
      </c>
      <c r="M3349" s="38">
        <v>0.75</v>
      </c>
      <c r="N3349" s="38">
        <f t="shared" si="52"/>
        <v>3</v>
      </c>
    </row>
    <row r="3350" spans="1:14">
      <c r="A3350" s="29">
        <v>45614</v>
      </c>
      <c r="B3350" s="22" t="s">
        <v>55</v>
      </c>
      <c r="C3350" s="22" t="s">
        <v>57</v>
      </c>
      <c r="D3350" s="48" t="s">
        <v>8</v>
      </c>
      <c r="E3350" t="s">
        <v>179</v>
      </c>
      <c r="F3350">
        <v>2024</v>
      </c>
      <c r="G3350" t="s">
        <v>57</v>
      </c>
      <c r="H3350" s="42" t="s">
        <v>1197</v>
      </c>
      <c r="J3350" t="s">
        <v>248</v>
      </c>
      <c r="L3350" s="34">
        <v>4</v>
      </c>
      <c r="M3350" s="38">
        <v>0.75</v>
      </c>
      <c r="N3350" s="38">
        <f t="shared" si="52"/>
        <v>3</v>
      </c>
    </row>
    <row r="3351" spans="1:14">
      <c r="A3351" s="29">
        <v>45614</v>
      </c>
      <c r="B3351" s="22" t="s">
        <v>63</v>
      </c>
      <c r="C3351" s="22" t="s">
        <v>57</v>
      </c>
      <c r="D3351" s="48" t="s">
        <v>5</v>
      </c>
      <c r="E3351" t="s">
        <v>159</v>
      </c>
      <c r="F3351">
        <v>2024</v>
      </c>
      <c r="G3351" t="s">
        <v>57</v>
      </c>
      <c r="H3351" s="42" t="s">
        <v>1449</v>
      </c>
      <c r="J3351" t="s">
        <v>248</v>
      </c>
      <c r="L3351" s="34">
        <v>4</v>
      </c>
      <c r="M3351" s="38">
        <v>0.75</v>
      </c>
      <c r="N3351" s="38">
        <f t="shared" si="52"/>
        <v>3</v>
      </c>
    </row>
    <row r="3352" spans="1:14">
      <c r="A3352" s="29">
        <v>45614</v>
      </c>
      <c r="B3352" s="22" t="s">
        <v>63</v>
      </c>
      <c r="C3352" s="22" t="s">
        <v>57</v>
      </c>
      <c r="D3352" s="48" t="s">
        <v>5</v>
      </c>
      <c r="E3352" t="s">
        <v>159</v>
      </c>
      <c r="F3352">
        <v>2024</v>
      </c>
      <c r="H3352" s="42" t="s">
        <v>1476</v>
      </c>
      <c r="J3352" t="s">
        <v>248</v>
      </c>
      <c r="L3352" s="34">
        <v>4</v>
      </c>
      <c r="M3352" s="38">
        <v>0.75</v>
      </c>
      <c r="N3352" s="38">
        <f t="shared" si="52"/>
        <v>3</v>
      </c>
    </row>
    <row r="3353" spans="1:14">
      <c r="A3353" s="29">
        <v>45614</v>
      </c>
      <c r="B3353" s="22" t="s">
        <v>63</v>
      </c>
      <c r="C3353" s="22" t="s">
        <v>57</v>
      </c>
      <c r="D3353" s="48" t="s">
        <v>8</v>
      </c>
      <c r="E3353" t="s">
        <v>179</v>
      </c>
      <c r="F3353">
        <v>2024</v>
      </c>
      <c r="H3353" s="42" t="s">
        <v>1197</v>
      </c>
      <c r="J3353" t="s">
        <v>248</v>
      </c>
      <c r="L3353" s="34">
        <v>4</v>
      </c>
      <c r="M3353" s="38">
        <v>0.75</v>
      </c>
      <c r="N3353" s="38">
        <f t="shared" si="52"/>
        <v>3</v>
      </c>
    </row>
    <row r="3354" spans="1:14">
      <c r="A3354" s="29">
        <v>45614</v>
      </c>
      <c r="B3354" s="22" t="s">
        <v>63</v>
      </c>
      <c r="C3354" s="22" t="s">
        <v>57</v>
      </c>
      <c r="D3354" s="48" t="s">
        <v>8</v>
      </c>
      <c r="E3354" t="s">
        <v>178</v>
      </c>
      <c r="F3354">
        <v>2024</v>
      </c>
      <c r="H3354" s="42" t="s">
        <v>1489</v>
      </c>
      <c r="J3354" t="s">
        <v>248</v>
      </c>
      <c r="L3354" s="34">
        <v>4</v>
      </c>
      <c r="M3354" s="38">
        <v>0.75</v>
      </c>
      <c r="N3354" s="38">
        <f t="shared" si="52"/>
        <v>3</v>
      </c>
    </row>
    <row r="3355" spans="1:14">
      <c r="A3355" s="29">
        <v>45614</v>
      </c>
      <c r="B3355" s="22" t="s">
        <v>63</v>
      </c>
      <c r="C3355" s="22" t="s">
        <v>57</v>
      </c>
      <c r="D3355" s="48" t="s">
        <v>8</v>
      </c>
      <c r="E3355" t="s">
        <v>178</v>
      </c>
      <c r="F3355">
        <v>2024</v>
      </c>
      <c r="H3355" s="42" t="s">
        <v>1218</v>
      </c>
      <c r="J3355" t="s">
        <v>248</v>
      </c>
      <c r="L3355" s="34">
        <v>4</v>
      </c>
      <c r="M3355" s="38">
        <v>0.75</v>
      </c>
      <c r="N3355" s="38">
        <f t="shared" si="52"/>
        <v>3</v>
      </c>
    </row>
    <row r="3356" spans="1:14">
      <c r="A3356" s="29">
        <v>45614</v>
      </c>
      <c r="B3356" s="22" t="s">
        <v>63</v>
      </c>
      <c r="C3356" s="22" t="s">
        <v>57</v>
      </c>
      <c r="D3356" s="48" t="s">
        <v>5</v>
      </c>
      <c r="E3356" t="s">
        <v>157</v>
      </c>
      <c r="F3356">
        <v>2024</v>
      </c>
      <c r="G3356" t="s">
        <v>253</v>
      </c>
      <c r="H3356" s="42" t="s">
        <v>1233</v>
      </c>
      <c r="J3356" t="s">
        <v>248</v>
      </c>
      <c r="L3356" s="34">
        <v>4</v>
      </c>
      <c r="M3356" s="38">
        <v>0.75</v>
      </c>
      <c r="N3356" s="38">
        <f t="shared" si="52"/>
        <v>3</v>
      </c>
    </row>
    <row r="3357" spans="1:14">
      <c r="A3357" s="29">
        <v>45614</v>
      </c>
      <c r="B3357" s="22" t="s">
        <v>63</v>
      </c>
      <c r="C3357" s="22" t="s">
        <v>57</v>
      </c>
      <c r="D3357" s="48" t="s">
        <v>5</v>
      </c>
      <c r="E3357" t="s">
        <v>267</v>
      </c>
      <c r="F3357">
        <v>2024</v>
      </c>
      <c r="H3357" s="42" t="s">
        <v>1449</v>
      </c>
      <c r="J3357" t="s">
        <v>248</v>
      </c>
      <c r="K3357" t="s">
        <v>1490</v>
      </c>
      <c r="L3357" s="34">
        <v>2</v>
      </c>
      <c r="M3357" s="38">
        <v>0.75</v>
      </c>
      <c r="N3357" s="38">
        <f t="shared" si="52"/>
        <v>1.5</v>
      </c>
    </row>
    <row r="3358" spans="1:14">
      <c r="A3358" s="29">
        <v>45614</v>
      </c>
      <c r="B3358" s="22" t="s">
        <v>63</v>
      </c>
      <c r="C3358" s="22" t="s">
        <v>57</v>
      </c>
      <c r="D3358" s="48" t="s">
        <v>5</v>
      </c>
      <c r="E3358" t="s">
        <v>267</v>
      </c>
      <c r="F3358">
        <v>2024</v>
      </c>
      <c r="H3358" s="42" t="s">
        <v>898</v>
      </c>
      <c r="J3358" t="s">
        <v>248</v>
      </c>
      <c r="K3358" t="s">
        <v>1417</v>
      </c>
      <c r="L3358" s="34">
        <v>2</v>
      </c>
      <c r="M3358" s="38">
        <v>0.75</v>
      </c>
      <c r="N3358" s="38">
        <f t="shared" si="52"/>
        <v>1.5</v>
      </c>
    </row>
    <row r="3359" spans="1:14">
      <c r="A3359" s="29">
        <v>45614</v>
      </c>
      <c r="B3359" s="22" t="s">
        <v>63</v>
      </c>
      <c r="C3359" s="22" t="s">
        <v>57</v>
      </c>
      <c r="D3359" s="48" t="s">
        <v>5</v>
      </c>
      <c r="E3359" t="s">
        <v>262</v>
      </c>
      <c r="F3359">
        <v>2024</v>
      </c>
      <c r="H3359" s="42" t="s">
        <v>1449</v>
      </c>
      <c r="J3359" t="s">
        <v>248</v>
      </c>
      <c r="L3359" s="34">
        <v>4</v>
      </c>
      <c r="M3359" s="38">
        <v>0.75</v>
      </c>
      <c r="N3359" s="38">
        <f t="shared" si="52"/>
        <v>3</v>
      </c>
    </row>
    <row r="3360" spans="1:14">
      <c r="A3360" s="29">
        <v>45618</v>
      </c>
      <c r="B3360" s="22" t="s">
        <v>16</v>
      </c>
      <c r="C3360" s="22" t="s">
        <v>49</v>
      </c>
      <c r="D3360" s="48" t="s">
        <v>5</v>
      </c>
      <c r="E3360" t="s">
        <v>1278</v>
      </c>
      <c r="F3360">
        <v>2024</v>
      </c>
      <c r="H3360" s="42" t="s">
        <v>1484</v>
      </c>
      <c r="J3360" t="s">
        <v>248</v>
      </c>
      <c r="L3360" s="34">
        <v>6</v>
      </c>
      <c r="M3360" s="38">
        <v>0.75</v>
      </c>
      <c r="N3360" s="38">
        <f t="shared" si="52"/>
        <v>4.5</v>
      </c>
    </row>
    <row r="3361" spans="1:14">
      <c r="A3361" s="29">
        <v>45618</v>
      </c>
      <c r="B3361" s="22" t="s">
        <v>16</v>
      </c>
      <c r="C3361" s="22" t="s">
        <v>49</v>
      </c>
      <c r="D3361" s="48" t="s">
        <v>5</v>
      </c>
      <c r="E3361" t="s">
        <v>1278</v>
      </c>
      <c r="F3361">
        <v>2024</v>
      </c>
      <c r="H3361" s="42" t="s">
        <v>1485</v>
      </c>
      <c r="J3361" t="s">
        <v>248</v>
      </c>
      <c r="L3361" s="34">
        <v>6</v>
      </c>
      <c r="M3361" s="38">
        <v>0.75</v>
      </c>
      <c r="N3361" s="38">
        <f t="shared" si="52"/>
        <v>4.5</v>
      </c>
    </row>
    <row r="3362" spans="1:14">
      <c r="A3362" s="29">
        <v>45618</v>
      </c>
      <c r="B3362" s="22" t="s">
        <v>16</v>
      </c>
      <c r="C3362" s="22" t="s">
        <v>49</v>
      </c>
      <c r="D3362" s="48" t="s">
        <v>5</v>
      </c>
      <c r="E3362" t="s">
        <v>1278</v>
      </c>
      <c r="F3362">
        <v>2024</v>
      </c>
      <c r="H3362" s="42" t="s">
        <v>1486</v>
      </c>
      <c r="J3362" t="s">
        <v>248</v>
      </c>
      <c r="L3362" s="34">
        <v>6</v>
      </c>
      <c r="M3362" s="38">
        <v>0.75</v>
      </c>
      <c r="N3362" s="38">
        <f t="shared" si="52"/>
        <v>4.5</v>
      </c>
    </row>
    <row r="3363" spans="1:14">
      <c r="A3363" s="29">
        <v>45618</v>
      </c>
      <c r="B3363" s="22" t="s">
        <v>16</v>
      </c>
      <c r="C3363" s="22" t="s">
        <v>49</v>
      </c>
      <c r="D3363" s="48" t="s">
        <v>5</v>
      </c>
      <c r="E3363" t="s">
        <v>158</v>
      </c>
      <c r="F3363">
        <v>2024</v>
      </c>
      <c r="H3363" s="42" t="s">
        <v>1471</v>
      </c>
      <c r="J3363" t="s">
        <v>248</v>
      </c>
      <c r="L3363" s="34">
        <v>4</v>
      </c>
      <c r="M3363" s="38">
        <v>0.75</v>
      </c>
      <c r="N3363" s="38">
        <f t="shared" si="52"/>
        <v>3</v>
      </c>
    </row>
    <row r="3364" spans="1:14">
      <c r="A3364" s="29">
        <v>45618</v>
      </c>
      <c r="B3364" s="22" t="s">
        <v>16</v>
      </c>
      <c r="C3364" s="22" t="s">
        <v>49</v>
      </c>
      <c r="D3364" s="48" t="s">
        <v>5</v>
      </c>
      <c r="E3364" t="s">
        <v>182</v>
      </c>
      <c r="F3364">
        <v>2024</v>
      </c>
      <c r="H3364" s="42" t="s">
        <v>1316</v>
      </c>
      <c r="J3364" t="s">
        <v>248</v>
      </c>
      <c r="L3364" s="34">
        <v>4</v>
      </c>
      <c r="M3364" s="38">
        <v>0.75</v>
      </c>
      <c r="N3364" s="38">
        <f t="shared" si="52"/>
        <v>3</v>
      </c>
    </row>
    <row r="3365" spans="1:14">
      <c r="A3365" s="29">
        <v>45618</v>
      </c>
      <c r="B3365" s="22" t="s">
        <v>16</v>
      </c>
      <c r="C3365" s="22" t="s">
        <v>49</v>
      </c>
      <c r="D3365" s="48" t="s">
        <v>8</v>
      </c>
      <c r="E3365" t="s">
        <v>179</v>
      </c>
      <c r="F3365">
        <v>2024</v>
      </c>
      <c r="H3365" s="42" t="s">
        <v>1475</v>
      </c>
      <c r="J3365" t="s">
        <v>248</v>
      </c>
      <c r="L3365" s="34">
        <v>4</v>
      </c>
      <c r="M3365" s="38">
        <v>0.75</v>
      </c>
      <c r="N3365" s="38">
        <f t="shared" si="52"/>
        <v>3</v>
      </c>
    </row>
    <row r="3366" spans="1:14">
      <c r="A3366" s="29">
        <v>45618</v>
      </c>
      <c r="B3366" s="22" t="s">
        <v>16</v>
      </c>
      <c r="C3366" s="22" t="s">
        <v>49</v>
      </c>
      <c r="D3366" s="48" t="s">
        <v>8</v>
      </c>
      <c r="E3366" t="s">
        <v>179</v>
      </c>
      <c r="F3366">
        <v>2024</v>
      </c>
      <c r="H3366" s="42" t="s">
        <v>1266</v>
      </c>
      <c r="J3366" t="s">
        <v>248</v>
      </c>
      <c r="L3366" s="34">
        <v>4</v>
      </c>
      <c r="M3366" s="38">
        <v>0.75</v>
      </c>
      <c r="N3366" s="38">
        <f t="shared" si="52"/>
        <v>3</v>
      </c>
    </row>
    <row r="3367" spans="1:14">
      <c r="A3367" s="29">
        <v>45618</v>
      </c>
      <c r="B3367" s="22" t="s">
        <v>16</v>
      </c>
      <c r="C3367" s="22" t="s">
        <v>49</v>
      </c>
      <c r="D3367" s="48" t="s">
        <v>5</v>
      </c>
      <c r="E3367" t="s">
        <v>157</v>
      </c>
      <c r="F3367">
        <v>2024</v>
      </c>
      <c r="G3367" t="s">
        <v>253</v>
      </c>
      <c r="H3367" s="42" t="s">
        <v>1233</v>
      </c>
      <c r="J3367" t="s">
        <v>248</v>
      </c>
      <c r="L3367" s="34">
        <v>3</v>
      </c>
      <c r="M3367" s="38">
        <v>0.75</v>
      </c>
      <c r="N3367" s="38">
        <f t="shared" si="52"/>
        <v>2.25</v>
      </c>
    </row>
    <row r="3368" spans="1:14">
      <c r="A3368" s="29">
        <v>45618</v>
      </c>
      <c r="B3368" s="22" t="s">
        <v>16</v>
      </c>
      <c r="C3368" s="22" t="s">
        <v>49</v>
      </c>
      <c r="D3368" s="48" t="s">
        <v>5</v>
      </c>
      <c r="E3368" t="s">
        <v>157</v>
      </c>
      <c r="F3368">
        <v>2024</v>
      </c>
      <c r="G3368" t="s">
        <v>252</v>
      </c>
      <c r="H3368" s="42" t="s">
        <v>763</v>
      </c>
      <c r="J3368" t="s">
        <v>248</v>
      </c>
      <c r="L3368" s="34">
        <v>3</v>
      </c>
      <c r="M3368" s="38">
        <v>0.75</v>
      </c>
      <c r="N3368" s="38">
        <f t="shared" si="52"/>
        <v>2.25</v>
      </c>
    </row>
    <row r="3369" spans="1:14">
      <c r="A3369" s="29">
        <v>45618</v>
      </c>
      <c r="B3369" s="22" t="s">
        <v>56</v>
      </c>
      <c r="C3369" s="22" t="s">
        <v>57</v>
      </c>
      <c r="D3369" s="48" t="s">
        <v>5</v>
      </c>
      <c r="E3369" t="s">
        <v>162</v>
      </c>
      <c r="F3369">
        <v>2024</v>
      </c>
      <c r="H3369" s="42" t="s">
        <v>1449</v>
      </c>
      <c r="J3369" t="s">
        <v>248</v>
      </c>
      <c r="K3369" t="s">
        <v>1491</v>
      </c>
      <c r="L3369" s="34">
        <v>1</v>
      </c>
      <c r="M3369" s="38">
        <v>0.75</v>
      </c>
      <c r="N3369" s="38">
        <f t="shared" ref="N3369:N3432" si="53">M3369*L3369</f>
        <v>0.75</v>
      </c>
    </row>
    <row r="3370" spans="1:14">
      <c r="A3370" s="29">
        <v>45618</v>
      </c>
      <c r="B3370" s="22" t="s">
        <v>56</v>
      </c>
      <c r="C3370" s="22" t="s">
        <v>57</v>
      </c>
      <c r="D3370" s="48" t="s">
        <v>5</v>
      </c>
      <c r="E3370" t="s">
        <v>162</v>
      </c>
      <c r="F3370">
        <v>2024</v>
      </c>
      <c r="H3370" s="42" t="s">
        <v>1449</v>
      </c>
      <c r="J3370" t="s">
        <v>248</v>
      </c>
      <c r="K3370" t="s">
        <v>1417</v>
      </c>
      <c r="L3370" s="34">
        <v>1</v>
      </c>
      <c r="M3370" s="38">
        <v>0.75</v>
      </c>
      <c r="N3370" s="38">
        <f t="shared" si="53"/>
        <v>0.75</v>
      </c>
    </row>
    <row r="3371" spans="1:14">
      <c r="A3371" s="29">
        <v>45622</v>
      </c>
      <c r="B3371" s="22" t="s">
        <v>151</v>
      </c>
      <c r="C3371" s="22" t="s">
        <v>57</v>
      </c>
      <c r="D3371" s="48" t="s">
        <v>5</v>
      </c>
      <c r="E3371" t="s">
        <v>157</v>
      </c>
      <c r="F3371">
        <v>2024</v>
      </c>
      <c r="G3371" t="s">
        <v>253</v>
      </c>
      <c r="H3371" s="42" t="s">
        <v>1233</v>
      </c>
      <c r="J3371" t="s">
        <v>248</v>
      </c>
      <c r="L3371" s="34">
        <v>3</v>
      </c>
      <c r="M3371" s="38">
        <v>0.75</v>
      </c>
      <c r="N3371" s="38">
        <f t="shared" si="53"/>
        <v>2.25</v>
      </c>
    </row>
    <row r="3372" spans="1:14">
      <c r="A3372" s="29">
        <v>45622</v>
      </c>
      <c r="B3372" s="22" t="s">
        <v>151</v>
      </c>
      <c r="C3372" s="22" t="s">
        <v>57</v>
      </c>
      <c r="D3372" s="48" t="s">
        <v>5</v>
      </c>
      <c r="E3372" t="s">
        <v>159</v>
      </c>
      <c r="F3372">
        <v>2024</v>
      </c>
      <c r="G3372" t="s">
        <v>1492</v>
      </c>
      <c r="H3372" s="42" t="s">
        <v>1493</v>
      </c>
      <c r="J3372" t="s">
        <v>248</v>
      </c>
      <c r="L3372" s="34">
        <v>3</v>
      </c>
      <c r="M3372" s="38">
        <v>0.75</v>
      </c>
      <c r="N3372" s="38">
        <f t="shared" si="53"/>
        <v>2.25</v>
      </c>
    </row>
    <row r="3373" spans="1:14">
      <c r="A3373" s="29">
        <v>45622</v>
      </c>
      <c r="B3373" s="22" t="s">
        <v>151</v>
      </c>
      <c r="C3373" s="22" t="s">
        <v>57</v>
      </c>
      <c r="D3373" s="48" t="s">
        <v>8</v>
      </c>
      <c r="E3373" t="s">
        <v>210</v>
      </c>
      <c r="F3373">
        <v>2024</v>
      </c>
      <c r="H3373" s="42" t="s">
        <v>1287</v>
      </c>
      <c r="J3373" t="s">
        <v>248</v>
      </c>
      <c r="L3373" s="34">
        <v>3</v>
      </c>
      <c r="M3373" s="38">
        <v>0.75</v>
      </c>
      <c r="N3373" s="38">
        <f t="shared" si="53"/>
        <v>2.25</v>
      </c>
    </row>
    <row r="3374" spans="1:14">
      <c r="A3374" s="29">
        <v>45622</v>
      </c>
      <c r="B3374" s="22" t="s">
        <v>151</v>
      </c>
      <c r="C3374" s="22" t="s">
        <v>57</v>
      </c>
      <c r="D3374" s="48" t="s">
        <v>8</v>
      </c>
      <c r="E3374" t="s">
        <v>189</v>
      </c>
      <c r="F3374">
        <v>2024</v>
      </c>
      <c r="H3374" s="42" t="s">
        <v>748</v>
      </c>
      <c r="J3374" t="s">
        <v>248</v>
      </c>
      <c r="L3374" s="34">
        <v>3</v>
      </c>
      <c r="M3374" s="38">
        <v>0.75</v>
      </c>
      <c r="N3374" s="38">
        <f t="shared" si="53"/>
        <v>2.25</v>
      </c>
    </row>
    <row r="3375" spans="1:14">
      <c r="A3375" s="29">
        <v>45623</v>
      </c>
      <c r="B3375" s="22" t="s">
        <v>15</v>
      </c>
      <c r="C3375" s="22" t="s">
        <v>57</v>
      </c>
      <c r="D3375" s="48" t="s">
        <v>8</v>
      </c>
      <c r="E3375" t="s">
        <v>1474</v>
      </c>
      <c r="F3375">
        <v>2024</v>
      </c>
      <c r="H3375" s="42" t="s">
        <v>1218</v>
      </c>
      <c r="J3375" t="s">
        <v>248</v>
      </c>
      <c r="L3375" s="34">
        <v>2</v>
      </c>
      <c r="M3375" s="38">
        <v>0.75</v>
      </c>
      <c r="N3375" s="38">
        <f t="shared" si="53"/>
        <v>1.5</v>
      </c>
    </row>
    <row r="3376" spans="1:14">
      <c r="A3376" s="29">
        <v>45623</v>
      </c>
      <c r="B3376" s="22" t="s">
        <v>15</v>
      </c>
      <c r="C3376" s="22" t="s">
        <v>57</v>
      </c>
      <c r="D3376" s="48" t="s">
        <v>8</v>
      </c>
      <c r="E3376" t="s">
        <v>187</v>
      </c>
      <c r="F3376">
        <v>2024</v>
      </c>
      <c r="H3376" s="42" t="s">
        <v>1369</v>
      </c>
      <c r="J3376" t="s">
        <v>248</v>
      </c>
      <c r="L3376" s="34">
        <v>2</v>
      </c>
      <c r="M3376" s="38">
        <v>0.75</v>
      </c>
      <c r="N3376" s="38">
        <f t="shared" si="53"/>
        <v>1.5</v>
      </c>
    </row>
    <row r="3377" spans="1:14">
      <c r="A3377" s="29">
        <v>45623</v>
      </c>
      <c r="B3377" s="22" t="s">
        <v>15</v>
      </c>
      <c r="C3377" s="22" t="s">
        <v>57</v>
      </c>
      <c r="D3377" s="48" t="s">
        <v>8</v>
      </c>
      <c r="E3377" t="s">
        <v>1494</v>
      </c>
      <c r="F3377">
        <v>2024</v>
      </c>
      <c r="H3377" s="42" t="s">
        <v>1488</v>
      </c>
      <c r="J3377" t="s">
        <v>248</v>
      </c>
      <c r="L3377" s="34">
        <v>2</v>
      </c>
      <c r="M3377" s="38">
        <v>0.75</v>
      </c>
      <c r="N3377" s="38">
        <f t="shared" si="53"/>
        <v>1.5</v>
      </c>
    </row>
    <row r="3378" spans="1:14">
      <c r="A3378" s="29">
        <v>45623</v>
      </c>
      <c r="B3378" s="22" t="s">
        <v>15</v>
      </c>
      <c r="C3378" s="22" t="s">
        <v>57</v>
      </c>
      <c r="D3378" s="48" t="s">
        <v>8</v>
      </c>
      <c r="E3378" t="s">
        <v>179</v>
      </c>
      <c r="F3378">
        <v>2024</v>
      </c>
      <c r="H3378" s="42" t="s">
        <v>1266</v>
      </c>
      <c r="J3378" t="s">
        <v>248</v>
      </c>
      <c r="L3378" s="34">
        <v>2</v>
      </c>
      <c r="M3378" s="38">
        <v>0.75</v>
      </c>
      <c r="N3378" s="38">
        <f t="shared" si="53"/>
        <v>1.5</v>
      </c>
    </row>
    <row r="3379" spans="1:14">
      <c r="A3379" s="29">
        <v>45623</v>
      </c>
      <c r="B3379" s="22" t="s">
        <v>15</v>
      </c>
      <c r="C3379" s="22" t="s">
        <v>57</v>
      </c>
      <c r="D3379" s="48" t="s">
        <v>5</v>
      </c>
      <c r="E3379" t="s">
        <v>262</v>
      </c>
      <c r="F3379">
        <v>2024</v>
      </c>
      <c r="H3379" s="42" t="s">
        <v>1449</v>
      </c>
      <c r="J3379" t="s">
        <v>248</v>
      </c>
      <c r="L3379" s="34">
        <v>2</v>
      </c>
      <c r="M3379" s="38">
        <v>0.75</v>
      </c>
      <c r="N3379" s="38">
        <f t="shared" si="53"/>
        <v>1.5</v>
      </c>
    </row>
    <row r="3380" spans="1:14">
      <c r="A3380" s="29">
        <v>45623</v>
      </c>
      <c r="B3380" s="22" t="s">
        <v>15</v>
      </c>
      <c r="C3380" s="22" t="s">
        <v>57</v>
      </c>
      <c r="D3380" s="48" t="s">
        <v>5</v>
      </c>
      <c r="E3380" t="s">
        <v>308</v>
      </c>
      <c r="F3380">
        <v>2024</v>
      </c>
      <c r="H3380" s="42" t="s">
        <v>1449</v>
      </c>
      <c r="J3380" t="s">
        <v>248</v>
      </c>
      <c r="L3380" s="34">
        <v>2</v>
      </c>
      <c r="M3380" s="38">
        <v>0.75</v>
      </c>
      <c r="N3380" s="38">
        <f t="shared" si="53"/>
        <v>1.5</v>
      </c>
    </row>
    <row r="3381" spans="1:14">
      <c r="A3381" s="29">
        <v>45632</v>
      </c>
      <c r="B3381" s="22" t="s">
        <v>63</v>
      </c>
      <c r="C3381" s="22" t="s">
        <v>57</v>
      </c>
      <c r="D3381" s="48" t="s">
        <v>8</v>
      </c>
      <c r="E3381" t="s">
        <v>178</v>
      </c>
      <c r="F3381">
        <v>2024</v>
      </c>
      <c r="H3381" s="42" t="s">
        <v>1218</v>
      </c>
      <c r="J3381" t="s">
        <v>248</v>
      </c>
      <c r="L3381" s="34">
        <v>4</v>
      </c>
      <c r="M3381" s="38">
        <v>0.75</v>
      </c>
      <c r="N3381" s="38">
        <f t="shared" si="53"/>
        <v>3</v>
      </c>
    </row>
    <row r="3382" spans="1:14">
      <c r="A3382" s="29">
        <v>45632</v>
      </c>
      <c r="B3382" s="22" t="s">
        <v>149</v>
      </c>
      <c r="C3382" s="22" t="s">
        <v>57</v>
      </c>
      <c r="D3382" s="48" t="s">
        <v>5</v>
      </c>
      <c r="E3382" t="s">
        <v>157</v>
      </c>
      <c r="F3382">
        <v>2024</v>
      </c>
      <c r="G3382" t="s">
        <v>253</v>
      </c>
      <c r="H3382" s="42" t="s">
        <v>1233</v>
      </c>
      <c r="J3382" t="s">
        <v>248</v>
      </c>
      <c r="L3382" s="34">
        <v>6</v>
      </c>
      <c r="M3382" s="38">
        <v>0.75</v>
      </c>
      <c r="N3382" s="38">
        <f t="shared" si="53"/>
        <v>4.5</v>
      </c>
    </row>
    <row r="3383" spans="1:14">
      <c r="A3383" s="29">
        <v>45632</v>
      </c>
      <c r="B3383" s="22" t="s">
        <v>57</v>
      </c>
      <c r="C3383" s="22" t="s">
        <v>151</v>
      </c>
      <c r="D3383" s="48" t="s">
        <v>5</v>
      </c>
      <c r="E3383" t="s">
        <v>255</v>
      </c>
      <c r="F3383">
        <v>2024</v>
      </c>
      <c r="H3383" s="42" t="s">
        <v>1489</v>
      </c>
      <c r="J3383" t="s">
        <v>248</v>
      </c>
      <c r="L3383" s="34">
        <v>3</v>
      </c>
      <c r="M3383" s="38">
        <v>0.75</v>
      </c>
      <c r="N3383" s="38">
        <f t="shared" si="53"/>
        <v>2.25</v>
      </c>
    </row>
    <row r="3384" spans="1:14">
      <c r="A3384" s="29">
        <v>45632</v>
      </c>
      <c r="B3384" s="22" t="s">
        <v>57</v>
      </c>
      <c r="C3384" s="22" t="s">
        <v>151</v>
      </c>
      <c r="D3384" s="48" t="s">
        <v>5</v>
      </c>
      <c r="E3384" t="s">
        <v>157</v>
      </c>
      <c r="F3384">
        <v>2024</v>
      </c>
      <c r="G3384" t="s">
        <v>507</v>
      </c>
      <c r="H3384" s="42" t="s">
        <v>1381</v>
      </c>
      <c r="J3384" t="s">
        <v>248</v>
      </c>
      <c r="L3384" s="34">
        <v>3</v>
      </c>
      <c r="M3384" s="38">
        <v>0.75</v>
      </c>
      <c r="N3384" s="38">
        <f t="shared" si="53"/>
        <v>2.25</v>
      </c>
    </row>
    <row r="3385" spans="1:14">
      <c r="A3385" s="29">
        <v>45632</v>
      </c>
      <c r="B3385" s="22" t="s">
        <v>57</v>
      </c>
      <c r="C3385" s="22" t="s">
        <v>151</v>
      </c>
      <c r="D3385" s="48" t="s">
        <v>5</v>
      </c>
      <c r="E3385" t="s">
        <v>159</v>
      </c>
      <c r="F3385">
        <v>2024</v>
      </c>
      <c r="G3385" t="s">
        <v>1495</v>
      </c>
      <c r="H3385" s="42" t="s">
        <v>1493</v>
      </c>
      <c r="J3385" t="s">
        <v>248</v>
      </c>
      <c r="L3385" s="34">
        <v>3</v>
      </c>
      <c r="M3385" s="38">
        <v>0.75</v>
      </c>
      <c r="N3385" s="38">
        <f t="shared" si="53"/>
        <v>2.25</v>
      </c>
    </row>
    <row r="3386" spans="1:14">
      <c r="A3386" s="29">
        <v>45632</v>
      </c>
      <c r="B3386" s="22" t="s">
        <v>57</v>
      </c>
      <c r="C3386" s="22" t="s">
        <v>151</v>
      </c>
      <c r="D3386" s="48" t="s">
        <v>8</v>
      </c>
      <c r="E3386" t="s">
        <v>1086</v>
      </c>
      <c r="F3386">
        <v>2024</v>
      </c>
      <c r="H3386" s="42" t="s">
        <v>1496</v>
      </c>
      <c r="J3386" t="s">
        <v>248</v>
      </c>
      <c r="L3386" s="34">
        <v>3</v>
      </c>
      <c r="M3386" s="38">
        <v>0.75</v>
      </c>
      <c r="N3386" s="38">
        <f t="shared" si="53"/>
        <v>2.25</v>
      </c>
    </row>
    <row r="3387" spans="1:14">
      <c r="A3387" s="29">
        <v>45632</v>
      </c>
      <c r="B3387" s="22" t="s">
        <v>57</v>
      </c>
      <c r="C3387" s="22" t="s">
        <v>151</v>
      </c>
      <c r="D3387" s="48" t="s">
        <v>8</v>
      </c>
      <c r="E3387" t="s">
        <v>187</v>
      </c>
      <c r="F3387">
        <v>2024</v>
      </c>
      <c r="H3387" s="42" t="s">
        <v>1369</v>
      </c>
      <c r="J3387" t="s">
        <v>248</v>
      </c>
      <c r="L3387" s="34">
        <v>3</v>
      </c>
      <c r="M3387" s="38">
        <v>0.75</v>
      </c>
      <c r="N3387" s="38">
        <f t="shared" si="53"/>
        <v>2.25</v>
      </c>
    </row>
    <row r="3388" spans="1:14">
      <c r="A3388" s="29">
        <v>45632</v>
      </c>
      <c r="B3388" s="22" t="s">
        <v>57</v>
      </c>
      <c r="C3388" s="22" t="s">
        <v>151</v>
      </c>
      <c r="D3388" s="48" t="s">
        <v>8</v>
      </c>
      <c r="E3388" t="s">
        <v>179</v>
      </c>
      <c r="F3388">
        <v>2024</v>
      </c>
      <c r="H3388" s="42" t="s">
        <v>1266</v>
      </c>
      <c r="J3388" t="s">
        <v>248</v>
      </c>
      <c r="L3388" s="34">
        <v>3</v>
      </c>
      <c r="M3388" s="38">
        <v>0.75</v>
      </c>
      <c r="N3388" s="38">
        <f t="shared" si="53"/>
        <v>2.25</v>
      </c>
    </row>
    <row r="3389" spans="1:14">
      <c r="A3389" s="29">
        <v>45632</v>
      </c>
      <c r="B3389" s="22" t="s">
        <v>57</v>
      </c>
      <c r="C3389" s="22" t="s">
        <v>151</v>
      </c>
      <c r="D3389" s="48" t="s">
        <v>8</v>
      </c>
      <c r="E3389" t="s">
        <v>178</v>
      </c>
      <c r="F3389">
        <v>2024</v>
      </c>
      <c r="H3389" s="42" t="s">
        <v>1497</v>
      </c>
      <c r="J3389" t="s">
        <v>248</v>
      </c>
      <c r="L3389" s="34">
        <v>3</v>
      </c>
      <c r="M3389" s="38">
        <v>0.75</v>
      </c>
      <c r="N3389" s="38">
        <f t="shared" si="53"/>
        <v>2.25</v>
      </c>
    </row>
    <row r="3390" spans="1:14">
      <c r="A3390" s="29">
        <v>45631</v>
      </c>
      <c r="B3390" s="22" t="s">
        <v>109</v>
      </c>
      <c r="C3390" s="22" t="s">
        <v>57</v>
      </c>
      <c r="D3390" s="48" t="s">
        <v>5</v>
      </c>
      <c r="E3390" t="s">
        <v>159</v>
      </c>
      <c r="F3390">
        <v>2024</v>
      </c>
      <c r="G3390" t="s">
        <v>252</v>
      </c>
      <c r="H3390" s="42" t="s">
        <v>1476</v>
      </c>
      <c r="J3390" t="s">
        <v>248</v>
      </c>
      <c r="L3390" s="34">
        <v>1</v>
      </c>
      <c r="M3390" s="38">
        <v>0.75</v>
      </c>
      <c r="N3390" s="38">
        <f t="shared" si="53"/>
        <v>0.75</v>
      </c>
    </row>
    <row r="3391" spans="1:14">
      <c r="A3391" s="29">
        <v>45631</v>
      </c>
      <c r="B3391" s="22" t="s">
        <v>109</v>
      </c>
      <c r="C3391" s="22" t="s">
        <v>57</v>
      </c>
      <c r="D3391" s="48" t="s">
        <v>5</v>
      </c>
      <c r="E3391" t="s">
        <v>159</v>
      </c>
      <c r="F3391">
        <v>2024</v>
      </c>
      <c r="G3391" t="s">
        <v>253</v>
      </c>
      <c r="H3391" s="42" t="s">
        <v>1288</v>
      </c>
      <c r="J3391" t="s">
        <v>248</v>
      </c>
      <c r="L3391" s="34">
        <v>1</v>
      </c>
      <c r="M3391" s="38">
        <v>0.75</v>
      </c>
      <c r="N3391" s="38">
        <f t="shared" si="53"/>
        <v>0.75</v>
      </c>
    </row>
    <row r="3392" spans="1:14">
      <c r="A3392" s="29">
        <v>45631</v>
      </c>
      <c r="B3392" s="22" t="s">
        <v>109</v>
      </c>
      <c r="C3392" s="22" t="s">
        <v>57</v>
      </c>
      <c r="D3392" s="48" t="s">
        <v>5</v>
      </c>
      <c r="E3392" t="s">
        <v>503</v>
      </c>
      <c r="F3392">
        <v>2024</v>
      </c>
      <c r="H3392" s="42" t="s">
        <v>1449</v>
      </c>
      <c r="J3392" t="s">
        <v>248</v>
      </c>
      <c r="L3392" s="34">
        <v>1</v>
      </c>
      <c r="M3392" s="38">
        <v>0.75</v>
      </c>
      <c r="N3392" s="38">
        <f t="shared" si="53"/>
        <v>0.75</v>
      </c>
    </row>
    <row r="3393" spans="1:14">
      <c r="A3393" s="29">
        <v>45631</v>
      </c>
      <c r="B3393" s="22" t="s">
        <v>109</v>
      </c>
      <c r="C3393" s="22" t="s">
        <v>57</v>
      </c>
      <c r="D3393" s="48" t="s">
        <v>5</v>
      </c>
      <c r="E3393" t="s">
        <v>494</v>
      </c>
      <c r="F3393">
        <v>2024</v>
      </c>
      <c r="H3393" s="42" t="s">
        <v>1449</v>
      </c>
      <c r="J3393" t="s">
        <v>248</v>
      </c>
      <c r="L3393" s="34">
        <v>1</v>
      </c>
      <c r="M3393" s="38">
        <v>0.75</v>
      </c>
      <c r="N3393" s="38">
        <f t="shared" si="53"/>
        <v>0.75</v>
      </c>
    </row>
    <row r="3394" spans="1:14">
      <c r="A3394" s="29">
        <v>45630</v>
      </c>
      <c r="B3394" s="22" t="s">
        <v>57</v>
      </c>
      <c r="C3394" s="22" t="s">
        <v>26</v>
      </c>
      <c r="D3394" s="48" t="s">
        <v>5</v>
      </c>
      <c r="E3394" t="s">
        <v>1498</v>
      </c>
      <c r="F3394">
        <v>2024</v>
      </c>
      <c r="H3394" s="42" t="s">
        <v>1499</v>
      </c>
      <c r="J3394" t="s">
        <v>248</v>
      </c>
      <c r="L3394" s="34">
        <v>1</v>
      </c>
      <c r="M3394" s="38">
        <v>0.75</v>
      </c>
      <c r="N3394" s="38">
        <f t="shared" si="53"/>
        <v>0.75</v>
      </c>
    </row>
    <row r="3395" spans="1:14">
      <c r="A3395" s="29">
        <v>45630</v>
      </c>
      <c r="B3395" s="22" t="s">
        <v>57</v>
      </c>
      <c r="C3395" s="22" t="s">
        <v>26</v>
      </c>
      <c r="D3395" s="48" t="s">
        <v>5</v>
      </c>
      <c r="E3395" t="s">
        <v>255</v>
      </c>
      <c r="F3395">
        <v>2024</v>
      </c>
      <c r="H3395" s="42" t="s">
        <v>1449</v>
      </c>
      <c r="J3395" t="s">
        <v>248</v>
      </c>
      <c r="L3395" s="34">
        <v>1</v>
      </c>
      <c r="M3395" s="38">
        <v>0.75</v>
      </c>
      <c r="N3395" s="38">
        <f t="shared" si="53"/>
        <v>0.75</v>
      </c>
    </row>
    <row r="3396" spans="1:14">
      <c r="A3396" s="29">
        <v>45629</v>
      </c>
      <c r="B3396" s="22" t="s">
        <v>93</v>
      </c>
      <c r="C3396" s="22" t="s">
        <v>57</v>
      </c>
      <c r="D3396" s="48" t="s">
        <v>5</v>
      </c>
      <c r="E3396" t="s">
        <v>161</v>
      </c>
      <c r="F3396">
        <v>2024</v>
      </c>
      <c r="H3396" s="42" t="s">
        <v>1500</v>
      </c>
      <c r="J3396" t="s">
        <v>248</v>
      </c>
      <c r="L3396" s="34">
        <v>2</v>
      </c>
      <c r="M3396" s="38">
        <v>0.75</v>
      </c>
      <c r="N3396" s="38">
        <f t="shared" si="53"/>
        <v>1.5</v>
      </c>
    </row>
    <row r="3397" spans="1:14">
      <c r="A3397" s="29">
        <v>45629</v>
      </c>
      <c r="B3397" s="22" t="s">
        <v>93</v>
      </c>
      <c r="C3397" s="22" t="s">
        <v>57</v>
      </c>
      <c r="D3397" s="48" t="s">
        <v>5</v>
      </c>
      <c r="E3397" t="s">
        <v>255</v>
      </c>
      <c r="F3397">
        <v>2024</v>
      </c>
      <c r="H3397" s="42" t="s">
        <v>1449</v>
      </c>
      <c r="J3397" t="s">
        <v>248</v>
      </c>
      <c r="L3397" s="34">
        <v>2</v>
      </c>
      <c r="M3397" s="38">
        <v>0.75</v>
      </c>
      <c r="N3397" s="38">
        <f t="shared" si="53"/>
        <v>1.5</v>
      </c>
    </row>
    <row r="3398" spans="1:14">
      <c r="A3398" s="29">
        <v>45629</v>
      </c>
      <c r="B3398" s="22" t="s">
        <v>93</v>
      </c>
      <c r="C3398" s="22" t="s">
        <v>57</v>
      </c>
      <c r="D3398" s="48" t="s">
        <v>8</v>
      </c>
      <c r="E3398" t="s">
        <v>180</v>
      </c>
      <c r="F3398">
        <v>2024</v>
      </c>
      <c r="H3398" s="42" t="s">
        <v>1449</v>
      </c>
      <c r="J3398" t="s">
        <v>248</v>
      </c>
      <c r="L3398" s="34">
        <v>2</v>
      </c>
      <c r="M3398" s="38">
        <v>0.75</v>
      </c>
      <c r="N3398" s="38">
        <f t="shared" si="53"/>
        <v>1.5</v>
      </c>
    </row>
    <row r="3399" spans="1:14">
      <c r="A3399" s="29">
        <v>45628</v>
      </c>
      <c r="B3399" s="22" t="s">
        <v>1501</v>
      </c>
      <c r="C3399" s="22" t="s">
        <v>57</v>
      </c>
      <c r="D3399" s="48" t="s">
        <v>5</v>
      </c>
      <c r="E3399" t="s">
        <v>161</v>
      </c>
      <c r="F3399">
        <v>2024</v>
      </c>
      <c r="H3399" s="42" t="s">
        <v>1500</v>
      </c>
      <c r="J3399" t="s">
        <v>248</v>
      </c>
      <c r="L3399" s="34">
        <v>2</v>
      </c>
      <c r="M3399" s="38">
        <v>0.75</v>
      </c>
      <c r="N3399" s="38">
        <f t="shared" si="53"/>
        <v>1.5</v>
      </c>
    </row>
    <row r="3400" spans="1:14">
      <c r="A3400" s="29">
        <v>45628</v>
      </c>
      <c r="B3400" s="22" t="s">
        <v>1501</v>
      </c>
      <c r="C3400" s="22" t="s">
        <v>57</v>
      </c>
      <c r="D3400" s="48" t="s">
        <v>5</v>
      </c>
      <c r="E3400" t="s">
        <v>262</v>
      </c>
      <c r="F3400">
        <v>2024</v>
      </c>
      <c r="H3400" s="42" t="s">
        <v>898</v>
      </c>
      <c r="J3400" t="s">
        <v>248</v>
      </c>
      <c r="L3400" s="34">
        <v>2</v>
      </c>
      <c r="M3400" s="38">
        <v>0.75</v>
      </c>
      <c r="N3400" s="38">
        <f t="shared" si="53"/>
        <v>1.5</v>
      </c>
    </row>
    <row r="3401" spans="1:14">
      <c r="A3401" s="29">
        <v>45628</v>
      </c>
      <c r="B3401" s="22" t="s">
        <v>1501</v>
      </c>
      <c r="C3401" s="22" t="s">
        <v>57</v>
      </c>
      <c r="D3401" s="48" t="s">
        <v>5</v>
      </c>
      <c r="E3401" t="s">
        <v>262</v>
      </c>
      <c r="F3401">
        <v>2024</v>
      </c>
      <c r="H3401" s="42" t="s">
        <v>1345</v>
      </c>
      <c r="J3401" t="s">
        <v>248</v>
      </c>
      <c r="L3401" s="34">
        <v>2</v>
      </c>
      <c r="M3401" s="38">
        <v>0.75</v>
      </c>
      <c r="N3401" s="38">
        <f t="shared" si="53"/>
        <v>1.5</v>
      </c>
    </row>
    <row r="3402" spans="1:14">
      <c r="A3402" s="29">
        <v>45628</v>
      </c>
      <c r="B3402" s="22" t="s">
        <v>1501</v>
      </c>
      <c r="C3402" s="22" t="s">
        <v>57</v>
      </c>
      <c r="D3402" s="48" t="s">
        <v>5</v>
      </c>
      <c r="E3402" t="s">
        <v>262</v>
      </c>
      <c r="F3402">
        <v>2024</v>
      </c>
      <c r="H3402" s="42" t="s">
        <v>1171</v>
      </c>
      <c r="J3402" t="s">
        <v>248</v>
      </c>
      <c r="L3402" s="34">
        <v>2</v>
      </c>
      <c r="M3402" s="38">
        <v>0.75</v>
      </c>
      <c r="N3402" s="38">
        <f t="shared" si="53"/>
        <v>1.5</v>
      </c>
    </row>
    <row r="3403" spans="1:14">
      <c r="A3403" s="29">
        <v>45628</v>
      </c>
      <c r="B3403" s="22" t="s">
        <v>1501</v>
      </c>
      <c r="C3403" s="22" t="s">
        <v>57</v>
      </c>
      <c r="D3403" s="48" t="s">
        <v>8</v>
      </c>
      <c r="E3403" t="s">
        <v>178</v>
      </c>
      <c r="F3403">
        <v>2024</v>
      </c>
      <c r="H3403" s="42" t="s">
        <v>1218</v>
      </c>
      <c r="J3403" t="s">
        <v>248</v>
      </c>
      <c r="L3403" s="34">
        <v>2</v>
      </c>
      <c r="M3403" s="38">
        <v>0.75</v>
      </c>
      <c r="N3403" s="38">
        <f t="shared" si="53"/>
        <v>1.5</v>
      </c>
    </row>
    <row r="3404" spans="1:14">
      <c r="A3404" s="29">
        <v>45639</v>
      </c>
      <c r="B3404" s="22" t="s">
        <v>109</v>
      </c>
      <c r="C3404" s="22" t="s">
        <v>57</v>
      </c>
      <c r="D3404" s="48" t="s">
        <v>5</v>
      </c>
      <c r="E3404" t="s">
        <v>157</v>
      </c>
      <c r="F3404">
        <v>2024</v>
      </c>
      <c r="H3404" s="42" t="s">
        <v>1449</v>
      </c>
      <c r="J3404" t="s">
        <v>248</v>
      </c>
      <c r="K3404" t="s">
        <v>1502</v>
      </c>
      <c r="L3404" s="34">
        <v>2</v>
      </c>
      <c r="M3404" s="38">
        <v>0.75</v>
      </c>
      <c r="N3404" s="38">
        <f t="shared" si="53"/>
        <v>1.5</v>
      </c>
    </row>
    <row r="3405" spans="1:14">
      <c r="A3405" s="29">
        <v>45639</v>
      </c>
      <c r="B3405" s="22" t="s">
        <v>109</v>
      </c>
      <c r="C3405" s="22" t="s">
        <v>57</v>
      </c>
      <c r="D3405" s="48" t="s">
        <v>5</v>
      </c>
      <c r="E3405" t="s">
        <v>308</v>
      </c>
      <c r="F3405">
        <v>2024</v>
      </c>
      <c r="H3405" s="42" t="s">
        <v>1449</v>
      </c>
      <c r="J3405" t="s">
        <v>248</v>
      </c>
      <c r="L3405" s="34">
        <v>2</v>
      </c>
      <c r="M3405" s="38">
        <v>0.75</v>
      </c>
      <c r="N3405" s="38">
        <f t="shared" si="53"/>
        <v>1.5</v>
      </c>
    </row>
    <row r="3406" spans="1:14">
      <c r="A3406" s="29">
        <v>45639</v>
      </c>
      <c r="B3406" s="22" t="s">
        <v>109</v>
      </c>
      <c r="C3406" s="22" t="s">
        <v>57</v>
      </c>
      <c r="D3406" s="48" t="s">
        <v>5</v>
      </c>
      <c r="E3406" t="s">
        <v>503</v>
      </c>
      <c r="F3406">
        <v>2024</v>
      </c>
      <c r="H3406" s="42" t="s">
        <v>1449</v>
      </c>
      <c r="J3406" t="s">
        <v>248</v>
      </c>
      <c r="L3406" s="34">
        <v>2</v>
      </c>
      <c r="M3406" s="38">
        <v>0.75</v>
      </c>
      <c r="N3406" s="38">
        <f t="shared" si="53"/>
        <v>1.5</v>
      </c>
    </row>
    <row r="3407" spans="1:14">
      <c r="A3407" s="29">
        <v>45639</v>
      </c>
      <c r="B3407" s="22" t="s">
        <v>109</v>
      </c>
      <c r="C3407" s="22" t="s">
        <v>57</v>
      </c>
      <c r="D3407" s="48" t="s">
        <v>8</v>
      </c>
      <c r="E3407" t="s">
        <v>1204</v>
      </c>
      <c r="F3407">
        <v>2024</v>
      </c>
      <c r="H3407" s="42" t="s">
        <v>1303</v>
      </c>
      <c r="J3407" t="s">
        <v>248</v>
      </c>
      <c r="L3407" s="34">
        <v>2</v>
      </c>
      <c r="M3407" s="38">
        <v>0.75</v>
      </c>
      <c r="N3407" s="38">
        <f t="shared" si="53"/>
        <v>1.5</v>
      </c>
    </row>
    <row r="3408" spans="1:14">
      <c r="A3408" s="29">
        <v>45644</v>
      </c>
      <c r="B3408" s="22" t="s">
        <v>1503</v>
      </c>
      <c r="C3408" s="22" t="s">
        <v>57</v>
      </c>
      <c r="D3408" s="48" t="s">
        <v>5</v>
      </c>
      <c r="E3408" t="s">
        <v>161</v>
      </c>
      <c r="F3408">
        <v>2024</v>
      </c>
      <c r="H3408" s="42" t="s">
        <v>1500</v>
      </c>
      <c r="J3408" t="s">
        <v>248</v>
      </c>
      <c r="L3408" s="34">
        <v>2</v>
      </c>
      <c r="M3408" s="38">
        <v>0.75</v>
      </c>
      <c r="N3408" s="38">
        <f t="shared" si="53"/>
        <v>1.5</v>
      </c>
    </row>
    <row r="3409" spans="1:14">
      <c r="A3409" s="29">
        <v>45644</v>
      </c>
      <c r="B3409" s="22" t="s">
        <v>16</v>
      </c>
      <c r="C3409" s="22" t="s">
        <v>49</v>
      </c>
      <c r="D3409" s="48" t="s">
        <v>5</v>
      </c>
      <c r="E3409" t="s">
        <v>158</v>
      </c>
      <c r="F3409">
        <v>2024</v>
      </c>
      <c r="H3409" s="42" t="s">
        <v>1504</v>
      </c>
      <c r="J3409" t="s">
        <v>248</v>
      </c>
      <c r="L3409" s="34">
        <v>2</v>
      </c>
      <c r="M3409" s="38">
        <v>0.75</v>
      </c>
      <c r="N3409" s="38">
        <f t="shared" si="53"/>
        <v>1.5</v>
      </c>
    </row>
    <row r="3410" spans="1:14">
      <c r="A3410" s="29">
        <v>45644</v>
      </c>
      <c r="B3410" s="22" t="s">
        <v>109</v>
      </c>
      <c r="C3410" s="22" t="s">
        <v>57</v>
      </c>
      <c r="D3410" s="48" t="s">
        <v>8</v>
      </c>
      <c r="E3410" t="s">
        <v>179</v>
      </c>
      <c r="F3410">
        <v>2024</v>
      </c>
      <c r="H3410" s="42" t="s">
        <v>1266</v>
      </c>
      <c r="J3410" t="s">
        <v>248</v>
      </c>
      <c r="L3410" s="34">
        <v>2</v>
      </c>
      <c r="M3410" s="38">
        <v>0.75</v>
      </c>
      <c r="N3410" s="38">
        <f t="shared" si="53"/>
        <v>1.5</v>
      </c>
    </row>
    <row r="3411" spans="1:14">
      <c r="A3411" s="29">
        <v>45663</v>
      </c>
      <c r="B3411" s="22" t="s">
        <v>16</v>
      </c>
      <c r="C3411" s="22" t="s">
        <v>49</v>
      </c>
      <c r="D3411" s="48" t="s">
        <v>5</v>
      </c>
      <c r="E3411" t="s">
        <v>211</v>
      </c>
      <c r="F3411">
        <v>2024</v>
      </c>
      <c r="H3411" s="42" t="s">
        <v>1484</v>
      </c>
      <c r="J3411" t="s">
        <v>248</v>
      </c>
      <c r="L3411" s="34">
        <v>6</v>
      </c>
      <c r="M3411" s="38">
        <v>0.75</v>
      </c>
      <c r="N3411" s="38">
        <f t="shared" si="53"/>
        <v>4.5</v>
      </c>
    </row>
    <row r="3412" spans="1:14">
      <c r="A3412" s="29">
        <v>45663</v>
      </c>
      <c r="B3412" s="22" t="s">
        <v>16</v>
      </c>
      <c r="C3412" s="22" t="s">
        <v>49</v>
      </c>
      <c r="D3412" s="48" t="s">
        <v>5</v>
      </c>
      <c r="E3412" t="s">
        <v>211</v>
      </c>
      <c r="F3412">
        <v>2024</v>
      </c>
      <c r="H3412" s="42" t="s">
        <v>1485</v>
      </c>
      <c r="J3412" t="s">
        <v>248</v>
      </c>
      <c r="L3412" s="34">
        <v>6</v>
      </c>
      <c r="M3412" s="38">
        <v>0.75</v>
      </c>
      <c r="N3412" s="38">
        <f t="shared" ref="N3412" si="54">M3412*L3412</f>
        <v>4.5</v>
      </c>
    </row>
    <row r="3413" spans="1:14">
      <c r="A3413" s="29">
        <v>45663</v>
      </c>
      <c r="B3413" s="22" t="s">
        <v>16</v>
      </c>
      <c r="C3413" s="22" t="s">
        <v>49</v>
      </c>
      <c r="D3413" s="48" t="s">
        <v>5</v>
      </c>
      <c r="E3413" t="s">
        <v>211</v>
      </c>
      <c r="F3413">
        <v>2024</v>
      </c>
      <c r="H3413" s="42" t="s">
        <v>1486</v>
      </c>
      <c r="J3413" t="s">
        <v>248</v>
      </c>
      <c r="L3413" s="34">
        <v>6</v>
      </c>
      <c r="M3413" s="38">
        <v>0.75</v>
      </c>
      <c r="N3413" s="38">
        <f t="shared" ref="N3413" si="55">M3413*L3413</f>
        <v>4.5</v>
      </c>
    </row>
    <row r="3414" spans="1:14">
      <c r="A3414" s="29">
        <v>45663</v>
      </c>
      <c r="B3414" s="22" t="s">
        <v>16</v>
      </c>
      <c r="C3414" s="22" t="s">
        <v>49</v>
      </c>
      <c r="D3414" s="48" t="s">
        <v>5</v>
      </c>
      <c r="E3414" t="s">
        <v>1370</v>
      </c>
      <c r="F3414">
        <v>2024</v>
      </c>
      <c r="H3414" s="42" t="s">
        <v>1195</v>
      </c>
      <c r="J3414" t="s">
        <v>248</v>
      </c>
      <c r="L3414" s="34">
        <v>6</v>
      </c>
      <c r="M3414" s="38">
        <v>0.75</v>
      </c>
      <c r="N3414" s="38">
        <f t="shared" ref="N3414" si="56">M3414*L3414</f>
        <v>4.5</v>
      </c>
    </row>
    <row r="3415" spans="1:14">
      <c r="A3415" s="29">
        <v>45663</v>
      </c>
      <c r="B3415" s="22" t="s">
        <v>16</v>
      </c>
      <c r="C3415" s="22" t="s">
        <v>49</v>
      </c>
      <c r="D3415" s="48" t="s">
        <v>5</v>
      </c>
      <c r="E3415" t="s">
        <v>158</v>
      </c>
      <c r="F3415">
        <v>2024</v>
      </c>
      <c r="H3415" s="42" t="s">
        <v>1504</v>
      </c>
      <c r="J3415" t="s">
        <v>248</v>
      </c>
      <c r="L3415" s="34">
        <v>6</v>
      </c>
      <c r="M3415" s="38">
        <v>0.75</v>
      </c>
      <c r="N3415" s="38">
        <f t="shared" ref="N3415" si="57">M3415*L3415</f>
        <v>4.5</v>
      </c>
    </row>
    <row r="3416" spans="1:14">
      <c r="A3416" s="29">
        <v>45663</v>
      </c>
      <c r="B3416" s="22" t="s">
        <v>16</v>
      </c>
      <c r="C3416" s="22" t="s">
        <v>49</v>
      </c>
      <c r="D3416" s="48" t="s">
        <v>8</v>
      </c>
      <c r="E3416" t="s">
        <v>189</v>
      </c>
      <c r="F3416">
        <v>2024</v>
      </c>
      <c r="H3416" s="42" t="s">
        <v>1315</v>
      </c>
      <c r="J3416" t="s">
        <v>248</v>
      </c>
      <c r="L3416" s="34">
        <v>6</v>
      </c>
      <c r="M3416" s="38">
        <v>0.75</v>
      </c>
      <c r="N3416" s="38">
        <f t="shared" ref="N3416" si="58">M3416*L3416</f>
        <v>4.5</v>
      </c>
    </row>
    <row r="3417" spans="1:14">
      <c r="A3417" s="29">
        <v>45663</v>
      </c>
      <c r="B3417" s="22" t="s">
        <v>16</v>
      </c>
      <c r="C3417" s="22" t="s">
        <v>49</v>
      </c>
      <c r="D3417" s="48" t="s">
        <v>8</v>
      </c>
      <c r="E3417" t="s">
        <v>191</v>
      </c>
      <c r="F3417">
        <v>2024</v>
      </c>
      <c r="H3417" s="42" t="s">
        <v>1266</v>
      </c>
      <c r="J3417" t="s">
        <v>248</v>
      </c>
      <c r="L3417" s="34">
        <v>6</v>
      </c>
      <c r="M3417" s="38">
        <v>0.75</v>
      </c>
      <c r="N3417" s="38">
        <f t="shared" ref="N3417" si="59">M3417*L3417</f>
        <v>4.5</v>
      </c>
    </row>
    <row r="3418" spans="1:14">
      <c r="A3418" s="29">
        <v>45663</v>
      </c>
      <c r="B3418" s="22"/>
      <c r="C3418" s="22" t="s">
        <v>151</v>
      </c>
      <c r="D3418" s="48" t="s">
        <v>5</v>
      </c>
      <c r="E3418" t="s">
        <v>255</v>
      </c>
      <c r="F3418">
        <v>2024</v>
      </c>
      <c r="H3418" s="42" t="s">
        <v>1489</v>
      </c>
      <c r="J3418" t="s">
        <v>248</v>
      </c>
      <c r="L3418" s="34">
        <v>2</v>
      </c>
      <c r="M3418" s="38">
        <v>0.75</v>
      </c>
      <c r="N3418" s="38">
        <f t="shared" si="53"/>
        <v>1.5</v>
      </c>
    </row>
    <row r="3419" spans="1:14">
      <c r="A3419" s="29">
        <v>45297</v>
      </c>
      <c r="B3419" s="22" t="s">
        <v>63</v>
      </c>
      <c r="C3419" s="22" t="s">
        <v>57</v>
      </c>
      <c r="D3419" s="48" t="s">
        <v>5</v>
      </c>
      <c r="E3419" t="s">
        <v>159</v>
      </c>
      <c r="F3419">
        <v>2024</v>
      </c>
      <c r="G3419" t="s">
        <v>253</v>
      </c>
      <c r="H3419" s="42" t="s">
        <v>1499</v>
      </c>
      <c r="J3419" t="s">
        <v>248</v>
      </c>
      <c r="L3419" s="34">
        <v>3</v>
      </c>
      <c r="M3419" s="38">
        <v>0.75</v>
      </c>
      <c r="N3419" s="38">
        <f t="shared" si="53"/>
        <v>2.25</v>
      </c>
    </row>
    <row r="3420" spans="1:14">
      <c r="A3420" s="29">
        <v>45297</v>
      </c>
      <c r="B3420" s="22" t="s">
        <v>63</v>
      </c>
      <c r="C3420" s="22" t="s">
        <v>57</v>
      </c>
      <c r="D3420" s="48" t="s">
        <v>5</v>
      </c>
      <c r="E3420" t="s">
        <v>159</v>
      </c>
      <c r="F3420">
        <v>2024</v>
      </c>
      <c r="G3420" t="s">
        <v>252</v>
      </c>
      <c r="H3420" s="42" t="s">
        <v>1378</v>
      </c>
      <c r="J3420" t="s">
        <v>248</v>
      </c>
      <c r="L3420" s="34">
        <v>3</v>
      </c>
      <c r="M3420" s="38">
        <v>0.75</v>
      </c>
      <c r="N3420" s="38">
        <f t="shared" ref="N3420" si="60">M3420*L3420</f>
        <v>2.25</v>
      </c>
    </row>
    <row r="3421" spans="1:14">
      <c r="A3421" s="29">
        <v>45298</v>
      </c>
      <c r="B3421" s="22" t="s">
        <v>109</v>
      </c>
      <c r="C3421" s="22" t="s">
        <v>57</v>
      </c>
      <c r="D3421" s="48" t="s">
        <v>5</v>
      </c>
      <c r="E3421" t="s">
        <v>308</v>
      </c>
      <c r="F3421">
        <v>2024</v>
      </c>
      <c r="H3421" s="42" t="s">
        <v>1505</v>
      </c>
      <c r="J3421" t="s">
        <v>248</v>
      </c>
      <c r="L3421" s="34">
        <v>2</v>
      </c>
      <c r="M3421" s="38">
        <v>0.75</v>
      </c>
      <c r="N3421" s="38">
        <f t="shared" si="53"/>
        <v>1.5</v>
      </c>
    </row>
    <row r="3422" spans="1:14">
      <c r="A3422" s="29">
        <v>45298</v>
      </c>
      <c r="B3422" s="22" t="s">
        <v>109</v>
      </c>
      <c r="C3422" s="22" t="s">
        <v>57</v>
      </c>
      <c r="D3422" s="48" t="s">
        <v>5</v>
      </c>
      <c r="E3422" t="s">
        <v>158</v>
      </c>
      <c r="F3422">
        <v>2024</v>
      </c>
      <c r="H3422" s="42" t="s">
        <v>1504</v>
      </c>
      <c r="J3422" t="s">
        <v>248</v>
      </c>
      <c r="L3422" s="34">
        <v>2</v>
      </c>
      <c r="M3422" s="38">
        <v>0.75</v>
      </c>
      <c r="N3422" s="38">
        <f t="shared" ref="N3422" si="61">M3422*L3422</f>
        <v>1.5</v>
      </c>
    </row>
    <row r="3423" spans="1:14">
      <c r="A3423" s="29">
        <v>45298</v>
      </c>
      <c r="B3423" s="22" t="s">
        <v>109</v>
      </c>
      <c r="C3423" s="22" t="s">
        <v>57</v>
      </c>
      <c r="D3423" s="48" t="s">
        <v>5</v>
      </c>
      <c r="E3423" t="s">
        <v>157</v>
      </c>
      <c r="F3423">
        <v>2024</v>
      </c>
      <c r="H3423" s="42" t="s">
        <v>1449</v>
      </c>
      <c r="J3423" t="s">
        <v>248</v>
      </c>
      <c r="K3423" t="s">
        <v>1506</v>
      </c>
      <c r="L3423" s="34">
        <v>1</v>
      </c>
      <c r="M3423" s="38">
        <v>0.75</v>
      </c>
      <c r="N3423" s="38">
        <f t="shared" ref="N3423" si="62">M3423*L3423</f>
        <v>0.75</v>
      </c>
    </row>
    <row r="3424" spans="1:14">
      <c r="A3424" s="29">
        <v>45298</v>
      </c>
      <c r="B3424" s="22" t="s">
        <v>109</v>
      </c>
      <c r="C3424" s="22" t="s">
        <v>57</v>
      </c>
      <c r="D3424" s="48" t="s">
        <v>5</v>
      </c>
      <c r="E3424" t="s">
        <v>503</v>
      </c>
      <c r="F3424">
        <v>2024</v>
      </c>
      <c r="H3424" s="42" t="s">
        <v>1449</v>
      </c>
      <c r="J3424" t="s">
        <v>248</v>
      </c>
      <c r="L3424" s="34">
        <v>1</v>
      </c>
      <c r="M3424" s="38">
        <v>0.75</v>
      </c>
      <c r="N3424" s="38">
        <f t="shared" ref="N3424" si="63">M3424*L3424</f>
        <v>0.75</v>
      </c>
    </row>
    <row r="3425" spans="1:14">
      <c r="A3425" s="29">
        <v>45299</v>
      </c>
      <c r="B3425" s="22" t="s">
        <v>1507</v>
      </c>
      <c r="C3425" s="22" t="s">
        <v>57</v>
      </c>
      <c r="D3425" s="48" t="s">
        <v>5</v>
      </c>
      <c r="E3425" t="s">
        <v>157</v>
      </c>
      <c r="F3425">
        <v>2024</v>
      </c>
      <c r="H3425" s="42" t="s">
        <v>1449</v>
      </c>
      <c r="J3425" t="s">
        <v>248</v>
      </c>
      <c r="L3425" s="34">
        <v>4</v>
      </c>
      <c r="M3425" s="38">
        <v>0.75</v>
      </c>
      <c r="N3425" s="38">
        <f t="shared" si="53"/>
        <v>3</v>
      </c>
    </row>
    <row r="3426" spans="1:14">
      <c r="A3426" s="29">
        <v>45300</v>
      </c>
      <c r="B3426" s="22" t="s">
        <v>55</v>
      </c>
      <c r="C3426" s="22" t="s">
        <v>57</v>
      </c>
      <c r="D3426" s="48" t="s">
        <v>5</v>
      </c>
      <c r="E3426" t="s">
        <v>157</v>
      </c>
      <c r="F3426">
        <v>2024</v>
      </c>
      <c r="G3426" t="s">
        <v>252</v>
      </c>
      <c r="H3426" s="42" t="s">
        <v>1202</v>
      </c>
      <c r="J3426" t="s">
        <v>248</v>
      </c>
      <c r="L3426" s="34">
        <v>6</v>
      </c>
      <c r="M3426" s="38">
        <v>0.75</v>
      </c>
      <c r="N3426" s="38">
        <f t="shared" si="53"/>
        <v>4.5</v>
      </c>
    </row>
    <row r="3427" spans="1:14">
      <c r="A3427" s="29">
        <v>45300</v>
      </c>
      <c r="B3427" s="22" t="s">
        <v>55</v>
      </c>
      <c r="C3427" s="22" t="s">
        <v>57</v>
      </c>
      <c r="D3427" s="48" t="s">
        <v>5</v>
      </c>
      <c r="E3427" t="s">
        <v>255</v>
      </c>
      <c r="F3427">
        <v>2024</v>
      </c>
      <c r="H3427" s="42" t="s">
        <v>1489</v>
      </c>
      <c r="J3427" t="s">
        <v>248</v>
      </c>
      <c r="L3427" s="34">
        <v>6</v>
      </c>
      <c r="M3427" s="38">
        <v>0.75</v>
      </c>
      <c r="N3427" s="38">
        <f t="shared" ref="N3427" si="64">M3427*L3427</f>
        <v>4.5</v>
      </c>
    </row>
    <row r="3428" spans="1:14">
      <c r="A3428" s="29">
        <v>45301</v>
      </c>
      <c r="B3428" s="22" t="s">
        <v>109</v>
      </c>
      <c r="C3428" s="22" t="s">
        <v>57</v>
      </c>
      <c r="D3428" s="48" t="s">
        <v>8</v>
      </c>
      <c r="E3428" t="s">
        <v>179</v>
      </c>
      <c r="F3428">
        <v>2024</v>
      </c>
      <c r="H3428" s="42" t="s">
        <v>1266</v>
      </c>
      <c r="J3428" t="s">
        <v>248</v>
      </c>
      <c r="L3428" s="34">
        <v>1</v>
      </c>
      <c r="M3428" s="38">
        <v>0.75</v>
      </c>
      <c r="N3428" s="38">
        <f t="shared" si="53"/>
        <v>0.75</v>
      </c>
    </row>
    <row r="3429" spans="1:14">
      <c r="A3429" s="29">
        <v>45301</v>
      </c>
      <c r="B3429" s="22" t="s">
        <v>63</v>
      </c>
      <c r="C3429" s="22" t="s">
        <v>57</v>
      </c>
      <c r="D3429" s="48" t="s">
        <v>8</v>
      </c>
      <c r="E3429" t="s">
        <v>193</v>
      </c>
      <c r="F3429">
        <v>2024</v>
      </c>
      <c r="H3429" s="42" t="s">
        <v>1315</v>
      </c>
      <c r="J3429" t="s">
        <v>248</v>
      </c>
      <c r="K3429" t="s">
        <v>1427</v>
      </c>
      <c r="L3429" s="34">
        <v>2</v>
      </c>
      <c r="M3429" s="38">
        <v>0.75</v>
      </c>
      <c r="N3429" s="38">
        <f t="shared" si="53"/>
        <v>1.5</v>
      </c>
    </row>
    <row r="3430" spans="1:14">
      <c r="A3430" s="29">
        <v>45301</v>
      </c>
      <c r="B3430" s="22" t="s">
        <v>63</v>
      </c>
      <c r="C3430" s="22" t="s">
        <v>57</v>
      </c>
      <c r="D3430" s="48" t="s">
        <v>8</v>
      </c>
      <c r="E3430" t="s">
        <v>192</v>
      </c>
      <c r="F3430">
        <v>2024</v>
      </c>
      <c r="H3430" s="42" t="s">
        <v>1508</v>
      </c>
      <c r="J3430" t="s">
        <v>248</v>
      </c>
      <c r="K3430" t="s">
        <v>1427</v>
      </c>
      <c r="L3430" s="34">
        <v>2</v>
      </c>
      <c r="M3430" s="38">
        <v>0.75</v>
      </c>
      <c r="N3430" s="38">
        <f t="shared" si="53"/>
        <v>1.5</v>
      </c>
    </row>
    <row r="3431" spans="1:14">
      <c r="A3431" s="29">
        <v>45301</v>
      </c>
      <c r="B3431" s="22" t="s">
        <v>63</v>
      </c>
      <c r="C3431" s="22" t="s">
        <v>57</v>
      </c>
      <c r="D3431" s="48" t="s">
        <v>11</v>
      </c>
      <c r="E3431" t="s">
        <v>1509</v>
      </c>
      <c r="F3431">
        <v>2024</v>
      </c>
      <c r="H3431" s="42" t="s">
        <v>1510</v>
      </c>
      <c r="J3431" t="s">
        <v>248</v>
      </c>
      <c r="K3431" t="s">
        <v>1511</v>
      </c>
      <c r="L3431" s="34">
        <v>2</v>
      </c>
      <c r="M3431" s="38">
        <v>0.75</v>
      </c>
      <c r="N3431" s="38">
        <f t="shared" si="53"/>
        <v>1.5</v>
      </c>
    </row>
    <row r="3432" spans="1:14">
      <c r="A3432" s="29">
        <v>45301</v>
      </c>
      <c r="B3432" s="22" t="s">
        <v>63</v>
      </c>
      <c r="C3432" s="22" t="s">
        <v>57</v>
      </c>
      <c r="D3432" s="48" t="s">
        <v>11</v>
      </c>
      <c r="E3432" t="s">
        <v>1512</v>
      </c>
      <c r="F3432">
        <v>2024</v>
      </c>
      <c r="H3432" s="42" t="s">
        <v>747</v>
      </c>
      <c r="J3432" t="s">
        <v>248</v>
      </c>
      <c r="K3432" t="s">
        <v>1511</v>
      </c>
      <c r="L3432" s="34">
        <v>2</v>
      </c>
      <c r="M3432" s="38">
        <v>0.75</v>
      </c>
      <c r="N3432" s="38">
        <f t="shared" si="53"/>
        <v>1.5</v>
      </c>
    </row>
    <row r="3433" spans="1:14">
      <c r="A3433" s="29">
        <v>45680</v>
      </c>
      <c r="B3433" s="22" t="s">
        <v>79</v>
      </c>
      <c r="C3433" s="22" t="s">
        <v>57</v>
      </c>
      <c r="D3433" s="48" t="s">
        <v>11</v>
      </c>
      <c r="E3433" t="s">
        <v>177</v>
      </c>
      <c r="F3433">
        <v>2024</v>
      </c>
      <c r="G3433" t="s">
        <v>1178</v>
      </c>
      <c r="H3433" s="42" t="s">
        <v>1112</v>
      </c>
      <c r="J3433" t="s">
        <v>248</v>
      </c>
      <c r="L3433" s="34">
        <v>1</v>
      </c>
      <c r="M3433" s="38">
        <v>0.75</v>
      </c>
      <c r="N3433" s="38">
        <f t="shared" ref="N3433:N3496" si="65">M3433*L3433</f>
        <v>0.75</v>
      </c>
    </row>
    <row r="3434" spans="1:14">
      <c r="A3434" s="29">
        <v>45680</v>
      </c>
      <c r="B3434" s="22" t="s">
        <v>79</v>
      </c>
      <c r="C3434" s="22" t="s">
        <v>57</v>
      </c>
      <c r="D3434" s="48" t="s">
        <v>11</v>
      </c>
      <c r="E3434" t="s">
        <v>177</v>
      </c>
      <c r="F3434">
        <v>2024</v>
      </c>
      <c r="G3434" t="s">
        <v>1513</v>
      </c>
      <c r="H3434" s="42" t="s">
        <v>914</v>
      </c>
      <c r="J3434" t="s">
        <v>248</v>
      </c>
      <c r="L3434" s="34">
        <v>1</v>
      </c>
      <c r="M3434" s="38">
        <v>0.75</v>
      </c>
      <c r="N3434" s="38">
        <f t="shared" si="65"/>
        <v>0.75</v>
      </c>
    </row>
    <row r="3435" spans="1:14">
      <c r="A3435" s="29">
        <v>45680</v>
      </c>
      <c r="B3435" s="22" t="s">
        <v>79</v>
      </c>
      <c r="C3435" s="22" t="s">
        <v>57</v>
      </c>
      <c r="D3435" s="48" t="s">
        <v>11</v>
      </c>
      <c r="E3435" t="s">
        <v>177</v>
      </c>
      <c r="F3435">
        <v>2024</v>
      </c>
      <c r="G3435" t="s">
        <v>1178</v>
      </c>
      <c r="H3435" s="42" t="s">
        <v>1514</v>
      </c>
      <c r="J3435" t="s">
        <v>248</v>
      </c>
      <c r="L3435" s="34">
        <v>1</v>
      </c>
      <c r="M3435" s="38">
        <v>0.75</v>
      </c>
      <c r="N3435" s="38">
        <f t="shared" si="65"/>
        <v>0.75</v>
      </c>
    </row>
    <row r="3436" spans="1:14">
      <c r="A3436" s="29">
        <v>45701</v>
      </c>
      <c r="B3436" s="22" t="s">
        <v>16</v>
      </c>
      <c r="C3436" s="22" t="s">
        <v>49</v>
      </c>
      <c r="D3436" s="48" t="s">
        <v>5</v>
      </c>
      <c r="E3436" t="s">
        <v>159</v>
      </c>
      <c r="F3436">
        <v>2024</v>
      </c>
      <c r="G3436" t="s">
        <v>253</v>
      </c>
      <c r="H3436" s="42" t="s">
        <v>1480</v>
      </c>
      <c r="J3436" t="s">
        <v>248</v>
      </c>
      <c r="L3436" s="34">
        <v>3</v>
      </c>
      <c r="M3436" s="38">
        <v>0.75</v>
      </c>
      <c r="N3436" s="38">
        <f t="shared" si="65"/>
        <v>2.25</v>
      </c>
    </row>
    <row r="3437" spans="1:14">
      <c r="A3437" s="29">
        <v>45701</v>
      </c>
      <c r="B3437" s="22" t="s">
        <v>16</v>
      </c>
      <c r="C3437" s="22" t="s">
        <v>49</v>
      </c>
      <c r="D3437" s="48" t="s">
        <v>5</v>
      </c>
      <c r="E3437" t="s">
        <v>157</v>
      </c>
      <c r="F3437">
        <v>2024</v>
      </c>
      <c r="G3437" t="s">
        <v>252</v>
      </c>
      <c r="H3437" s="42" t="s">
        <v>1202</v>
      </c>
      <c r="J3437" t="s">
        <v>248</v>
      </c>
      <c r="L3437" s="34">
        <v>3</v>
      </c>
      <c r="M3437" s="38">
        <v>0.75</v>
      </c>
      <c r="N3437" s="38">
        <f t="shared" si="65"/>
        <v>2.25</v>
      </c>
    </row>
    <row r="3438" spans="1:14">
      <c r="A3438" s="29">
        <v>45701</v>
      </c>
      <c r="B3438" s="22" t="s">
        <v>16</v>
      </c>
      <c r="C3438" s="22" t="s">
        <v>49</v>
      </c>
      <c r="D3438" s="48" t="s">
        <v>5</v>
      </c>
      <c r="E3438" t="s">
        <v>255</v>
      </c>
      <c r="F3438">
        <v>2024</v>
      </c>
      <c r="H3438" s="42" t="s">
        <v>1302</v>
      </c>
      <c r="J3438" t="s">
        <v>248</v>
      </c>
      <c r="L3438" s="34">
        <v>3</v>
      </c>
      <c r="M3438" s="38">
        <v>0.75</v>
      </c>
      <c r="N3438" s="38">
        <f t="shared" si="65"/>
        <v>2.25</v>
      </c>
    </row>
    <row r="3439" spans="1:14">
      <c r="A3439" s="29">
        <v>45701</v>
      </c>
      <c r="B3439" s="22" t="s">
        <v>16</v>
      </c>
      <c r="C3439" s="22" t="s">
        <v>49</v>
      </c>
      <c r="D3439" s="48" t="s">
        <v>8</v>
      </c>
      <c r="E3439" t="s">
        <v>182</v>
      </c>
      <c r="F3439">
        <v>2024</v>
      </c>
      <c r="H3439" s="42" t="s">
        <v>1315</v>
      </c>
      <c r="J3439" t="s">
        <v>248</v>
      </c>
      <c r="L3439" s="34">
        <v>3</v>
      </c>
      <c r="M3439" s="38">
        <v>0.75</v>
      </c>
      <c r="N3439" s="38">
        <f t="shared" si="65"/>
        <v>2.25</v>
      </c>
    </row>
    <row r="3440" spans="1:14">
      <c r="A3440" s="29">
        <v>45701</v>
      </c>
      <c r="B3440" s="22" t="s">
        <v>16</v>
      </c>
      <c r="C3440" s="22" t="s">
        <v>49</v>
      </c>
      <c r="D3440" s="48" t="s">
        <v>8</v>
      </c>
      <c r="E3440" t="s">
        <v>178</v>
      </c>
      <c r="F3440">
        <v>2024</v>
      </c>
      <c r="H3440" s="42" t="s">
        <v>1508</v>
      </c>
      <c r="J3440" t="s">
        <v>248</v>
      </c>
      <c r="L3440" s="34">
        <v>3</v>
      </c>
      <c r="M3440" s="38">
        <v>0.75</v>
      </c>
      <c r="N3440" s="38">
        <f t="shared" si="65"/>
        <v>2.25</v>
      </c>
    </row>
    <row r="3441" spans="1:14">
      <c r="A3441" s="29">
        <v>45701</v>
      </c>
      <c r="B3441" s="22" t="s">
        <v>16</v>
      </c>
      <c r="C3441" s="22" t="s">
        <v>49</v>
      </c>
      <c r="D3441" s="48" t="s">
        <v>8</v>
      </c>
      <c r="E3441" t="s">
        <v>179</v>
      </c>
      <c r="F3441">
        <v>2024</v>
      </c>
      <c r="H3441" s="42" t="s">
        <v>1266</v>
      </c>
      <c r="J3441" t="s">
        <v>248</v>
      </c>
      <c r="L3441" s="34">
        <v>3</v>
      </c>
      <c r="M3441" s="38">
        <v>0.75</v>
      </c>
      <c r="N3441" s="38">
        <f t="shared" si="65"/>
        <v>2.25</v>
      </c>
    </row>
    <row r="3442" spans="1:14">
      <c r="A3442" s="29">
        <v>45701</v>
      </c>
      <c r="B3442" s="22" t="s">
        <v>16</v>
      </c>
      <c r="C3442" s="22" t="s">
        <v>49</v>
      </c>
      <c r="D3442" s="48" t="s">
        <v>5</v>
      </c>
      <c r="E3442" t="s">
        <v>158</v>
      </c>
      <c r="F3442">
        <v>2024</v>
      </c>
      <c r="H3442" s="42" t="s">
        <v>1317</v>
      </c>
      <c r="J3442" t="s">
        <v>248</v>
      </c>
      <c r="L3442" s="34">
        <v>3</v>
      </c>
      <c r="M3442" s="38">
        <v>0.75</v>
      </c>
      <c r="N3442" s="38">
        <f t="shared" si="65"/>
        <v>2.25</v>
      </c>
    </row>
    <row r="3443" spans="1:14">
      <c r="A3443" s="29">
        <v>45705</v>
      </c>
      <c r="B3443" s="22" t="s">
        <v>63</v>
      </c>
      <c r="C3443" s="22" t="s">
        <v>57</v>
      </c>
      <c r="D3443" s="48" t="s">
        <v>5</v>
      </c>
      <c r="E3443" t="s">
        <v>267</v>
      </c>
      <c r="F3443">
        <v>2024</v>
      </c>
      <c r="H3443" s="42" t="s">
        <v>1500</v>
      </c>
      <c r="J3443" t="s">
        <v>248</v>
      </c>
      <c r="K3443" t="s">
        <v>1515</v>
      </c>
      <c r="L3443" s="34">
        <v>3</v>
      </c>
      <c r="M3443" s="38">
        <v>0.75</v>
      </c>
      <c r="N3443" s="38">
        <f t="shared" si="65"/>
        <v>2.25</v>
      </c>
    </row>
    <row r="3444" spans="1:14">
      <c r="A3444" s="29">
        <v>45705</v>
      </c>
      <c r="B3444" s="22" t="s">
        <v>63</v>
      </c>
      <c r="C3444" s="22" t="s">
        <v>57</v>
      </c>
      <c r="D3444" s="48" t="s">
        <v>5</v>
      </c>
      <c r="E3444" t="s">
        <v>267</v>
      </c>
      <c r="F3444">
        <v>2024</v>
      </c>
      <c r="H3444" s="42" t="s">
        <v>1456</v>
      </c>
      <c r="J3444" t="s">
        <v>248</v>
      </c>
      <c r="K3444" t="s">
        <v>1516</v>
      </c>
      <c r="L3444" s="34">
        <v>3</v>
      </c>
      <c r="M3444" s="38">
        <v>0.75</v>
      </c>
      <c r="N3444" s="38">
        <f t="shared" si="65"/>
        <v>2.25</v>
      </c>
    </row>
    <row r="3445" spans="1:14">
      <c r="A3445" s="29">
        <v>45707</v>
      </c>
      <c r="B3445" s="22" t="s">
        <v>109</v>
      </c>
      <c r="C3445" s="22" t="s">
        <v>57</v>
      </c>
      <c r="D3445" s="48" t="s">
        <v>5</v>
      </c>
      <c r="E3445" t="s">
        <v>308</v>
      </c>
      <c r="F3445">
        <v>2024</v>
      </c>
      <c r="H3445" s="42" t="s">
        <v>1197</v>
      </c>
      <c r="J3445" t="s">
        <v>248</v>
      </c>
      <c r="L3445" s="34">
        <v>13</v>
      </c>
      <c r="M3445" s="38">
        <v>0.75</v>
      </c>
      <c r="N3445" s="38">
        <f t="shared" si="65"/>
        <v>9.75</v>
      </c>
    </row>
    <row r="3446" spans="1:14">
      <c r="A3446" s="29">
        <v>45707</v>
      </c>
      <c r="B3446" s="22" t="s">
        <v>109</v>
      </c>
      <c r="C3446" s="22" t="s">
        <v>57</v>
      </c>
      <c r="D3446" s="48" t="s">
        <v>5</v>
      </c>
      <c r="E3446" t="s">
        <v>503</v>
      </c>
      <c r="F3446">
        <v>2024</v>
      </c>
      <c r="H3446" s="42" t="s">
        <v>1218</v>
      </c>
      <c r="J3446" t="s">
        <v>248</v>
      </c>
      <c r="L3446" s="34">
        <v>1</v>
      </c>
      <c r="M3446" s="38">
        <v>0.75</v>
      </c>
      <c r="N3446" s="38">
        <f t="shared" si="65"/>
        <v>0.75</v>
      </c>
    </row>
    <row r="3447" spans="1:14">
      <c r="A3447" s="29">
        <v>45707</v>
      </c>
      <c r="B3447" s="22" t="s">
        <v>57</v>
      </c>
      <c r="C3447" s="22" t="s">
        <v>55</v>
      </c>
      <c r="D3447" s="48" t="s">
        <v>5</v>
      </c>
      <c r="E3447" t="s">
        <v>255</v>
      </c>
      <c r="F3447">
        <v>2024</v>
      </c>
      <c r="H3447" s="42" t="s">
        <v>1372</v>
      </c>
      <c r="J3447" t="s">
        <v>248</v>
      </c>
      <c r="L3447" s="34">
        <v>8</v>
      </c>
      <c r="M3447" s="38">
        <v>0.75</v>
      </c>
      <c r="N3447" s="38">
        <f t="shared" si="65"/>
        <v>6</v>
      </c>
    </row>
    <row r="3448" spans="1:14">
      <c r="A3448" s="29">
        <v>45707</v>
      </c>
      <c r="B3448" s="22" t="s">
        <v>57</v>
      </c>
      <c r="C3448" s="22" t="s">
        <v>55</v>
      </c>
      <c r="D3448" s="48" t="s">
        <v>5</v>
      </c>
      <c r="E3448" t="s">
        <v>157</v>
      </c>
      <c r="F3448">
        <v>2024</v>
      </c>
      <c r="H3448" s="42" t="s">
        <v>1202</v>
      </c>
      <c r="J3448" t="s">
        <v>248</v>
      </c>
      <c r="L3448" s="34">
        <v>8</v>
      </c>
      <c r="M3448" s="38">
        <v>0.75</v>
      </c>
      <c r="N3448" s="38">
        <f t="shared" si="65"/>
        <v>6</v>
      </c>
    </row>
    <row r="3449" spans="1:14">
      <c r="A3449" s="29">
        <v>45708</v>
      </c>
      <c r="B3449" s="22" t="s">
        <v>16</v>
      </c>
      <c r="C3449" s="22" t="s">
        <v>49</v>
      </c>
      <c r="D3449" s="48" t="s">
        <v>5</v>
      </c>
      <c r="E3449" t="s">
        <v>1278</v>
      </c>
      <c r="F3449">
        <v>2024</v>
      </c>
      <c r="H3449" s="42" t="s">
        <v>1499</v>
      </c>
      <c r="J3449" t="s">
        <v>248</v>
      </c>
      <c r="L3449" s="34">
        <v>4</v>
      </c>
      <c r="M3449" s="38">
        <v>0.75</v>
      </c>
      <c r="N3449" s="38">
        <f t="shared" si="65"/>
        <v>3</v>
      </c>
    </row>
    <row r="3450" spans="1:14">
      <c r="A3450" s="29">
        <v>45709</v>
      </c>
      <c r="B3450" s="22" t="s">
        <v>63</v>
      </c>
      <c r="C3450" s="22" t="s">
        <v>57</v>
      </c>
      <c r="D3450" s="48" t="s">
        <v>5</v>
      </c>
      <c r="E3450" t="s">
        <v>159</v>
      </c>
      <c r="F3450">
        <v>2024</v>
      </c>
      <c r="G3450" t="s">
        <v>252</v>
      </c>
      <c r="H3450" s="42" t="s">
        <v>1389</v>
      </c>
      <c r="J3450" t="s">
        <v>248</v>
      </c>
      <c r="L3450" s="34">
        <v>3</v>
      </c>
      <c r="M3450" s="38">
        <v>0.75</v>
      </c>
      <c r="N3450" s="38">
        <f t="shared" si="65"/>
        <v>2.25</v>
      </c>
    </row>
    <row r="3451" spans="1:14">
      <c r="A3451" s="29">
        <v>45709</v>
      </c>
      <c r="B3451" s="22" t="s">
        <v>63</v>
      </c>
      <c r="C3451" s="22" t="s">
        <v>57</v>
      </c>
      <c r="D3451" s="48" t="s">
        <v>5</v>
      </c>
      <c r="E3451" t="s">
        <v>159</v>
      </c>
      <c r="F3451">
        <v>2024</v>
      </c>
      <c r="G3451" t="s">
        <v>253</v>
      </c>
      <c r="H3451" s="42" t="s">
        <v>1480</v>
      </c>
      <c r="J3451" t="s">
        <v>248</v>
      </c>
      <c r="L3451" s="34">
        <v>3</v>
      </c>
      <c r="M3451" s="38">
        <v>0.75</v>
      </c>
      <c r="N3451" s="38">
        <f t="shared" si="65"/>
        <v>2.25</v>
      </c>
    </row>
    <row r="3452" spans="1:14">
      <c r="A3452" s="29">
        <v>45709</v>
      </c>
      <c r="B3452" s="22" t="s">
        <v>63</v>
      </c>
      <c r="C3452" s="22" t="s">
        <v>57</v>
      </c>
      <c r="D3452" s="48" t="s">
        <v>11</v>
      </c>
      <c r="E3452" t="s">
        <v>1517</v>
      </c>
      <c r="F3452">
        <v>2024</v>
      </c>
      <c r="H3452" s="42" t="s">
        <v>1237</v>
      </c>
      <c r="J3452" t="s">
        <v>248</v>
      </c>
      <c r="K3452" t="s">
        <v>1518</v>
      </c>
      <c r="L3452" s="34">
        <v>2</v>
      </c>
      <c r="M3452" s="38">
        <v>0.75</v>
      </c>
      <c r="N3452" s="38">
        <f t="shared" si="65"/>
        <v>1.5</v>
      </c>
    </row>
    <row r="3453" spans="1:14">
      <c r="A3453" s="29">
        <v>45722</v>
      </c>
      <c r="B3453" s="22" t="s">
        <v>75</v>
      </c>
      <c r="C3453" s="22" t="s">
        <v>151</v>
      </c>
      <c r="D3453" s="48" t="s">
        <v>8</v>
      </c>
      <c r="E3453" t="s">
        <v>194</v>
      </c>
      <c r="F3453">
        <v>2024</v>
      </c>
      <c r="H3453" s="42" t="s">
        <v>1369</v>
      </c>
      <c r="J3453" t="s">
        <v>248</v>
      </c>
      <c r="K3453" t="s">
        <v>1519</v>
      </c>
      <c r="L3453" s="34">
        <v>2</v>
      </c>
      <c r="M3453" s="38">
        <v>0.75</v>
      </c>
      <c r="N3453" s="38">
        <f t="shared" si="65"/>
        <v>1.5</v>
      </c>
    </row>
    <row r="3454" spans="1:14">
      <c r="A3454" s="29">
        <v>45722</v>
      </c>
      <c r="B3454" s="22" t="s">
        <v>75</v>
      </c>
      <c r="C3454" s="22" t="s">
        <v>151</v>
      </c>
      <c r="D3454" s="48" t="s">
        <v>8</v>
      </c>
      <c r="E3454" t="s">
        <v>1520</v>
      </c>
      <c r="F3454">
        <v>2024</v>
      </c>
      <c r="H3454" s="42" t="s">
        <v>1287</v>
      </c>
      <c r="J3454" t="s">
        <v>248</v>
      </c>
      <c r="K3454" t="s">
        <v>1521</v>
      </c>
      <c r="L3454" s="34">
        <v>3</v>
      </c>
      <c r="M3454" s="38">
        <v>0.75</v>
      </c>
      <c r="N3454" s="38">
        <f t="shared" si="65"/>
        <v>2.25</v>
      </c>
    </row>
    <row r="3455" spans="1:14">
      <c r="A3455" s="29">
        <v>45722</v>
      </c>
      <c r="B3455" s="22" t="s">
        <v>75</v>
      </c>
      <c r="C3455" s="22" t="s">
        <v>151</v>
      </c>
      <c r="D3455" s="48" t="s">
        <v>8</v>
      </c>
      <c r="E3455" t="s">
        <v>1474</v>
      </c>
      <c r="F3455">
        <v>2024</v>
      </c>
      <c r="H3455" s="42" t="s">
        <v>1522</v>
      </c>
      <c r="J3455" t="s">
        <v>248</v>
      </c>
      <c r="K3455" t="s">
        <v>1523</v>
      </c>
      <c r="L3455" s="34">
        <v>3</v>
      </c>
      <c r="M3455" s="38">
        <v>0.75</v>
      </c>
      <c r="N3455" s="38">
        <f t="shared" si="65"/>
        <v>2.25</v>
      </c>
    </row>
    <row r="3456" spans="1:14">
      <c r="A3456" s="29">
        <v>45726</v>
      </c>
      <c r="B3456" s="22" t="s">
        <v>75</v>
      </c>
      <c r="C3456" s="22" t="s">
        <v>151</v>
      </c>
      <c r="D3456" s="48" t="s">
        <v>8</v>
      </c>
      <c r="E3456" t="s">
        <v>1130</v>
      </c>
      <c r="F3456">
        <v>2024</v>
      </c>
      <c r="H3456" s="42" t="s">
        <v>1508</v>
      </c>
      <c r="J3456" t="s">
        <v>248</v>
      </c>
      <c r="K3456" t="s">
        <v>1524</v>
      </c>
      <c r="L3456" s="34">
        <v>2</v>
      </c>
      <c r="M3456" s="38">
        <v>0.75</v>
      </c>
      <c r="N3456" s="38">
        <f t="shared" si="65"/>
        <v>1.5</v>
      </c>
    </row>
    <row r="3457" spans="1:14">
      <c r="A3457" s="29">
        <v>45728</v>
      </c>
      <c r="B3457" s="22" t="s">
        <v>57</v>
      </c>
      <c r="C3457" s="22" t="s">
        <v>151</v>
      </c>
      <c r="D3457" s="48" t="s">
        <v>5</v>
      </c>
      <c r="E3457" t="s">
        <v>161</v>
      </c>
      <c r="F3457">
        <v>2024</v>
      </c>
      <c r="H3457" s="42" t="s">
        <v>1500</v>
      </c>
      <c r="J3457" t="s">
        <v>248</v>
      </c>
      <c r="K3457" t="s">
        <v>1525</v>
      </c>
      <c r="L3457" s="34">
        <v>2</v>
      </c>
      <c r="M3457" s="38">
        <v>0.75</v>
      </c>
      <c r="N3457" s="38">
        <f t="shared" si="65"/>
        <v>1.5</v>
      </c>
    </row>
    <row r="3458" spans="1:14">
      <c r="A3458" s="29">
        <v>45728</v>
      </c>
      <c r="B3458" s="22" t="s">
        <v>57</v>
      </c>
      <c r="C3458" s="22" t="s">
        <v>151</v>
      </c>
      <c r="D3458" s="48" t="s">
        <v>5</v>
      </c>
      <c r="E3458" t="s">
        <v>1526</v>
      </c>
      <c r="F3458">
        <v>2024</v>
      </c>
      <c r="H3458" s="42" t="s">
        <v>1449</v>
      </c>
      <c r="J3458" t="s">
        <v>248</v>
      </c>
      <c r="K3458" t="s">
        <v>1527</v>
      </c>
      <c r="L3458" s="34">
        <v>2</v>
      </c>
      <c r="M3458" s="38">
        <v>0.75</v>
      </c>
      <c r="N3458" s="38">
        <f t="shared" si="65"/>
        <v>1.5</v>
      </c>
    </row>
    <row r="3459" spans="1:14">
      <c r="A3459" s="29">
        <v>45729</v>
      </c>
      <c r="B3459" s="22" t="s">
        <v>49</v>
      </c>
      <c r="C3459" s="22" t="s">
        <v>16</v>
      </c>
      <c r="D3459" s="48" t="s">
        <v>5</v>
      </c>
      <c r="E3459" t="s">
        <v>1528</v>
      </c>
      <c r="F3459">
        <v>2024</v>
      </c>
      <c r="H3459" s="42" t="s">
        <v>1500</v>
      </c>
      <c r="J3459" t="s">
        <v>248</v>
      </c>
      <c r="L3459" s="34">
        <v>2</v>
      </c>
      <c r="M3459" s="38">
        <v>0.75</v>
      </c>
      <c r="N3459" s="38">
        <f t="shared" si="65"/>
        <v>1.5</v>
      </c>
    </row>
    <row r="3460" spans="1:14">
      <c r="A3460" s="29">
        <v>45729</v>
      </c>
      <c r="B3460" s="22" t="s">
        <v>49</v>
      </c>
      <c r="C3460" s="22" t="s">
        <v>16</v>
      </c>
      <c r="D3460" s="48" t="s">
        <v>5</v>
      </c>
      <c r="E3460" t="s">
        <v>158</v>
      </c>
      <c r="F3460">
        <v>2024</v>
      </c>
      <c r="H3460" s="42" t="s">
        <v>1529</v>
      </c>
      <c r="J3460" t="s">
        <v>248</v>
      </c>
      <c r="L3460" s="34">
        <v>2</v>
      </c>
      <c r="M3460" s="38">
        <v>0.75</v>
      </c>
      <c r="N3460" s="38">
        <f t="shared" si="65"/>
        <v>1.5</v>
      </c>
    </row>
    <row r="3461" spans="1:14">
      <c r="A3461" s="29">
        <v>45729</v>
      </c>
      <c r="B3461" s="22" t="s">
        <v>49</v>
      </c>
      <c r="C3461" s="22" t="s">
        <v>16</v>
      </c>
      <c r="D3461" s="48" t="s">
        <v>8</v>
      </c>
      <c r="E3461" t="s">
        <v>189</v>
      </c>
      <c r="F3461">
        <v>2024</v>
      </c>
      <c r="H3461" s="42" t="s">
        <v>1277</v>
      </c>
      <c r="J3461" t="s">
        <v>248</v>
      </c>
      <c r="L3461" s="34">
        <v>2</v>
      </c>
      <c r="M3461" s="38">
        <v>0.75</v>
      </c>
      <c r="N3461" s="38">
        <f t="shared" si="65"/>
        <v>1.5</v>
      </c>
    </row>
    <row r="3462" spans="1:14">
      <c r="A3462" s="29">
        <v>45729</v>
      </c>
      <c r="B3462" s="22" t="s">
        <v>49</v>
      </c>
      <c r="C3462" s="22" t="s">
        <v>16</v>
      </c>
      <c r="D3462" s="48" t="s">
        <v>8</v>
      </c>
      <c r="E3462" t="s">
        <v>1474</v>
      </c>
      <c r="F3462">
        <v>2024</v>
      </c>
      <c r="H3462" s="42" t="s">
        <v>1508</v>
      </c>
      <c r="J3462" t="s">
        <v>248</v>
      </c>
      <c r="L3462" s="34">
        <v>2</v>
      </c>
      <c r="M3462" s="38">
        <v>0.75</v>
      </c>
      <c r="N3462" s="38">
        <f t="shared" si="65"/>
        <v>1.5</v>
      </c>
    </row>
    <row r="3463" spans="1:14">
      <c r="A3463" s="29">
        <v>45729</v>
      </c>
      <c r="B3463" s="22" t="s">
        <v>49</v>
      </c>
      <c r="C3463" s="22" t="s">
        <v>16</v>
      </c>
      <c r="D3463" s="48" t="s">
        <v>8</v>
      </c>
      <c r="E3463" t="s">
        <v>191</v>
      </c>
      <c r="F3463">
        <v>2024</v>
      </c>
      <c r="H3463" s="42" t="s">
        <v>1266</v>
      </c>
      <c r="J3463" t="s">
        <v>248</v>
      </c>
      <c r="L3463" s="34">
        <v>2</v>
      </c>
      <c r="M3463" s="38">
        <v>0.75</v>
      </c>
      <c r="N3463" s="38">
        <f t="shared" si="65"/>
        <v>1.5</v>
      </c>
    </row>
    <row r="3464" spans="1:14">
      <c r="A3464" s="29">
        <v>45740</v>
      </c>
      <c r="B3464" s="22" t="s">
        <v>75</v>
      </c>
      <c r="C3464" s="22" t="s">
        <v>151</v>
      </c>
      <c r="D3464" s="48" t="s">
        <v>8</v>
      </c>
      <c r="E3464" t="s">
        <v>1130</v>
      </c>
      <c r="F3464">
        <v>2024</v>
      </c>
      <c r="H3464" s="42" t="s">
        <v>1508</v>
      </c>
      <c r="J3464" t="s">
        <v>248</v>
      </c>
      <c r="K3464" t="s">
        <v>1524</v>
      </c>
      <c r="L3464" s="34">
        <v>2</v>
      </c>
      <c r="M3464" s="38">
        <v>0.75</v>
      </c>
      <c r="N3464" s="38">
        <f t="shared" ref="N3464:N3467" si="66">M3464*L3464</f>
        <v>1.5</v>
      </c>
    </row>
    <row r="3465" spans="1:14">
      <c r="A3465" s="29">
        <v>45791</v>
      </c>
      <c r="B3465" s="22" t="s">
        <v>75</v>
      </c>
      <c r="C3465" s="22" t="s">
        <v>151</v>
      </c>
      <c r="D3465" s="48" t="s">
        <v>8</v>
      </c>
      <c r="E3465" t="s">
        <v>194</v>
      </c>
      <c r="F3465">
        <v>2024</v>
      </c>
      <c r="H3465" s="42" t="s">
        <v>1369</v>
      </c>
      <c r="J3465" t="s">
        <v>248</v>
      </c>
      <c r="K3465" t="s">
        <v>1519</v>
      </c>
      <c r="L3465" s="34">
        <v>2</v>
      </c>
      <c r="M3465" s="38">
        <v>0.75</v>
      </c>
      <c r="N3465" s="38">
        <f t="shared" si="66"/>
        <v>1.5</v>
      </c>
    </row>
    <row r="3466" spans="1:14">
      <c r="A3466" s="29">
        <v>45722</v>
      </c>
      <c r="B3466" s="22" t="s">
        <v>75</v>
      </c>
      <c r="C3466" s="22" t="s">
        <v>151</v>
      </c>
      <c r="D3466" s="48" t="s">
        <v>8</v>
      </c>
      <c r="E3466" t="s">
        <v>1520</v>
      </c>
      <c r="F3466">
        <v>2024</v>
      </c>
      <c r="H3466" s="42" t="s">
        <v>1504</v>
      </c>
      <c r="J3466" t="s">
        <v>248</v>
      </c>
      <c r="K3466" t="s">
        <v>1521</v>
      </c>
      <c r="L3466" s="34">
        <v>3</v>
      </c>
      <c r="M3466" s="38">
        <v>0.75</v>
      </c>
      <c r="N3466" s="38">
        <f t="shared" si="66"/>
        <v>2.25</v>
      </c>
    </row>
    <row r="3467" spans="1:14">
      <c r="A3467" s="29">
        <v>45722</v>
      </c>
      <c r="B3467" s="22" t="s">
        <v>75</v>
      </c>
      <c r="C3467" s="22" t="s">
        <v>151</v>
      </c>
      <c r="D3467" s="48" t="s">
        <v>8</v>
      </c>
      <c r="E3467" t="s">
        <v>1474</v>
      </c>
      <c r="F3467">
        <v>2024</v>
      </c>
      <c r="H3467" s="42" t="s">
        <v>1522</v>
      </c>
      <c r="J3467" t="s">
        <v>248</v>
      </c>
      <c r="K3467" t="s">
        <v>1523</v>
      </c>
      <c r="L3467" s="34">
        <v>3</v>
      </c>
      <c r="M3467" s="38">
        <v>0.75</v>
      </c>
      <c r="N3467" s="38">
        <f t="shared" si="66"/>
        <v>2.25</v>
      </c>
    </row>
    <row r="3468" spans="1:14">
      <c r="A3468" s="29">
        <v>45803</v>
      </c>
      <c r="B3468" s="22" t="s">
        <v>96</v>
      </c>
      <c r="C3468" s="22" t="s">
        <v>57</v>
      </c>
      <c r="D3468" s="48" t="s">
        <v>8</v>
      </c>
      <c r="E3468" t="s">
        <v>189</v>
      </c>
      <c r="F3468">
        <v>2024</v>
      </c>
      <c r="H3468" s="42" t="s">
        <v>1305</v>
      </c>
      <c r="J3468" t="s">
        <v>248</v>
      </c>
      <c r="K3468" t="s">
        <v>1530</v>
      </c>
      <c r="L3468" s="34">
        <v>2</v>
      </c>
      <c r="M3468" s="38">
        <v>0.75</v>
      </c>
      <c r="N3468" s="38">
        <f t="shared" si="65"/>
        <v>1.5</v>
      </c>
    </row>
    <row r="3469" spans="1:14">
      <c r="A3469" s="29">
        <v>45803</v>
      </c>
      <c r="B3469" s="22" t="s">
        <v>96</v>
      </c>
      <c r="C3469" s="22" t="s">
        <v>57</v>
      </c>
      <c r="D3469" s="48" t="s">
        <v>8</v>
      </c>
      <c r="E3469" t="s">
        <v>189</v>
      </c>
      <c r="F3469">
        <v>2024</v>
      </c>
      <c r="H3469" s="42" t="s">
        <v>1373</v>
      </c>
      <c r="J3469" t="s">
        <v>248</v>
      </c>
      <c r="K3469" t="s">
        <v>1531</v>
      </c>
      <c r="L3469" s="34">
        <v>2</v>
      </c>
      <c r="M3469" s="38">
        <v>0.75</v>
      </c>
      <c r="N3469" s="38">
        <f t="shared" si="65"/>
        <v>1.5</v>
      </c>
    </row>
    <row r="3470" spans="1:14">
      <c r="A3470" s="29">
        <v>45803</v>
      </c>
      <c r="B3470" s="22" t="s">
        <v>96</v>
      </c>
      <c r="C3470" s="22" t="s">
        <v>57</v>
      </c>
      <c r="D3470" s="48" t="s">
        <v>8</v>
      </c>
      <c r="E3470" t="s">
        <v>189</v>
      </c>
      <c r="F3470">
        <v>2024</v>
      </c>
      <c r="H3470" s="42" t="s">
        <v>1250</v>
      </c>
      <c r="J3470" t="s">
        <v>248</v>
      </c>
      <c r="K3470" t="s">
        <v>1532</v>
      </c>
      <c r="L3470" s="34">
        <v>2</v>
      </c>
      <c r="M3470" s="38">
        <v>0.75</v>
      </c>
      <c r="N3470" s="38">
        <f t="shared" si="65"/>
        <v>1.5</v>
      </c>
    </row>
    <row r="3471" spans="1:14">
      <c r="A3471" s="29">
        <v>45803</v>
      </c>
      <c r="B3471" s="22" t="s">
        <v>96</v>
      </c>
      <c r="C3471" s="22" t="s">
        <v>57</v>
      </c>
      <c r="D3471" s="48" t="s">
        <v>8</v>
      </c>
      <c r="E3471" t="s">
        <v>189</v>
      </c>
      <c r="F3471">
        <v>2024</v>
      </c>
      <c r="H3471" s="42" t="s">
        <v>1271</v>
      </c>
      <c r="J3471" t="s">
        <v>248</v>
      </c>
      <c r="K3471" t="s">
        <v>1533</v>
      </c>
      <c r="L3471" s="34">
        <v>2</v>
      </c>
      <c r="M3471" s="38">
        <v>0.75</v>
      </c>
      <c r="N3471" s="38">
        <f t="shared" si="65"/>
        <v>1.5</v>
      </c>
    </row>
    <row r="3472" spans="1:14">
      <c r="A3472" s="29">
        <v>45803</v>
      </c>
      <c r="B3472" s="22" t="s">
        <v>88</v>
      </c>
      <c r="C3472" s="22" t="s">
        <v>57</v>
      </c>
      <c r="D3472" s="48" t="s">
        <v>5</v>
      </c>
      <c r="E3472" t="s">
        <v>262</v>
      </c>
      <c r="F3472">
        <v>2024</v>
      </c>
      <c r="H3472" s="42" t="s">
        <v>1445</v>
      </c>
      <c r="J3472" t="s">
        <v>248</v>
      </c>
      <c r="L3472" s="34">
        <v>2</v>
      </c>
      <c r="M3472" s="38">
        <v>0.75</v>
      </c>
      <c r="N3472" s="38">
        <f t="shared" si="65"/>
        <v>1.5</v>
      </c>
    </row>
    <row r="3473" spans="1:14">
      <c r="A3473" s="29">
        <v>45803</v>
      </c>
      <c r="B3473" s="22" t="s">
        <v>88</v>
      </c>
      <c r="C3473" s="22" t="s">
        <v>57</v>
      </c>
      <c r="D3473" s="48" t="s">
        <v>5</v>
      </c>
      <c r="E3473" t="s">
        <v>1534</v>
      </c>
      <c r="F3473">
        <v>2024</v>
      </c>
      <c r="H3473" s="42" t="s">
        <v>1325</v>
      </c>
      <c r="J3473" t="s">
        <v>248</v>
      </c>
      <c r="K3473" t="s">
        <v>160</v>
      </c>
      <c r="L3473" s="34">
        <v>2</v>
      </c>
      <c r="M3473" s="38">
        <v>0.75</v>
      </c>
      <c r="N3473" s="38">
        <f t="shared" si="65"/>
        <v>1.5</v>
      </c>
    </row>
    <row r="3474" spans="1:14">
      <c r="A3474" s="29">
        <v>45803</v>
      </c>
      <c r="B3474" s="22" t="s">
        <v>88</v>
      </c>
      <c r="C3474" s="22" t="s">
        <v>57</v>
      </c>
      <c r="D3474" s="48" t="s">
        <v>5</v>
      </c>
      <c r="E3474" t="s">
        <v>158</v>
      </c>
      <c r="F3474">
        <v>2024</v>
      </c>
      <c r="H3474" s="42" t="s">
        <v>1304</v>
      </c>
      <c r="J3474" t="s">
        <v>248</v>
      </c>
      <c r="L3474" s="34">
        <v>2</v>
      </c>
      <c r="M3474" s="38">
        <v>0.75</v>
      </c>
      <c r="N3474" s="38">
        <f t="shared" si="65"/>
        <v>1.5</v>
      </c>
    </row>
    <row r="3475" spans="1:14">
      <c r="A3475" s="29">
        <v>45856</v>
      </c>
      <c r="B3475" s="22" t="s">
        <v>109</v>
      </c>
      <c r="C3475" s="22" t="s">
        <v>57</v>
      </c>
      <c r="D3475" s="48" t="s">
        <v>5</v>
      </c>
      <c r="E3475" t="s">
        <v>308</v>
      </c>
      <c r="F3475">
        <v>2024</v>
      </c>
      <c r="H3475" s="42" t="s">
        <v>933</v>
      </c>
      <c r="J3475" t="s">
        <v>248</v>
      </c>
      <c r="L3475" s="34">
        <v>3</v>
      </c>
      <c r="M3475" s="38">
        <v>0.75</v>
      </c>
      <c r="N3475" s="38">
        <f t="shared" si="65"/>
        <v>2.25</v>
      </c>
    </row>
    <row r="3476" spans="1:14">
      <c r="A3476" s="29">
        <v>45856</v>
      </c>
      <c r="B3476" s="22" t="s">
        <v>16</v>
      </c>
      <c r="C3476" s="22" t="s">
        <v>49</v>
      </c>
      <c r="D3476" s="48" t="s">
        <v>5</v>
      </c>
      <c r="E3476" t="s">
        <v>159</v>
      </c>
      <c r="F3476">
        <v>2024</v>
      </c>
      <c r="G3476" t="s">
        <v>252</v>
      </c>
      <c r="H3476" s="42" t="s">
        <v>848</v>
      </c>
      <c r="J3476" t="s">
        <v>248</v>
      </c>
      <c r="L3476" s="34">
        <v>3</v>
      </c>
      <c r="M3476" s="38">
        <v>0.75</v>
      </c>
      <c r="N3476" s="38">
        <f t="shared" si="65"/>
        <v>2.25</v>
      </c>
    </row>
    <row r="3477" spans="1:14">
      <c r="A3477" s="29">
        <v>45859</v>
      </c>
      <c r="B3477" s="22" t="s">
        <v>79</v>
      </c>
      <c r="C3477" s="22" t="s">
        <v>57</v>
      </c>
      <c r="D3477" s="48" t="s">
        <v>5</v>
      </c>
      <c r="E3477" t="s">
        <v>262</v>
      </c>
      <c r="F3477">
        <v>2024</v>
      </c>
      <c r="G3477" t="s">
        <v>307</v>
      </c>
      <c r="H3477" s="42" t="s">
        <v>1213</v>
      </c>
      <c r="J3477" t="s">
        <v>248</v>
      </c>
      <c r="L3477" s="34">
        <v>6</v>
      </c>
      <c r="M3477" s="38">
        <v>0.75</v>
      </c>
      <c r="N3477" s="38">
        <f t="shared" si="65"/>
        <v>4.5</v>
      </c>
    </row>
    <row r="3478" spans="1:14">
      <c r="A3478" s="29">
        <v>45876</v>
      </c>
      <c r="B3478" s="22" t="s">
        <v>16</v>
      </c>
      <c r="C3478" s="22" t="s">
        <v>49</v>
      </c>
      <c r="D3478" s="48" t="s">
        <v>8</v>
      </c>
      <c r="E3478" t="s">
        <v>1535</v>
      </c>
      <c r="F3478">
        <v>2024</v>
      </c>
      <c r="G3478" t="s">
        <v>183</v>
      </c>
      <c r="H3478" s="42" t="s">
        <v>1369</v>
      </c>
      <c r="J3478" t="s">
        <v>248</v>
      </c>
      <c r="K3478" t="s">
        <v>357</v>
      </c>
      <c r="L3478" s="34">
        <v>2</v>
      </c>
      <c r="M3478" s="38">
        <v>0.75</v>
      </c>
      <c r="N3478" s="38">
        <f t="shared" si="65"/>
        <v>1.5</v>
      </c>
    </row>
    <row r="3479" spans="1:14">
      <c r="A3479" s="29">
        <v>45876</v>
      </c>
      <c r="B3479" s="22" t="s">
        <v>16</v>
      </c>
      <c r="C3479" s="22" t="s">
        <v>49</v>
      </c>
      <c r="D3479" s="48" t="s">
        <v>8</v>
      </c>
      <c r="E3479" t="s">
        <v>1536</v>
      </c>
      <c r="F3479">
        <v>2024</v>
      </c>
      <c r="G3479" t="s">
        <v>183</v>
      </c>
      <c r="H3479" s="42" t="s">
        <v>1304</v>
      </c>
      <c r="J3479" t="s">
        <v>248</v>
      </c>
      <c r="K3479" t="s">
        <v>359</v>
      </c>
      <c r="L3479" s="34">
        <v>2</v>
      </c>
      <c r="M3479" s="38">
        <v>0.75</v>
      </c>
      <c r="N3479" s="38">
        <f t="shared" si="65"/>
        <v>1.5</v>
      </c>
    </row>
    <row r="3480" spans="1:14">
      <c r="A3480" s="29">
        <v>45876</v>
      </c>
      <c r="B3480" s="22" t="s">
        <v>16</v>
      </c>
      <c r="C3480" s="22" t="s">
        <v>49</v>
      </c>
      <c r="D3480" s="48" t="s">
        <v>8</v>
      </c>
      <c r="E3480" t="s">
        <v>1537</v>
      </c>
      <c r="F3480">
        <v>2024</v>
      </c>
      <c r="G3480" t="s">
        <v>183</v>
      </c>
      <c r="H3480" s="42" t="s">
        <v>1354</v>
      </c>
      <c r="J3480" t="s">
        <v>248</v>
      </c>
      <c r="K3480" t="s">
        <v>263</v>
      </c>
      <c r="L3480" s="34">
        <v>2</v>
      </c>
      <c r="M3480" s="38">
        <v>0.75</v>
      </c>
      <c r="N3480" s="38">
        <f t="shared" si="65"/>
        <v>1.5</v>
      </c>
    </row>
    <row r="3481" spans="1:14">
      <c r="A3481" s="29">
        <v>45876</v>
      </c>
      <c r="B3481" s="22" t="s">
        <v>16</v>
      </c>
      <c r="C3481" s="22" t="s">
        <v>49</v>
      </c>
      <c r="D3481" s="48" t="s">
        <v>8</v>
      </c>
      <c r="E3481" t="s">
        <v>1538</v>
      </c>
      <c r="F3481">
        <v>2024</v>
      </c>
      <c r="G3481" t="s">
        <v>183</v>
      </c>
      <c r="H3481" s="42" t="s">
        <v>1356</v>
      </c>
      <c r="J3481" t="s">
        <v>248</v>
      </c>
      <c r="K3481" t="s">
        <v>600</v>
      </c>
      <c r="L3481" s="34">
        <v>2</v>
      </c>
      <c r="M3481" s="38">
        <v>0.75</v>
      </c>
      <c r="N3481" s="38">
        <f t="shared" si="65"/>
        <v>1.5</v>
      </c>
    </row>
    <row r="3482" spans="1:14">
      <c r="A3482" s="29">
        <v>45876</v>
      </c>
      <c r="B3482" s="22" t="s">
        <v>16</v>
      </c>
      <c r="C3482" s="22" t="s">
        <v>49</v>
      </c>
      <c r="D3482" s="48" t="s">
        <v>8</v>
      </c>
      <c r="E3482" t="s">
        <v>1539</v>
      </c>
      <c r="F3482">
        <v>2024</v>
      </c>
      <c r="G3482" t="s">
        <v>183</v>
      </c>
      <c r="H3482" s="42" t="s">
        <v>1482</v>
      </c>
      <c r="J3482" t="s">
        <v>248</v>
      </c>
      <c r="K3482" t="s">
        <v>1540</v>
      </c>
      <c r="L3482" s="34">
        <v>2</v>
      </c>
      <c r="M3482" s="38">
        <v>0.75</v>
      </c>
      <c r="N3482" s="38">
        <f t="shared" si="65"/>
        <v>1.5</v>
      </c>
    </row>
    <row r="3483" spans="1:14">
      <c r="A3483" s="29">
        <v>45876</v>
      </c>
      <c r="B3483" s="22" t="s">
        <v>16</v>
      </c>
      <c r="C3483" s="22" t="s">
        <v>49</v>
      </c>
      <c r="D3483" s="48" t="s">
        <v>8</v>
      </c>
      <c r="E3483" t="s">
        <v>1541</v>
      </c>
      <c r="F3483">
        <v>2024</v>
      </c>
      <c r="G3483" t="s">
        <v>183</v>
      </c>
      <c r="H3483" s="42" t="s">
        <v>1367</v>
      </c>
      <c r="J3483" t="s">
        <v>248</v>
      </c>
      <c r="K3483" t="s">
        <v>1542</v>
      </c>
      <c r="L3483" s="34">
        <v>2</v>
      </c>
      <c r="M3483" s="38">
        <v>0.75</v>
      </c>
      <c r="N3483" s="38">
        <f t="shared" si="65"/>
        <v>1.5</v>
      </c>
    </row>
    <row r="3484" spans="1:14">
      <c r="A3484" s="29">
        <v>45880</v>
      </c>
      <c r="B3484" s="22" t="s">
        <v>1543</v>
      </c>
      <c r="C3484" s="22" t="s">
        <v>57</v>
      </c>
      <c r="D3484" s="48" t="s">
        <v>5</v>
      </c>
      <c r="E3484" t="s">
        <v>1544</v>
      </c>
      <c r="F3484">
        <v>2024</v>
      </c>
      <c r="H3484" s="42" t="s">
        <v>1449</v>
      </c>
      <c r="J3484" t="s">
        <v>248</v>
      </c>
      <c r="K3484" t="s">
        <v>1545</v>
      </c>
      <c r="L3484" s="34">
        <v>2</v>
      </c>
      <c r="M3484" s="38">
        <v>0.75</v>
      </c>
      <c r="N3484" s="38">
        <f t="shared" si="65"/>
        <v>1.5</v>
      </c>
    </row>
    <row r="3485" spans="1:14">
      <c r="A3485" s="29">
        <v>45880</v>
      </c>
      <c r="B3485" s="22" t="s">
        <v>1543</v>
      </c>
      <c r="C3485" s="22" t="s">
        <v>57</v>
      </c>
      <c r="D3485" s="48" t="s">
        <v>5</v>
      </c>
      <c r="E3485" t="s">
        <v>1544</v>
      </c>
      <c r="F3485">
        <v>2024</v>
      </c>
      <c r="H3485" s="42" t="s">
        <v>1449</v>
      </c>
      <c r="J3485" t="s">
        <v>248</v>
      </c>
      <c r="K3485" t="s">
        <v>1546</v>
      </c>
      <c r="L3485" s="34">
        <v>2</v>
      </c>
      <c r="M3485" s="38">
        <v>0.75</v>
      </c>
      <c r="N3485" s="38">
        <f t="shared" si="65"/>
        <v>1.5</v>
      </c>
    </row>
    <row r="3486" spans="1:14">
      <c r="A3486" s="29">
        <v>45881</v>
      </c>
      <c r="B3486" s="22" t="s">
        <v>16</v>
      </c>
      <c r="C3486" s="22" t="s">
        <v>57</v>
      </c>
      <c r="D3486" s="48"/>
      <c r="H3486" s="42" t="s">
        <v>1356</v>
      </c>
      <c r="K3486" t="s">
        <v>357</v>
      </c>
      <c r="L3486" s="34">
        <v>2</v>
      </c>
      <c r="M3486" s="38">
        <v>0.75</v>
      </c>
      <c r="N3486" s="38">
        <f t="shared" si="65"/>
        <v>1.5</v>
      </c>
    </row>
    <row r="3487" spans="1:14">
      <c r="A3487" s="29">
        <v>45881</v>
      </c>
      <c r="B3487" s="22" t="s">
        <v>16</v>
      </c>
      <c r="C3487" s="22" t="s">
        <v>57</v>
      </c>
      <c r="D3487" s="48"/>
      <c r="H3487" s="42" t="s">
        <v>1304</v>
      </c>
      <c r="K3487" t="s">
        <v>359</v>
      </c>
      <c r="L3487" s="34">
        <v>2</v>
      </c>
      <c r="M3487" s="38">
        <v>0.75</v>
      </c>
      <c r="N3487" s="38">
        <f t="shared" si="65"/>
        <v>1.5</v>
      </c>
    </row>
    <row r="3488" spans="1:14">
      <c r="A3488" s="29">
        <v>45931</v>
      </c>
      <c r="B3488" s="22" t="s">
        <v>146</v>
      </c>
      <c r="C3488" s="22" t="s">
        <v>151</v>
      </c>
      <c r="D3488" s="48" t="s">
        <v>5</v>
      </c>
      <c r="E3488" t="s">
        <v>158</v>
      </c>
      <c r="F3488">
        <v>2025</v>
      </c>
      <c r="H3488" s="42" t="s">
        <v>1449</v>
      </c>
      <c r="J3488" t="s">
        <v>248</v>
      </c>
      <c r="K3488" t="s">
        <v>1547</v>
      </c>
      <c r="L3488" s="34">
        <v>4</v>
      </c>
      <c r="M3488" s="38">
        <v>0.75</v>
      </c>
      <c r="N3488" s="38">
        <f t="shared" si="65"/>
        <v>3</v>
      </c>
    </row>
    <row r="3489" spans="1:14">
      <c r="A3489" s="29">
        <v>45931</v>
      </c>
      <c r="B3489" s="22" t="s">
        <v>146</v>
      </c>
      <c r="C3489" s="22" t="s">
        <v>151</v>
      </c>
      <c r="D3489" s="48" t="s">
        <v>8</v>
      </c>
      <c r="E3489" t="s">
        <v>186</v>
      </c>
      <c r="F3489">
        <v>2025</v>
      </c>
      <c r="H3489" s="42" t="s">
        <v>1231</v>
      </c>
      <c r="J3489" t="s">
        <v>248</v>
      </c>
      <c r="K3489" t="s">
        <v>1412</v>
      </c>
      <c r="L3489" s="34">
        <v>3</v>
      </c>
      <c r="M3489" s="38">
        <v>0.75</v>
      </c>
      <c r="N3489" s="38">
        <f t="shared" si="65"/>
        <v>2.25</v>
      </c>
    </row>
    <row r="3490" spans="1:14">
      <c r="A3490" s="29">
        <v>45931</v>
      </c>
      <c r="B3490" s="22" t="s">
        <v>146</v>
      </c>
      <c r="C3490" s="22" t="s">
        <v>151</v>
      </c>
      <c r="D3490" s="48" t="s">
        <v>8</v>
      </c>
      <c r="E3490" t="s">
        <v>195</v>
      </c>
      <c r="F3490">
        <v>2025</v>
      </c>
      <c r="H3490" s="42" t="s">
        <v>898</v>
      </c>
      <c r="J3490" t="s">
        <v>248</v>
      </c>
      <c r="K3490" t="s">
        <v>1413</v>
      </c>
      <c r="L3490" s="34">
        <v>3</v>
      </c>
      <c r="M3490" s="38">
        <v>0.75</v>
      </c>
      <c r="N3490" s="38">
        <f t="shared" si="65"/>
        <v>2.25</v>
      </c>
    </row>
    <row r="3491" spans="1:14">
      <c r="A3491" s="29">
        <v>45934</v>
      </c>
      <c r="B3491" s="22" t="s">
        <v>156</v>
      </c>
      <c r="C3491" s="22" t="s">
        <v>57</v>
      </c>
      <c r="D3491" s="48" t="s">
        <v>8</v>
      </c>
      <c r="E3491" t="s">
        <v>186</v>
      </c>
      <c r="F3491">
        <v>2025</v>
      </c>
      <c r="H3491" s="42" t="s">
        <v>1231</v>
      </c>
      <c r="L3491" s="34">
        <v>3</v>
      </c>
      <c r="M3491" s="38">
        <v>0.75</v>
      </c>
      <c r="N3491" s="38">
        <f t="shared" si="65"/>
        <v>2.25</v>
      </c>
    </row>
    <row r="3492" spans="1:14">
      <c r="A3492" s="29">
        <v>45934</v>
      </c>
      <c r="B3492" s="22" t="s">
        <v>156</v>
      </c>
      <c r="C3492" s="22" t="s">
        <v>57</v>
      </c>
      <c r="D3492" s="48" t="s">
        <v>8</v>
      </c>
      <c r="E3492" t="s">
        <v>195</v>
      </c>
      <c r="F3492">
        <v>2025</v>
      </c>
      <c r="H3492" s="42"/>
      <c r="L3492" s="34">
        <v>3</v>
      </c>
      <c r="M3492" s="38">
        <v>0.75</v>
      </c>
      <c r="N3492" s="38">
        <f t="shared" si="65"/>
        <v>2.25</v>
      </c>
    </row>
    <row r="3493" spans="1:14">
      <c r="A3493" s="29">
        <v>45934</v>
      </c>
      <c r="B3493" s="22" t="s">
        <v>156</v>
      </c>
      <c r="C3493" s="22" t="s">
        <v>57</v>
      </c>
      <c r="D3493" s="48" t="s">
        <v>8</v>
      </c>
      <c r="E3493" t="s">
        <v>195</v>
      </c>
      <c r="F3493">
        <v>2025</v>
      </c>
      <c r="H3493" s="42"/>
      <c r="L3493" s="34">
        <v>3</v>
      </c>
      <c r="M3493" s="38">
        <v>0.75</v>
      </c>
      <c r="N3493" s="38">
        <f t="shared" si="65"/>
        <v>2.25</v>
      </c>
    </row>
    <row r="3494" spans="1:14">
      <c r="A3494" s="29">
        <v>45938</v>
      </c>
      <c r="B3494" s="22" t="s">
        <v>96</v>
      </c>
      <c r="C3494" s="22" t="s">
        <v>57</v>
      </c>
      <c r="D3494" s="48" t="s">
        <v>5</v>
      </c>
      <c r="E3494" t="s">
        <v>157</v>
      </c>
      <c r="F3494">
        <v>2025</v>
      </c>
      <c r="H3494" s="42">
        <v>3009</v>
      </c>
      <c r="J3494" t="s">
        <v>248</v>
      </c>
      <c r="K3494" t="s">
        <v>1548</v>
      </c>
      <c r="L3494" s="34">
        <v>2</v>
      </c>
      <c r="M3494" s="38">
        <v>0.75</v>
      </c>
      <c r="N3494" s="38">
        <f t="shared" si="65"/>
        <v>1.5</v>
      </c>
    </row>
    <row r="3495" spans="1:14">
      <c r="A3495" s="29">
        <v>45943</v>
      </c>
      <c r="B3495" s="22" t="s">
        <v>96</v>
      </c>
      <c r="C3495" s="22" t="s">
        <v>57</v>
      </c>
      <c r="D3495" s="48" t="s">
        <v>8</v>
      </c>
      <c r="E3495" t="s">
        <v>193</v>
      </c>
      <c r="F3495">
        <v>2025</v>
      </c>
      <c r="H3495" s="42" t="s">
        <v>1303</v>
      </c>
      <c r="J3495" t="s">
        <v>248</v>
      </c>
      <c r="L3495" s="34">
        <v>2</v>
      </c>
      <c r="M3495" s="38">
        <v>0.75</v>
      </c>
      <c r="N3495" s="38">
        <f t="shared" si="65"/>
        <v>1.5</v>
      </c>
    </row>
    <row r="3496" spans="1:14">
      <c r="A3496" s="29">
        <v>45943</v>
      </c>
      <c r="B3496" s="22" t="s">
        <v>96</v>
      </c>
      <c r="C3496" s="22" t="s">
        <v>57</v>
      </c>
      <c r="D3496" s="48" t="s">
        <v>8</v>
      </c>
      <c r="E3496" t="s">
        <v>182</v>
      </c>
      <c r="F3496">
        <v>2025</v>
      </c>
      <c r="H3496" s="42" t="s">
        <v>1231</v>
      </c>
      <c r="J3496" t="s">
        <v>248</v>
      </c>
      <c r="L3496" s="34">
        <v>2</v>
      </c>
      <c r="M3496" s="38">
        <v>0.75</v>
      </c>
      <c r="N3496" s="38">
        <f t="shared" si="65"/>
        <v>1.5</v>
      </c>
    </row>
    <row r="3497" spans="1:14">
      <c r="A3497" s="29">
        <v>45943</v>
      </c>
      <c r="B3497" s="22" t="s">
        <v>96</v>
      </c>
      <c r="C3497" s="22" t="s">
        <v>57</v>
      </c>
      <c r="D3497" s="48" t="s">
        <v>8</v>
      </c>
      <c r="E3497" t="s">
        <v>178</v>
      </c>
      <c r="F3497">
        <v>2025</v>
      </c>
      <c r="H3497" s="42" t="s">
        <v>1549</v>
      </c>
      <c r="J3497" t="s">
        <v>248</v>
      </c>
      <c r="L3497" s="34">
        <v>2</v>
      </c>
      <c r="M3497" s="38">
        <v>0.75</v>
      </c>
      <c r="N3497" s="38">
        <f t="shared" ref="N3497:N3502" si="67">M3497*L3497</f>
        <v>1.5</v>
      </c>
    </row>
    <row r="3498" spans="1:14">
      <c r="A3498" s="29">
        <v>45943</v>
      </c>
      <c r="B3498" s="22" t="s">
        <v>96</v>
      </c>
      <c r="C3498" s="22" t="s">
        <v>57</v>
      </c>
      <c r="D3498" s="48" t="s">
        <v>8</v>
      </c>
      <c r="E3498" t="s">
        <v>192</v>
      </c>
      <c r="F3498">
        <v>2025</v>
      </c>
      <c r="H3498" s="42" t="s">
        <v>1508</v>
      </c>
      <c r="J3498" t="s">
        <v>248</v>
      </c>
      <c r="L3498" s="34">
        <v>2</v>
      </c>
      <c r="M3498" s="38">
        <v>0.75</v>
      </c>
      <c r="N3498" s="38">
        <f t="shared" si="67"/>
        <v>1.5</v>
      </c>
    </row>
    <row r="3499" spans="1:14">
      <c r="A3499" s="29">
        <v>45943</v>
      </c>
      <c r="B3499" s="22" t="s">
        <v>96</v>
      </c>
      <c r="C3499" s="22" t="s">
        <v>57</v>
      </c>
      <c r="D3499" s="48" t="s">
        <v>8</v>
      </c>
      <c r="E3499" t="s">
        <v>193</v>
      </c>
      <c r="F3499">
        <v>2025</v>
      </c>
      <c r="H3499" s="42" t="s">
        <v>1550</v>
      </c>
      <c r="J3499" t="s">
        <v>248</v>
      </c>
      <c r="L3499" s="34">
        <v>2</v>
      </c>
      <c r="M3499" s="38">
        <v>0.75</v>
      </c>
      <c r="N3499" s="38">
        <f t="shared" si="67"/>
        <v>1.5</v>
      </c>
    </row>
    <row r="3500" spans="1:14">
      <c r="A3500" s="29">
        <v>45943</v>
      </c>
      <c r="B3500" s="22" t="s">
        <v>96</v>
      </c>
      <c r="C3500" s="22" t="s">
        <v>57</v>
      </c>
      <c r="D3500" s="48" t="s">
        <v>8</v>
      </c>
      <c r="E3500" t="s">
        <v>193</v>
      </c>
      <c r="F3500">
        <v>2025</v>
      </c>
      <c r="H3500" s="42" t="s">
        <v>1357</v>
      </c>
      <c r="J3500" t="s">
        <v>248</v>
      </c>
      <c r="L3500" s="34">
        <v>2</v>
      </c>
      <c r="M3500" s="38">
        <v>0.75</v>
      </c>
      <c r="N3500" s="38">
        <f t="shared" si="67"/>
        <v>1.5</v>
      </c>
    </row>
    <row r="3501" spans="1:14">
      <c r="A3501" s="29">
        <v>45943</v>
      </c>
      <c r="B3501" s="22" t="s">
        <v>96</v>
      </c>
      <c r="C3501" s="22" t="s">
        <v>57</v>
      </c>
      <c r="D3501" s="48" t="s">
        <v>8</v>
      </c>
      <c r="E3501" t="s">
        <v>182</v>
      </c>
      <c r="F3501">
        <v>2025</v>
      </c>
      <c r="H3501" s="42" t="s">
        <v>1551</v>
      </c>
      <c r="J3501" t="s">
        <v>248</v>
      </c>
      <c r="L3501" s="34">
        <v>2</v>
      </c>
      <c r="M3501" s="38">
        <v>0.75</v>
      </c>
      <c r="N3501" s="38">
        <f t="shared" si="67"/>
        <v>1.5</v>
      </c>
    </row>
    <row r="3502" spans="1:14">
      <c r="A3502" s="29">
        <v>45944</v>
      </c>
      <c r="B3502" s="22" t="s">
        <v>57</v>
      </c>
      <c r="C3502" s="22" t="s">
        <v>55</v>
      </c>
      <c r="D3502" s="48" t="s">
        <v>8</v>
      </c>
      <c r="E3502" t="s">
        <v>193</v>
      </c>
      <c r="F3502">
        <v>2025</v>
      </c>
      <c r="H3502" s="42" t="s">
        <v>1303</v>
      </c>
      <c r="J3502" t="s">
        <v>248</v>
      </c>
      <c r="K3502" t="s">
        <v>1136</v>
      </c>
      <c r="L3502" s="34">
        <v>3</v>
      </c>
      <c r="M3502" s="38">
        <v>0.75</v>
      </c>
      <c r="N3502" s="38">
        <f t="shared" si="67"/>
        <v>2.25</v>
      </c>
    </row>
    <row r="3503" spans="1:14">
      <c r="A3503" s="29">
        <v>45944</v>
      </c>
      <c r="B3503" s="22" t="s">
        <v>57</v>
      </c>
      <c r="C3503" s="22" t="s">
        <v>55</v>
      </c>
      <c r="D3503" s="48" t="s">
        <v>8</v>
      </c>
      <c r="E3503" t="s">
        <v>196</v>
      </c>
      <c r="F3503">
        <v>2025</v>
      </c>
      <c r="H3503" s="42" t="s">
        <v>748</v>
      </c>
      <c r="J3503" t="s">
        <v>248</v>
      </c>
      <c r="K3503" t="s">
        <v>1136</v>
      </c>
      <c r="L3503" s="34">
        <v>3</v>
      </c>
      <c r="M3503" s="38">
        <v>0.75</v>
      </c>
      <c r="N3503" s="38">
        <f t="shared" ref="N3503" si="68">M3503*L3503</f>
        <v>2.25</v>
      </c>
    </row>
    <row r="3504" spans="1:14">
      <c r="A3504" s="29">
        <v>45944</v>
      </c>
      <c r="B3504" s="22" t="s">
        <v>57</v>
      </c>
      <c r="C3504" s="22" t="s">
        <v>55</v>
      </c>
      <c r="D3504" s="48" t="s">
        <v>8</v>
      </c>
      <c r="E3504" t="s">
        <v>180</v>
      </c>
      <c r="F3504">
        <v>2025</v>
      </c>
      <c r="H3504" s="42" t="s">
        <v>1216</v>
      </c>
      <c r="J3504" t="s">
        <v>248</v>
      </c>
      <c r="L3504" s="34">
        <v>3</v>
      </c>
      <c r="M3504" s="38">
        <v>0.75</v>
      </c>
      <c r="N3504" s="38">
        <f t="shared" ref="N3504" si="69">M3504*L3504</f>
        <v>2.25</v>
      </c>
    </row>
    <row r="3505" spans="1:14">
      <c r="A3505" s="29">
        <v>45944</v>
      </c>
      <c r="B3505" s="22" t="s">
        <v>57</v>
      </c>
      <c r="C3505" s="22" t="s">
        <v>55</v>
      </c>
      <c r="D3505" s="48" t="s">
        <v>8</v>
      </c>
      <c r="E3505" t="s">
        <v>178</v>
      </c>
      <c r="F3505">
        <v>2025</v>
      </c>
      <c r="H3505" s="42" t="s">
        <v>1549</v>
      </c>
      <c r="J3505" t="s">
        <v>248</v>
      </c>
      <c r="L3505" s="34">
        <v>3</v>
      </c>
      <c r="M3505" s="38">
        <v>0.75</v>
      </c>
      <c r="N3505" s="38">
        <f t="shared" ref="N3505:N3506" si="70">M3505*L3505</f>
        <v>2.25</v>
      </c>
    </row>
    <row r="3506" spans="1:14">
      <c r="A3506" s="29">
        <v>45950</v>
      </c>
      <c r="B3506" s="22" t="s">
        <v>142</v>
      </c>
      <c r="C3506" s="22" t="s">
        <v>151</v>
      </c>
      <c r="D3506" s="48" t="s">
        <v>8</v>
      </c>
      <c r="E3506" t="s">
        <v>187</v>
      </c>
      <c r="F3506">
        <v>2025</v>
      </c>
      <c r="H3506" s="42" t="s">
        <v>1449</v>
      </c>
      <c r="J3506" t="s">
        <v>248</v>
      </c>
      <c r="K3506" t="s">
        <v>1552</v>
      </c>
      <c r="L3506" s="34">
        <v>3</v>
      </c>
      <c r="M3506" s="38">
        <v>0.75</v>
      </c>
      <c r="N3506" s="38">
        <f t="shared" si="70"/>
        <v>2.25</v>
      </c>
    </row>
    <row r="3507" spans="1:14">
      <c r="A3507" s="29">
        <v>45950</v>
      </c>
      <c r="B3507" s="22" t="s">
        <v>142</v>
      </c>
      <c r="C3507" s="22" t="s">
        <v>151</v>
      </c>
      <c r="D3507" s="48" t="s">
        <v>8</v>
      </c>
      <c r="E3507" t="s">
        <v>177</v>
      </c>
      <c r="F3507">
        <v>2025</v>
      </c>
      <c r="H3507" s="42" t="s">
        <v>1449</v>
      </c>
      <c r="J3507" t="s">
        <v>248</v>
      </c>
      <c r="K3507" t="s">
        <v>1553</v>
      </c>
      <c r="L3507" s="34">
        <v>3</v>
      </c>
      <c r="M3507" s="38">
        <v>0.75</v>
      </c>
      <c r="N3507" s="38">
        <f t="shared" ref="N3507:N3553" si="71">M3507*L3507</f>
        <v>2.25</v>
      </c>
    </row>
    <row r="3508" spans="1:14">
      <c r="A3508" s="29">
        <v>45950</v>
      </c>
      <c r="B3508" s="22" t="s">
        <v>75</v>
      </c>
      <c r="C3508" s="22" t="s">
        <v>151</v>
      </c>
      <c r="D3508" s="48" t="s">
        <v>5</v>
      </c>
      <c r="E3508" t="s">
        <v>157</v>
      </c>
      <c r="F3508">
        <v>2025</v>
      </c>
      <c r="H3508" s="42">
        <v>3010</v>
      </c>
      <c r="J3508" t="s">
        <v>248</v>
      </c>
      <c r="L3508" s="34">
        <v>3</v>
      </c>
      <c r="M3508" s="38">
        <v>0.75</v>
      </c>
      <c r="N3508" s="38">
        <f t="shared" si="71"/>
        <v>2.25</v>
      </c>
    </row>
    <row r="3509" spans="1:14">
      <c r="A3509" s="29">
        <v>45950</v>
      </c>
      <c r="B3509" s="22" t="s">
        <v>140</v>
      </c>
      <c r="C3509" s="22" t="s">
        <v>57</v>
      </c>
      <c r="D3509" s="48" t="s">
        <v>8</v>
      </c>
      <c r="E3509" t="s">
        <v>182</v>
      </c>
      <c r="F3509">
        <v>2025</v>
      </c>
      <c r="H3509" s="42" t="s">
        <v>1231</v>
      </c>
      <c r="J3509" t="s">
        <v>248</v>
      </c>
      <c r="K3509" t="s">
        <v>1554</v>
      </c>
      <c r="L3509" s="34">
        <v>1</v>
      </c>
      <c r="M3509" s="38">
        <v>0.75</v>
      </c>
      <c r="N3509" s="38">
        <f t="shared" si="71"/>
        <v>0.75</v>
      </c>
    </row>
    <row r="3510" spans="1:14">
      <c r="A3510" s="29">
        <v>45950</v>
      </c>
      <c r="B3510" s="22" t="s">
        <v>140</v>
      </c>
      <c r="C3510" s="22" t="s">
        <v>57</v>
      </c>
      <c r="D3510" s="48" t="s">
        <v>8</v>
      </c>
      <c r="E3510" t="s">
        <v>183</v>
      </c>
      <c r="F3510">
        <v>2025</v>
      </c>
      <c r="H3510" s="42" t="s">
        <v>1551</v>
      </c>
      <c r="J3510" t="s">
        <v>248</v>
      </c>
      <c r="K3510" t="s">
        <v>1555</v>
      </c>
      <c r="L3510" s="34">
        <v>1</v>
      </c>
      <c r="M3510" s="38">
        <v>0.75</v>
      </c>
      <c r="N3510" s="38">
        <f t="shared" si="71"/>
        <v>0.75</v>
      </c>
    </row>
    <row r="3511" spans="1:14">
      <c r="A3511" s="29">
        <v>45950</v>
      </c>
      <c r="B3511" s="22" t="s">
        <v>140</v>
      </c>
      <c r="C3511" s="22" t="s">
        <v>57</v>
      </c>
      <c r="D3511" s="48" t="s">
        <v>8</v>
      </c>
      <c r="E3511" t="s">
        <v>183</v>
      </c>
      <c r="F3511">
        <v>2025</v>
      </c>
      <c r="H3511" s="42" t="s">
        <v>1357</v>
      </c>
      <c r="J3511" t="s">
        <v>248</v>
      </c>
      <c r="K3511" t="s">
        <v>1556</v>
      </c>
      <c r="L3511" s="34">
        <v>1</v>
      </c>
      <c r="M3511" s="38">
        <v>0.75</v>
      </c>
      <c r="N3511" s="38">
        <f t="shared" si="71"/>
        <v>0.75</v>
      </c>
    </row>
    <row r="3512" spans="1:14">
      <c r="A3512" s="29">
        <v>45950</v>
      </c>
      <c r="B3512" s="22" t="s">
        <v>140</v>
      </c>
      <c r="C3512" s="22" t="s">
        <v>57</v>
      </c>
      <c r="D3512" s="48" t="s">
        <v>8</v>
      </c>
      <c r="E3512" t="s">
        <v>178</v>
      </c>
      <c r="F3512">
        <v>2025</v>
      </c>
      <c r="H3512" s="42" t="s">
        <v>1557</v>
      </c>
      <c r="J3512" t="s">
        <v>248</v>
      </c>
      <c r="K3512" t="s">
        <v>1558</v>
      </c>
      <c r="L3512" s="34">
        <v>1</v>
      </c>
      <c r="M3512" s="38">
        <v>0.75</v>
      </c>
      <c r="N3512" s="38">
        <f t="shared" si="71"/>
        <v>0.75</v>
      </c>
    </row>
    <row r="3513" spans="1:14">
      <c r="A3513" s="29">
        <v>45950</v>
      </c>
      <c r="B3513" s="22" t="s">
        <v>63</v>
      </c>
      <c r="C3513" s="22" t="s">
        <v>57</v>
      </c>
      <c r="D3513" s="48" t="s">
        <v>11</v>
      </c>
      <c r="E3513" t="s">
        <v>1559</v>
      </c>
      <c r="F3513">
        <v>2024</v>
      </c>
      <c r="H3513" s="42" t="s">
        <v>1560</v>
      </c>
      <c r="K3513" t="s">
        <v>1431</v>
      </c>
      <c r="L3513" s="34">
        <v>2</v>
      </c>
      <c r="M3513" s="38">
        <v>0.75</v>
      </c>
      <c r="N3513" s="38">
        <f t="shared" si="71"/>
        <v>1.5</v>
      </c>
    </row>
    <row r="3514" spans="1:14">
      <c r="A3514" s="29">
        <v>45950</v>
      </c>
      <c r="B3514" s="22" t="s">
        <v>63</v>
      </c>
      <c r="C3514" s="22" t="s">
        <v>57</v>
      </c>
      <c r="D3514" s="48" t="s">
        <v>11</v>
      </c>
      <c r="E3514" t="s">
        <v>1561</v>
      </c>
      <c r="F3514">
        <v>2024</v>
      </c>
      <c r="H3514" s="42" t="s">
        <v>1369</v>
      </c>
      <c r="K3514" t="s">
        <v>1431</v>
      </c>
      <c r="L3514" s="34">
        <v>2</v>
      </c>
      <c r="M3514" s="38">
        <v>0.75</v>
      </c>
      <c r="N3514" s="38">
        <f t="shared" si="71"/>
        <v>1.5</v>
      </c>
    </row>
    <row r="3515" spans="1:14">
      <c r="A3515" s="29">
        <v>45950</v>
      </c>
      <c r="B3515" s="22" t="s">
        <v>63</v>
      </c>
      <c r="C3515" s="22" t="s">
        <v>57</v>
      </c>
      <c r="D3515" s="48" t="s">
        <v>11</v>
      </c>
      <c r="E3515" t="s">
        <v>1562</v>
      </c>
      <c r="F3515">
        <v>2024</v>
      </c>
      <c r="H3515" s="42" t="s">
        <v>1348</v>
      </c>
      <c r="K3515" t="s">
        <v>1431</v>
      </c>
      <c r="L3515" s="34">
        <v>2</v>
      </c>
      <c r="M3515" s="38">
        <v>0.75</v>
      </c>
      <c r="N3515" s="38">
        <f t="shared" si="71"/>
        <v>1.5</v>
      </c>
    </row>
    <row r="3516" spans="1:14">
      <c r="A3516" s="29">
        <v>45950</v>
      </c>
      <c r="B3516" s="22" t="s">
        <v>63</v>
      </c>
      <c r="C3516" s="22" t="s">
        <v>57</v>
      </c>
      <c r="D3516" s="48" t="s">
        <v>11</v>
      </c>
      <c r="E3516" t="s">
        <v>1563</v>
      </c>
      <c r="F3516">
        <v>2024</v>
      </c>
      <c r="H3516" s="42" t="s">
        <v>1564</v>
      </c>
      <c r="K3516" t="s">
        <v>1511</v>
      </c>
      <c r="L3516" s="34">
        <v>2</v>
      </c>
      <c r="M3516" s="38">
        <v>0.75</v>
      </c>
      <c r="N3516" s="38">
        <f t="shared" si="71"/>
        <v>1.5</v>
      </c>
    </row>
    <row r="3517" spans="1:14">
      <c r="A3517" s="29">
        <v>45950</v>
      </c>
      <c r="B3517" s="22" t="s">
        <v>63</v>
      </c>
      <c r="C3517" s="22" t="s">
        <v>57</v>
      </c>
      <c r="D3517" s="48" t="s">
        <v>11</v>
      </c>
      <c r="E3517" t="s">
        <v>1565</v>
      </c>
      <c r="F3517">
        <v>2024</v>
      </c>
      <c r="H3517" s="42" t="s">
        <v>1488</v>
      </c>
      <c r="K3517" t="s">
        <v>1511</v>
      </c>
      <c r="L3517" s="34">
        <v>2</v>
      </c>
      <c r="M3517" s="38">
        <v>0.75</v>
      </c>
      <c r="N3517" s="38">
        <f t="shared" si="71"/>
        <v>1.5</v>
      </c>
    </row>
    <row r="3518" spans="1:14">
      <c r="A3518" s="29">
        <v>45950</v>
      </c>
      <c r="B3518" s="22" t="s">
        <v>63</v>
      </c>
      <c r="C3518" s="22" t="s">
        <v>57</v>
      </c>
      <c r="D3518" s="48" t="s">
        <v>8</v>
      </c>
      <c r="E3518" t="s">
        <v>194</v>
      </c>
      <c r="F3518">
        <v>2025</v>
      </c>
      <c r="H3518" s="42" t="s">
        <v>1449</v>
      </c>
      <c r="L3518" s="34">
        <v>2</v>
      </c>
      <c r="M3518" s="38">
        <v>0.75</v>
      </c>
      <c r="N3518" s="38">
        <f t="shared" si="71"/>
        <v>1.5</v>
      </c>
    </row>
    <row r="3519" spans="1:14">
      <c r="A3519" s="29">
        <v>45950</v>
      </c>
      <c r="B3519" s="22" t="s">
        <v>63</v>
      </c>
      <c r="C3519" s="22" t="s">
        <v>57</v>
      </c>
      <c r="D3519" s="48" t="s">
        <v>8</v>
      </c>
      <c r="E3519" t="s">
        <v>197</v>
      </c>
      <c r="F3519">
        <v>2025</v>
      </c>
      <c r="H3519" s="42" t="s">
        <v>1449</v>
      </c>
      <c r="K3519" t="s">
        <v>1491</v>
      </c>
      <c r="L3519" s="34">
        <v>2</v>
      </c>
      <c r="M3519" s="38">
        <v>0.75</v>
      </c>
      <c r="N3519" s="38">
        <f t="shared" si="71"/>
        <v>1.5</v>
      </c>
    </row>
    <row r="3520" spans="1:14">
      <c r="A3520" s="29">
        <v>45950</v>
      </c>
      <c r="B3520" s="22" t="s">
        <v>63</v>
      </c>
      <c r="C3520" s="22" t="s">
        <v>57</v>
      </c>
      <c r="D3520" s="48" t="s">
        <v>8</v>
      </c>
      <c r="E3520" t="s">
        <v>198</v>
      </c>
      <c r="F3520">
        <v>2025</v>
      </c>
      <c r="H3520" s="42" t="s">
        <v>1449</v>
      </c>
      <c r="K3520" t="s">
        <v>1417</v>
      </c>
      <c r="L3520" s="34">
        <v>2</v>
      </c>
      <c r="M3520" s="38">
        <v>0.75</v>
      </c>
      <c r="N3520" s="38">
        <f t="shared" si="71"/>
        <v>1.5</v>
      </c>
    </row>
    <row r="3521" spans="1:14">
      <c r="A3521" s="29">
        <v>45950</v>
      </c>
      <c r="B3521" s="22" t="s">
        <v>63</v>
      </c>
      <c r="C3521" s="22" t="s">
        <v>57</v>
      </c>
      <c r="D3521" s="48" t="s">
        <v>8</v>
      </c>
      <c r="E3521" t="s">
        <v>1474</v>
      </c>
      <c r="F3521">
        <v>2025</v>
      </c>
      <c r="H3521" s="42" t="s">
        <v>1449</v>
      </c>
      <c r="L3521" s="34">
        <v>2</v>
      </c>
      <c r="M3521" s="38">
        <v>0.75</v>
      </c>
      <c r="N3521" s="38">
        <f t="shared" si="71"/>
        <v>1.5</v>
      </c>
    </row>
    <row r="3522" spans="1:14">
      <c r="A3522" s="29">
        <v>45950</v>
      </c>
      <c r="B3522" s="22" t="s">
        <v>63</v>
      </c>
      <c r="C3522" s="22" t="s">
        <v>57</v>
      </c>
      <c r="D3522" s="48" t="s">
        <v>8</v>
      </c>
      <c r="E3522" t="s">
        <v>191</v>
      </c>
      <c r="F3522">
        <v>2025</v>
      </c>
      <c r="H3522" s="42" t="s">
        <v>1231</v>
      </c>
      <c r="L3522" s="34">
        <v>2</v>
      </c>
      <c r="M3522" s="38">
        <v>0.75</v>
      </c>
      <c r="N3522" s="38">
        <f t="shared" si="71"/>
        <v>1.5</v>
      </c>
    </row>
    <row r="3523" spans="1:14">
      <c r="A3523" s="29">
        <v>45950</v>
      </c>
      <c r="B3523" s="22" t="s">
        <v>63</v>
      </c>
      <c r="C3523" s="22" t="s">
        <v>57</v>
      </c>
      <c r="D3523" s="48" t="s">
        <v>8</v>
      </c>
      <c r="E3523" t="s">
        <v>188</v>
      </c>
      <c r="F3523">
        <v>2025</v>
      </c>
      <c r="H3523" s="42" t="s">
        <v>1449</v>
      </c>
      <c r="L3523" s="34">
        <v>2</v>
      </c>
      <c r="M3523" s="38">
        <v>0.75</v>
      </c>
      <c r="N3523" s="38">
        <f t="shared" si="71"/>
        <v>1.5</v>
      </c>
    </row>
    <row r="3524" spans="1:14">
      <c r="A3524" s="29">
        <v>45950</v>
      </c>
      <c r="B3524" s="22" t="s">
        <v>143</v>
      </c>
      <c r="C3524" s="22" t="s">
        <v>151</v>
      </c>
      <c r="D3524" s="48" t="s">
        <v>8</v>
      </c>
      <c r="E3524" t="s">
        <v>187</v>
      </c>
      <c r="F3524">
        <v>2025</v>
      </c>
      <c r="H3524" s="42" t="s">
        <v>1449</v>
      </c>
      <c r="L3524" s="34">
        <v>2</v>
      </c>
      <c r="M3524" s="38">
        <v>0.75</v>
      </c>
      <c r="N3524" s="38">
        <f t="shared" si="71"/>
        <v>1.5</v>
      </c>
    </row>
    <row r="3525" spans="1:14">
      <c r="A3525" s="29">
        <v>45950</v>
      </c>
      <c r="B3525" s="22" t="s">
        <v>143</v>
      </c>
      <c r="C3525" s="22" t="s">
        <v>151</v>
      </c>
      <c r="D3525" s="48" t="s">
        <v>8</v>
      </c>
      <c r="E3525" t="s">
        <v>178</v>
      </c>
      <c r="F3525">
        <v>2025</v>
      </c>
      <c r="H3525" s="42" t="s">
        <v>1449</v>
      </c>
      <c r="L3525" s="34">
        <v>2</v>
      </c>
      <c r="M3525" s="38">
        <v>0.75</v>
      </c>
      <c r="N3525" s="38">
        <f t="shared" si="71"/>
        <v>1.5</v>
      </c>
    </row>
    <row r="3526" spans="1:14">
      <c r="A3526" s="29">
        <v>45950</v>
      </c>
      <c r="B3526" s="22" t="s">
        <v>143</v>
      </c>
      <c r="C3526" s="22" t="s">
        <v>151</v>
      </c>
      <c r="D3526" s="48" t="s">
        <v>8</v>
      </c>
      <c r="E3526" t="s">
        <v>198</v>
      </c>
      <c r="F3526">
        <v>2025</v>
      </c>
      <c r="H3526" s="42" t="s">
        <v>1449</v>
      </c>
      <c r="L3526" s="34">
        <v>2</v>
      </c>
      <c r="M3526" s="38">
        <v>0.75</v>
      </c>
      <c r="N3526" s="38">
        <f t="shared" si="71"/>
        <v>1.5</v>
      </c>
    </row>
    <row r="3527" spans="1:14">
      <c r="A3527" s="29">
        <v>45950</v>
      </c>
      <c r="B3527" s="22" t="s">
        <v>143</v>
      </c>
      <c r="C3527" s="22" t="s">
        <v>151</v>
      </c>
      <c r="D3527" s="48" t="s">
        <v>8</v>
      </c>
      <c r="E3527" t="s">
        <v>179</v>
      </c>
      <c r="F3527">
        <v>2025</v>
      </c>
      <c r="H3527" s="42" t="s">
        <v>1231</v>
      </c>
      <c r="L3527" s="34">
        <v>2</v>
      </c>
      <c r="M3527" s="38">
        <v>0.75</v>
      </c>
      <c r="N3527" s="38">
        <f t="shared" si="71"/>
        <v>1.5</v>
      </c>
    </row>
    <row r="3528" spans="1:14">
      <c r="A3528" s="29">
        <v>45951</v>
      </c>
      <c r="B3528" s="22" t="s">
        <v>57</v>
      </c>
      <c r="C3528" s="22" t="s">
        <v>55</v>
      </c>
      <c r="D3528" s="48" t="s">
        <v>8</v>
      </c>
      <c r="E3528" t="s">
        <v>189</v>
      </c>
      <c r="F3528">
        <v>2025</v>
      </c>
      <c r="H3528" s="42" t="s">
        <v>1303</v>
      </c>
      <c r="L3528" s="34">
        <v>6</v>
      </c>
      <c r="M3528" s="38">
        <v>0.75</v>
      </c>
      <c r="N3528" s="38">
        <f t="shared" si="71"/>
        <v>4.5</v>
      </c>
    </row>
    <row r="3529" spans="1:14">
      <c r="A3529" s="29">
        <v>45951</v>
      </c>
      <c r="B3529" s="22" t="s">
        <v>57</v>
      </c>
      <c r="C3529" s="22" t="s">
        <v>55</v>
      </c>
      <c r="D3529" s="48" t="s">
        <v>8</v>
      </c>
      <c r="E3529" t="s">
        <v>189</v>
      </c>
      <c r="F3529">
        <v>2025</v>
      </c>
      <c r="H3529" s="42" t="s">
        <v>748</v>
      </c>
      <c r="L3529" s="34">
        <v>6</v>
      </c>
      <c r="M3529" s="38">
        <v>0.75</v>
      </c>
      <c r="N3529" s="38">
        <f t="shared" ref="N3529" si="72">M3529*L3529</f>
        <v>4.5</v>
      </c>
    </row>
    <row r="3530" spans="1:14">
      <c r="A3530" s="29">
        <v>45951</v>
      </c>
      <c r="B3530" s="22" t="s">
        <v>57</v>
      </c>
      <c r="C3530" s="22" t="s">
        <v>55</v>
      </c>
      <c r="D3530" s="48" t="s">
        <v>8</v>
      </c>
      <c r="E3530" t="s">
        <v>188</v>
      </c>
      <c r="F3530">
        <v>2025</v>
      </c>
      <c r="H3530" s="42" t="s">
        <v>1216</v>
      </c>
      <c r="L3530" s="34">
        <v>6</v>
      </c>
      <c r="M3530" s="38">
        <v>0.75</v>
      </c>
      <c r="N3530" s="38">
        <f t="shared" ref="N3530" si="73">M3530*L3530</f>
        <v>4.5</v>
      </c>
    </row>
    <row r="3531" spans="1:14">
      <c r="A3531" s="29">
        <v>45952</v>
      </c>
      <c r="B3531" s="22" t="s">
        <v>57</v>
      </c>
      <c r="C3531" s="22" t="s">
        <v>49</v>
      </c>
      <c r="D3531" s="48" t="s">
        <v>5</v>
      </c>
      <c r="E3531" t="s">
        <v>158</v>
      </c>
      <c r="F3531">
        <v>2025</v>
      </c>
      <c r="H3531" s="42" t="s">
        <v>747</v>
      </c>
      <c r="L3531" s="34">
        <v>4</v>
      </c>
      <c r="M3531" s="38">
        <v>0.75</v>
      </c>
      <c r="N3531" s="38">
        <f t="shared" si="71"/>
        <v>3</v>
      </c>
    </row>
    <row r="3532" spans="1:14">
      <c r="A3532" s="29">
        <v>45952</v>
      </c>
      <c r="B3532" s="22" t="s">
        <v>57</v>
      </c>
      <c r="C3532" s="22" t="s">
        <v>49</v>
      </c>
      <c r="D3532" s="48" t="s">
        <v>5</v>
      </c>
      <c r="E3532" t="s">
        <v>158</v>
      </c>
      <c r="F3532">
        <v>2025</v>
      </c>
      <c r="H3532" s="42" t="s">
        <v>1374</v>
      </c>
      <c r="L3532" s="34">
        <v>4</v>
      </c>
      <c r="M3532" s="38">
        <v>0.75</v>
      </c>
      <c r="N3532" s="38">
        <f t="shared" si="71"/>
        <v>3</v>
      </c>
    </row>
    <row r="3533" spans="1:14">
      <c r="A3533" s="29">
        <v>45954</v>
      </c>
      <c r="B3533" s="22" t="s">
        <v>109</v>
      </c>
      <c r="C3533" s="22"/>
      <c r="D3533" s="48" t="s">
        <v>8</v>
      </c>
      <c r="F3533">
        <v>2025</v>
      </c>
      <c r="H3533" s="42" t="s">
        <v>764</v>
      </c>
      <c r="K3533" t="s">
        <v>1566</v>
      </c>
      <c r="L3533" s="34">
        <v>3</v>
      </c>
      <c r="M3533" s="38">
        <v>0.75</v>
      </c>
      <c r="N3533" s="38">
        <f t="shared" si="71"/>
        <v>2.25</v>
      </c>
    </row>
    <row r="3534" spans="1:14">
      <c r="A3534" s="29">
        <v>45954</v>
      </c>
      <c r="B3534" s="22" t="s">
        <v>109</v>
      </c>
      <c r="C3534" s="22"/>
      <c r="D3534" s="48" t="s">
        <v>8</v>
      </c>
      <c r="F3534">
        <v>2025</v>
      </c>
      <c r="H3534" s="42" t="s">
        <v>796</v>
      </c>
      <c r="K3534" t="s">
        <v>1567</v>
      </c>
      <c r="L3534" s="34">
        <v>3</v>
      </c>
      <c r="M3534" s="38">
        <v>0.75</v>
      </c>
      <c r="N3534" s="38">
        <f t="shared" si="71"/>
        <v>2.25</v>
      </c>
    </row>
    <row r="3535" spans="1:14">
      <c r="A3535" s="29">
        <v>45954</v>
      </c>
      <c r="B3535" s="22" t="s">
        <v>109</v>
      </c>
      <c r="C3535" s="22"/>
      <c r="D3535" s="48" t="s">
        <v>5</v>
      </c>
      <c r="E3535" t="s">
        <v>157</v>
      </c>
      <c r="F3535">
        <v>2025</v>
      </c>
      <c r="H3535" s="42" t="s">
        <v>1085</v>
      </c>
      <c r="K3535" t="s">
        <v>1568</v>
      </c>
      <c r="L3535" s="34">
        <v>3</v>
      </c>
      <c r="M3535" s="38">
        <v>0.75</v>
      </c>
      <c r="N3535" s="38">
        <f t="shared" si="71"/>
        <v>2.25</v>
      </c>
    </row>
    <row r="3536" spans="1:14">
      <c r="A3536" s="29">
        <v>45954</v>
      </c>
      <c r="B3536" s="22" t="s">
        <v>109</v>
      </c>
      <c r="C3536" s="22"/>
      <c r="D3536" s="48" t="s">
        <v>11</v>
      </c>
      <c r="E3536" t="s">
        <v>210</v>
      </c>
      <c r="F3536">
        <v>2025</v>
      </c>
      <c r="H3536" s="42" t="s">
        <v>1569</v>
      </c>
      <c r="K3536" t="s">
        <v>1570</v>
      </c>
      <c r="L3536" s="34">
        <v>3</v>
      </c>
      <c r="M3536" s="38">
        <v>0.75</v>
      </c>
      <c r="N3536" s="38">
        <f t="shared" si="71"/>
        <v>2.25</v>
      </c>
    </row>
    <row r="3537" spans="1:14">
      <c r="A3537" s="29">
        <v>45954</v>
      </c>
      <c r="B3537" s="22" t="s">
        <v>109</v>
      </c>
      <c r="C3537" s="22"/>
      <c r="D3537" s="48" t="s">
        <v>8</v>
      </c>
      <c r="E3537" t="s">
        <v>192</v>
      </c>
      <c r="F3537">
        <v>2025</v>
      </c>
      <c r="H3537" s="42" t="s">
        <v>933</v>
      </c>
      <c r="K3537" t="s">
        <v>1571</v>
      </c>
      <c r="L3537" s="34">
        <v>3</v>
      </c>
      <c r="M3537" s="38">
        <v>0.75</v>
      </c>
      <c r="N3537" s="38">
        <f t="shared" si="71"/>
        <v>2.25</v>
      </c>
    </row>
    <row r="3538" spans="1:14">
      <c r="A3538" s="29">
        <v>45954</v>
      </c>
      <c r="B3538" s="22" t="s">
        <v>109</v>
      </c>
      <c r="C3538" s="22"/>
      <c r="D3538" s="48" t="s">
        <v>8</v>
      </c>
      <c r="E3538" t="s">
        <v>192</v>
      </c>
      <c r="F3538">
        <v>2025</v>
      </c>
      <c r="H3538" s="42" t="s">
        <v>933</v>
      </c>
      <c r="K3538" t="s">
        <v>1572</v>
      </c>
      <c r="L3538" s="34">
        <v>3</v>
      </c>
      <c r="M3538" s="38">
        <v>0.75</v>
      </c>
      <c r="N3538" s="38">
        <f t="shared" si="71"/>
        <v>2.25</v>
      </c>
    </row>
    <row r="3539" spans="1:14">
      <c r="A3539" s="29">
        <v>45958</v>
      </c>
      <c r="B3539" s="22" t="s">
        <v>1573</v>
      </c>
      <c r="C3539" s="22"/>
      <c r="D3539" s="48" t="s">
        <v>5</v>
      </c>
      <c r="E3539" t="s">
        <v>163</v>
      </c>
      <c r="F3539">
        <v>2025</v>
      </c>
      <c r="H3539" s="42" t="s">
        <v>1449</v>
      </c>
      <c r="K3539" t="s">
        <v>1574</v>
      </c>
      <c r="L3539" s="34">
        <v>6</v>
      </c>
      <c r="M3539" s="38">
        <v>0.75</v>
      </c>
      <c r="N3539" s="38">
        <f t="shared" si="71"/>
        <v>4.5</v>
      </c>
    </row>
    <row r="3540" spans="1:14">
      <c r="A3540" s="29">
        <v>45958</v>
      </c>
      <c r="B3540" s="22" t="s">
        <v>1573</v>
      </c>
      <c r="C3540" s="22"/>
      <c r="D3540" s="48" t="s">
        <v>8</v>
      </c>
      <c r="E3540" t="s">
        <v>192</v>
      </c>
      <c r="F3540">
        <v>2025</v>
      </c>
      <c r="H3540" s="42" t="s">
        <v>1575</v>
      </c>
      <c r="K3540" t="s">
        <v>207</v>
      </c>
      <c r="L3540" s="34">
        <v>6</v>
      </c>
      <c r="M3540" s="38">
        <v>0.75</v>
      </c>
      <c r="N3540" s="38">
        <f t="shared" si="71"/>
        <v>4.5</v>
      </c>
    </row>
    <row r="3541" spans="1:14">
      <c r="A3541" s="29">
        <v>45958</v>
      </c>
      <c r="B3541" s="22" t="s">
        <v>1573</v>
      </c>
      <c r="C3541" s="22"/>
      <c r="D3541" s="48" t="s">
        <v>8</v>
      </c>
      <c r="E3541" t="s">
        <v>193</v>
      </c>
      <c r="F3541">
        <v>2025</v>
      </c>
      <c r="H3541" s="42" t="s">
        <v>1575</v>
      </c>
      <c r="K3541" t="s">
        <v>1576</v>
      </c>
      <c r="L3541" s="34">
        <v>6</v>
      </c>
      <c r="M3541" s="38">
        <v>0.75</v>
      </c>
      <c r="N3541" s="38">
        <f t="shared" si="71"/>
        <v>4.5</v>
      </c>
    </row>
    <row r="3542" spans="1:14">
      <c r="A3542" s="29">
        <v>45958</v>
      </c>
      <c r="B3542" s="22" t="s">
        <v>1573</v>
      </c>
      <c r="C3542" s="22"/>
      <c r="D3542" s="48" t="s">
        <v>8</v>
      </c>
      <c r="E3542" t="s">
        <v>190</v>
      </c>
      <c r="F3542">
        <v>2025</v>
      </c>
      <c r="H3542" s="42" t="s">
        <v>1449</v>
      </c>
      <c r="K3542" t="s">
        <v>1577</v>
      </c>
      <c r="L3542" s="34">
        <v>6</v>
      </c>
      <c r="M3542" s="38">
        <v>0.75</v>
      </c>
      <c r="N3542" s="38">
        <f t="shared" si="71"/>
        <v>4.5</v>
      </c>
    </row>
    <row r="3543" spans="1:14">
      <c r="A3543" s="29">
        <v>45958</v>
      </c>
      <c r="B3543" s="22" t="s">
        <v>145</v>
      </c>
      <c r="C3543" s="22"/>
      <c r="D3543" s="48" t="s">
        <v>5</v>
      </c>
      <c r="E3543" t="s">
        <v>159</v>
      </c>
      <c r="F3543">
        <v>2025</v>
      </c>
      <c r="H3543" s="42" t="s">
        <v>1449</v>
      </c>
      <c r="K3543" t="s">
        <v>171</v>
      </c>
      <c r="L3543" s="34">
        <v>2</v>
      </c>
      <c r="M3543" s="38">
        <v>0.75</v>
      </c>
      <c r="N3543" s="38">
        <f t="shared" si="71"/>
        <v>1.5</v>
      </c>
    </row>
    <row r="3544" spans="1:14">
      <c r="A3544" s="29">
        <v>45958</v>
      </c>
      <c r="B3544" s="22" t="s">
        <v>153</v>
      </c>
      <c r="C3544" s="22"/>
      <c r="D3544" s="48" t="s">
        <v>5</v>
      </c>
      <c r="E3544" t="s">
        <v>168</v>
      </c>
      <c r="F3544">
        <v>2025</v>
      </c>
      <c r="H3544" s="42" t="s">
        <v>1449</v>
      </c>
      <c r="K3544" t="s">
        <v>171</v>
      </c>
      <c r="L3544" s="34">
        <v>3</v>
      </c>
      <c r="M3544" s="38">
        <v>0.75</v>
      </c>
      <c r="N3544" s="38">
        <f t="shared" si="71"/>
        <v>2.25</v>
      </c>
    </row>
    <row r="3545" spans="1:14">
      <c r="A3545" s="29">
        <v>45958</v>
      </c>
      <c r="B3545" s="22" t="s">
        <v>153</v>
      </c>
      <c r="C3545" s="22"/>
      <c r="D3545" s="48" t="s">
        <v>5</v>
      </c>
      <c r="E3545" t="s">
        <v>168</v>
      </c>
      <c r="F3545">
        <v>2025</v>
      </c>
      <c r="H3545" s="42" t="s">
        <v>1449</v>
      </c>
      <c r="K3545" t="s">
        <v>1578</v>
      </c>
      <c r="L3545" s="34">
        <v>3</v>
      </c>
      <c r="M3545" s="38">
        <v>0.75</v>
      </c>
      <c r="N3545" s="38">
        <f t="shared" si="71"/>
        <v>2.25</v>
      </c>
    </row>
    <row r="3546" spans="1:14">
      <c r="A3546" s="29">
        <v>45958</v>
      </c>
      <c r="B3546" s="22" t="s">
        <v>154</v>
      </c>
      <c r="C3546" s="22"/>
      <c r="D3546" s="48" t="s">
        <v>8</v>
      </c>
      <c r="E3546" t="s">
        <v>178</v>
      </c>
      <c r="F3546">
        <v>2025</v>
      </c>
      <c r="H3546" s="42" t="s">
        <v>1575</v>
      </c>
      <c r="K3546" t="s">
        <v>185</v>
      </c>
      <c r="L3546" s="34">
        <v>3</v>
      </c>
      <c r="M3546" s="38">
        <v>0.75</v>
      </c>
      <c r="N3546" s="38">
        <f t="shared" si="71"/>
        <v>2.25</v>
      </c>
    </row>
    <row r="3547" spans="1:14">
      <c r="A3547" s="29">
        <v>45958</v>
      </c>
      <c r="B3547" s="22" t="s">
        <v>154</v>
      </c>
      <c r="C3547" s="22"/>
      <c r="D3547" s="48" t="s">
        <v>8</v>
      </c>
      <c r="E3547" t="s">
        <v>182</v>
      </c>
      <c r="F3547">
        <v>2025</v>
      </c>
      <c r="H3547" s="42" t="s">
        <v>1575</v>
      </c>
      <c r="K3547" t="s">
        <v>1579</v>
      </c>
      <c r="L3547" s="34">
        <v>3</v>
      </c>
      <c r="M3547" s="38">
        <v>0.75</v>
      </c>
      <c r="N3547" s="38">
        <f t="shared" si="71"/>
        <v>2.25</v>
      </c>
    </row>
    <row r="3548" spans="1:14">
      <c r="A3548" s="29">
        <v>45958</v>
      </c>
      <c r="B3548" s="22" t="s">
        <v>154</v>
      </c>
      <c r="C3548" s="22"/>
      <c r="D3548" s="48" t="s">
        <v>8</v>
      </c>
      <c r="E3548" t="s">
        <v>182</v>
      </c>
      <c r="F3548">
        <v>2025</v>
      </c>
      <c r="H3548" s="42" t="s">
        <v>1575</v>
      </c>
      <c r="K3548" t="s">
        <v>1580</v>
      </c>
      <c r="L3548" s="34">
        <v>3</v>
      </c>
      <c r="M3548" s="38">
        <v>0.75</v>
      </c>
      <c r="N3548" s="38">
        <f t="shared" si="71"/>
        <v>2.25</v>
      </c>
    </row>
    <row r="3549" spans="1:14">
      <c r="A3549" s="29">
        <v>45958</v>
      </c>
      <c r="B3549" s="22" t="s">
        <v>154</v>
      </c>
      <c r="C3549" s="22"/>
      <c r="D3549" s="48" t="s">
        <v>8</v>
      </c>
      <c r="E3549" t="s">
        <v>190</v>
      </c>
      <c r="F3549">
        <v>2025</v>
      </c>
      <c r="H3549" s="42" t="s">
        <v>1575</v>
      </c>
      <c r="K3549" t="s">
        <v>1581</v>
      </c>
      <c r="L3549" s="34">
        <v>3</v>
      </c>
      <c r="M3549" s="38">
        <v>0.75</v>
      </c>
      <c r="N3549" s="38">
        <f t="shared" si="71"/>
        <v>2.25</v>
      </c>
    </row>
    <row r="3550" spans="1:14">
      <c r="A3550" s="29">
        <v>45958</v>
      </c>
      <c r="B3550" s="22" t="s">
        <v>152</v>
      </c>
      <c r="C3550" s="22"/>
      <c r="D3550" s="48" t="s">
        <v>5</v>
      </c>
      <c r="E3550" t="s">
        <v>163</v>
      </c>
      <c r="F3550">
        <v>2025</v>
      </c>
      <c r="H3550" s="42" t="s">
        <v>1575</v>
      </c>
      <c r="K3550" t="s">
        <v>1582</v>
      </c>
      <c r="L3550" s="34">
        <v>4</v>
      </c>
      <c r="M3550" s="38">
        <v>0.75</v>
      </c>
      <c r="N3550" s="38">
        <f t="shared" si="71"/>
        <v>3</v>
      </c>
    </row>
    <row r="3551" spans="1:14">
      <c r="A3551" s="29">
        <v>45958</v>
      </c>
      <c r="B3551" s="22" t="s">
        <v>152</v>
      </c>
      <c r="C3551" s="22"/>
      <c r="D3551" s="48" t="s">
        <v>5</v>
      </c>
      <c r="E3551" t="s">
        <v>163</v>
      </c>
      <c r="F3551">
        <v>2025</v>
      </c>
      <c r="H3551" s="42" t="s">
        <v>1575</v>
      </c>
      <c r="K3551" t="s">
        <v>1574</v>
      </c>
      <c r="L3551" s="34">
        <v>4</v>
      </c>
      <c r="M3551" s="38">
        <v>0.75</v>
      </c>
      <c r="N3551" s="38">
        <f t="shared" si="71"/>
        <v>3</v>
      </c>
    </row>
    <row r="3552" spans="1:14">
      <c r="A3552" s="29">
        <v>45958</v>
      </c>
      <c r="B3552" s="22" t="s">
        <v>152</v>
      </c>
      <c r="C3552" s="22"/>
      <c r="D3552" s="48" t="s">
        <v>5</v>
      </c>
      <c r="E3552" t="s">
        <v>164</v>
      </c>
      <c r="F3552">
        <v>2025</v>
      </c>
      <c r="H3552" s="42" t="s">
        <v>1575</v>
      </c>
      <c r="K3552" t="s">
        <v>1583</v>
      </c>
      <c r="L3552" s="34">
        <v>4</v>
      </c>
      <c r="M3552" s="38">
        <v>0.75</v>
      </c>
      <c r="N3552" s="38">
        <f t="shared" si="71"/>
        <v>3</v>
      </c>
    </row>
    <row r="3553" spans="1:14">
      <c r="A3553" s="29">
        <v>45958</v>
      </c>
      <c r="B3553" s="22" t="s">
        <v>152</v>
      </c>
      <c r="C3553" s="22"/>
      <c r="D3553" s="48" t="s">
        <v>5</v>
      </c>
      <c r="E3553" t="s">
        <v>169</v>
      </c>
      <c r="F3553">
        <v>2025</v>
      </c>
      <c r="H3553" s="42" t="s">
        <v>1575</v>
      </c>
      <c r="K3553" t="s">
        <v>1584</v>
      </c>
      <c r="L3553" s="34">
        <v>4</v>
      </c>
      <c r="M3553" s="38">
        <v>0.75</v>
      </c>
      <c r="N3553" s="38">
        <f t="shared" si="71"/>
        <v>3</v>
      </c>
    </row>
    <row r="3554" spans="1:14">
      <c r="A3554" s="29">
        <v>45960</v>
      </c>
      <c r="B3554" s="22" t="s">
        <v>49</v>
      </c>
      <c r="C3554" s="22"/>
      <c r="D3554" s="48" t="s">
        <v>5</v>
      </c>
      <c r="E3554" t="s">
        <v>163</v>
      </c>
      <c r="F3554">
        <v>2025</v>
      </c>
      <c r="H3554" s="42" t="s">
        <v>1449</v>
      </c>
      <c r="K3554" t="s">
        <v>1574</v>
      </c>
      <c r="L3554" s="34">
        <v>4</v>
      </c>
      <c r="M3554" s="38">
        <v>0.75</v>
      </c>
      <c r="N3554" s="38">
        <f t="shared" ref="N3554:N3576" si="74">M3554*L3554</f>
        <v>3</v>
      </c>
    </row>
    <row r="3555" spans="1:14">
      <c r="A3555" s="29">
        <v>45960</v>
      </c>
      <c r="B3555" s="22" t="s">
        <v>49</v>
      </c>
      <c r="C3555" s="22"/>
      <c r="D3555" s="48" t="s">
        <v>5</v>
      </c>
      <c r="E3555" t="s">
        <v>168</v>
      </c>
      <c r="F3555">
        <v>2025</v>
      </c>
      <c r="H3555" s="42" t="s">
        <v>1449</v>
      </c>
      <c r="K3555" t="s">
        <v>171</v>
      </c>
      <c r="L3555" s="34">
        <v>4</v>
      </c>
      <c r="M3555" s="38">
        <v>0.75</v>
      </c>
      <c r="N3555" s="38">
        <f t="shared" si="74"/>
        <v>3</v>
      </c>
    </row>
    <row r="3556" spans="1:14">
      <c r="A3556" s="29">
        <v>45960</v>
      </c>
      <c r="B3556" s="22" t="s">
        <v>49</v>
      </c>
      <c r="C3556" s="22"/>
      <c r="D3556" s="48" t="s">
        <v>5</v>
      </c>
      <c r="E3556" t="s">
        <v>168</v>
      </c>
      <c r="F3556">
        <v>2025</v>
      </c>
      <c r="H3556" s="42" t="s">
        <v>1575</v>
      </c>
      <c r="K3556" t="s">
        <v>1585</v>
      </c>
      <c r="L3556" s="34">
        <v>4</v>
      </c>
      <c r="M3556" s="38">
        <v>0.75</v>
      </c>
      <c r="N3556" s="38">
        <f t="shared" si="74"/>
        <v>3</v>
      </c>
    </row>
    <row r="3557" spans="1:14">
      <c r="A3557" s="29">
        <v>45960</v>
      </c>
      <c r="B3557" s="22" t="s">
        <v>49</v>
      </c>
      <c r="C3557" s="22"/>
      <c r="D3557" s="48" t="s">
        <v>5</v>
      </c>
      <c r="E3557" t="s">
        <v>170</v>
      </c>
      <c r="F3557">
        <v>2025</v>
      </c>
      <c r="H3557" s="42" t="s">
        <v>803</v>
      </c>
      <c r="K3557" t="s">
        <v>212</v>
      </c>
      <c r="L3557" s="34">
        <v>3</v>
      </c>
      <c r="M3557" s="38">
        <v>0.75</v>
      </c>
      <c r="N3557" s="38">
        <f t="shared" si="74"/>
        <v>2.25</v>
      </c>
    </row>
    <row r="3558" spans="1:14">
      <c r="A3558" s="29">
        <v>45960</v>
      </c>
      <c r="B3558" s="22" t="s">
        <v>49</v>
      </c>
      <c r="C3558" s="22"/>
      <c r="D3558" s="48" t="s">
        <v>211</v>
      </c>
      <c r="E3558" t="s">
        <v>212</v>
      </c>
      <c r="F3558">
        <v>2025</v>
      </c>
      <c r="H3558" s="42" t="s">
        <v>1586</v>
      </c>
      <c r="K3558" t="s">
        <v>212</v>
      </c>
      <c r="L3558" s="34">
        <v>3</v>
      </c>
      <c r="M3558" s="38">
        <v>0.75</v>
      </c>
      <c r="N3558" s="38">
        <f t="shared" si="74"/>
        <v>2.25</v>
      </c>
    </row>
    <row r="3559" spans="1:14">
      <c r="A3559" s="29">
        <v>45960</v>
      </c>
      <c r="B3559" s="22" t="s">
        <v>49</v>
      </c>
      <c r="C3559" s="22"/>
      <c r="D3559" s="48" t="s">
        <v>211</v>
      </c>
      <c r="E3559" t="s">
        <v>213</v>
      </c>
      <c r="F3559">
        <v>2025</v>
      </c>
      <c r="H3559" s="42" t="s">
        <v>754</v>
      </c>
      <c r="K3559" t="s">
        <v>211</v>
      </c>
      <c r="L3559" s="34">
        <v>3</v>
      </c>
      <c r="M3559" s="38">
        <v>0.75</v>
      </c>
      <c r="N3559" s="38">
        <f t="shared" si="74"/>
        <v>2.25</v>
      </c>
    </row>
    <row r="3560" spans="1:14">
      <c r="A3560" s="29">
        <v>45960</v>
      </c>
      <c r="B3560" s="22" t="s">
        <v>49</v>
      </c>
      <c r="C3560" s="22"/>
      <c r="D3560" s="48" t="s">
        <v>211</v>
      </c>
      <c r="E3560" t="s">
        <v>213</v>
      </c>
      <c r="F3560">
        <v>2025</v>
      </c>
      <c r="H3560" s="42" t="s">
        <v>1587</v>
      </c>
      <c r="K3560" t="s">
        <v>211</v>
      </c>
      <c r="L3560" s="34">
        <v>3</v>
      </c>
      <c r="M3560" s="38">
        <v>0.75</v>
      </c>
      <c r="N3560" s="38">
        <f t="shared" si="74"/>
        <v>2.25</v>
      </c>
    </row>
    <row r="3561" spans="1:14">
      <c r="A3561" s="29">
        <v>45960</v>
      </c>
      <c r="B3561" s="22" t="s">
        <v>155</v>
      </c>
      <c r="C3561" s="22"/>
      <c r="D3561" s="48" t="s">
        <v>5</v>
      </c>
      <c r="E3561" t="s">
        <v>164</v>
      </c>
      <c r="F3561">
        <v>2025</v>
      </c>
      <c r="H3561" s="42" t="s">
        <v>1449</v>
      </c>
      <c r="K3561" t="s">
        <v>1459</v>
      </c>
      <c r="L3561" s="34">
        <v>4</v>
      </c>
      <c r="M3561" s="38">
        <v>0.75</v>
      </c>
      <c r="N3561" s="38">
        <f t="shared" si="74"/>
        <v>3</v>
      </c>
    </row>
    <row r="3562" spans="1:14">
      <c r="A3562" s="29">
        <v>45960</v>
      </c>
      <c r="B3562" s="22" t="s">
        <v>155</v>
      </c>
      <c r="C3562" s="22"/>
      <c r="D3562" s="48" t="s">
        <v>5</v>
      </c>
      <c r="E3562" t="s">
        <v>159</v>
      </c>
      <c r="F3562">
        <v>2025</v>
      </c>
      <c r="H3562" s="42" t="s">
        <v>1449</v>
      </c>
      <c r="K3562" t="s">
        <v>171</v>
      </c>
      <c r="L3562" s="34">
        <v>4</v>
      </c>
      <c r="M3562" s="38">
        <v>0.75</v>
      </c>
      <c r="N3562" s="38">
        <f t="shared" si="74"/>
        <v>3</v>
      </c>
    </row>
    <row r="3563" spans="1:14">
      <c r="A3563" s="29">
        <v>45960</v>
      </c>
      <c r="B3563" s="22" t="s">
        <v>155</v>
      </c>
      <c r="C3563" s="22"/>
      <c r="D3563" s="48" t="s">
        <v>5</v>
      </c>
      <c r="E3563" t="s">
        <v>168</v>
      </c>
      <c r="F3563">
        <v>2025</v>
      </c>
      <c r="H3563" s="42" t="s">
        <v>1449</v>
      </c>
      <c r="K3563" t="s">
        <v>1585</v>
      </c>
      <c r="L3563" s="34">
        <v>4</v>
      </c>
      <c r="M3563" s="38">
        <v>0.75</v>
      </c>
      <c r="N3563" s="38">
        <f t="shared" si="74"/>
        <v>3</v>
      </c>
    </row>
    <row r="3564" spans="1:14">
      <c r="A3564" s="29">
        <v>45960</v>
      </c>
      <c r="B3564" s="22" t="s">
        <v>155</v>
      </c>
      <c r="C3564" s="22"/>
      <c r="D3564" s="48" t="s">
        <v>5</v>
      </c>
      <c r="E3564" t="s">
        <v>163</v>
      </c>
      <c r="F3564">
        <v>2025</v>
      </c>
      <c r="H3564" s="42" t="s">
        <v>1449</v>
      </c>
      <c r="K3564" t="s">
        <v>1574</v>
      </c>
      <c r="L3564" s="34">
        <v>4</v>
      </c>
      <c r="M3564" s="38">
        <v>0.75</v>
      </c>
      <c r="N3564" s="38">
        <f t="shared" si="74"/>
        <v>3</v>
      </c>
    </row>
    <row r="3565" spans="1:14">
      <c r="A3565" s="29">
        <v>45960</v>
      </c>
      <c r="B3565" s="22" t="s">
        <v>155</v>
      </c>
      <c r="C3565" s="22"/>
      <c r="D3565" s="48" t="s">
        <v>5</v>
      </c>
      <c r="E3565" t="s">
        <v>163</v>
      </c>
      <c r="F3565">
        <v>2025</v>
      </c>
      <c r="H3565" s="42" t="s">
        <v>1449</v>
      </c>
      <c r="K3565" t="s">
        <v>1582</v>
      </c>
      <c r="L3565" s="34">
        <v>4</v>
      </c>
      <c r="M3565" s="38">
        <v>0.75</v>
      </c>
      <c r="N3565" s="38">
        <f t="shared" si="74"/>
        <v>3</v>
      </c>
    </row>
    <row r="3566" spans="1:14">
      <c r="A3566" s="29">
        <v>45960</v>
      </c>
      <c r="B3566" s="22" t="s">
        <v>137</v>
      </c>
      <c r="C3566" s="22"/>
      <c r="D3566" s="48" t="s">
        <v>5</v>
      </c>
      <c r="E3566" t="s">
        <v>160</v>
      </c>
      <c r="F3566">
        <v>2025</v>
      </c>
      <c r="H3566" s="42" t="s">
        <v>898</v>
      </c>
      <c r="K3566" t="s">
        <v>1588</v>
      </c>
      <c r="L3566" s="34">
        <v>3</v>
      </c>
      <c r="M3566" s="38">
        <v>0.75</v>
      </c>
      <c r="N3566" s="38">
        <f t="shared" si="74"/>
        <v>2.25</v>
      </c>
    </row>
    <row r="3567" spans="1:14">
      <c r="A3567" s="29">
        <v>45960</v>
      </c>
      <c r="B3567" s="22" t="s">
        <v>137</v>
      </c>
      <c r="C3567" s="22"/>
      <c r="D3567" s="48" t="s">
        <v>5</v>
      </c>
      <c r="E3567" t="s">
        <v>161</v>
      </c>
      <c r="F3567">
        <v>2025</v>
      </c>
      <c r="H3567" s="42" t="s">
        <v>1449</v>
      </c>
      <c r="K3567" t="s">
        <v>161</v>
      </c>
      <c r="L3567" s="34">
        <v>3</v>
      </c>
      <c r="M3567" s="38">
        <v>0.75</v>
      </c>
      <c r="N3567" s="38">
        <f t="shared" si="74"/>
        <v>2.25</v>
      </c>
    </row>
    <row r="3568" spans="1:14">
      <c r="A3568" s="29">
        <v>45960</v>
      </c>
      <c r="B3568" s="22" t="s">
        <v>137</v>
      </c>
      <c r="C3568" s="22"/>
      <c r="D3568" s="48" t="s">
        <v>5</v>
      </c>
      <c r="E3568" t="s">
        <v>163</v>
      </c>
      <c r="F3568">
        <v>2025</v>
      </c>
      <c r="H3568" s="42" t="s">
        <v>1449</v>
      </c>
      <c r="K3568" t="s">
        <v>1582</v>
      </c>
      <c r="L3568" s="34">
        <v>3</v>
      </c>
      <c r="M3568" s="38">
        <v>0.75</v>
      </c>
      <c r="N3568" s="38">
        <f t="shared" si="74"/>
        <v>2.25</v>
      </c>
    </row>
    <row r="3569" spans="1:14">
      <c r="A3569" s="29">
        <v>45960</v>
      </c>
      <c r="B3569" s="22" t="s">
        <v>137</v>
      </c>
      <c r="C3569" s="22"/>
      <c r="D3569" s="48" t="s">
        <v>5</v>
      </c>
      <c r="E3569" t="s">
        <v>163</v>
      </c>
      <c r="F3569">
        <v>2025</v>
      </c>
      <c r="H3569" s="42" t="s">
        <v>1449</v>
      </c>
      <c r="K3569" t="s">
        <v>1574</v>
      </c>
      <c r="L3569" s="34">
        <v>3</v>
      </c>
      <c r="M3569" s="38">
        <v>0.75</v>
      </c>
      <c r="N3569" s="38">
        <f t="shared" si="74"/>
        <v>2.25</v>
      </c>
    </row>
    <row r="3570" spans="1:14">
      <c r="A3570" s="29">
        <v>45960</v>
      </c>
      <c r="B3570" s="22" t="s">
        <v>137</v>
      </c>
      <c r="C3570" s="22"/>
      <c r="D3570" s="48" t="s">
        <v>5</v>
      </c>
      <c r="E3570" t="s">
        <v>168</v>
      </c>
      <c r="F3570">
        <v>2025</v>
      </c>
      <c r="H3570" s="42" t="s">
        <v>1449</v>
      </c>
      <c r="K3570" t="s">
        <v>1589</v>
      </c>
      <c r="L3570" s="34">
        <v>3</v>
      </c>
      <c r="M3570" s="38">
        <v>0.75</v>
      </c>
      <c r="N3570" s="38">
        <f t="shared" si="74"/>
        <v>2.25</v>
      </c>
    </row>
    <row r="3571" spans="1:14">
      <c r="A3571" s="29">
        <v>45960</v>
      </c>
      <c r="B3571" s="22" t="s">
        <v>137</v>
      </c>
      <c r="C3571" s="22"/>
      <c r="D3571" s="48" t="s">
        <v>5</v>
      </c>
      <c r="E3571" t="s">
        <v>168</v>
      </c>
      <c r="F3571">
        <v>2025</v>
      </c>
      <c r="H3571" s="42" t="s">
        <v>1449</v>
      </c>
      <c r="K3571" t="s">
        <v>1590</v>
      </c>
      <c r="L3571" s="34">
        <v>3</v>
      </c>
      <c r="M3571" s="38">
        <v>0.75</v>
      </c>
      <c r="N3571" s="38">
        <f t="shared" si="74"/>
        <v>2.25</v>
      </c>
    </row>
    <row r="3572" spans="1:14">
      <c r="A3572" s="29">
        <v>45960</v>
      </c>
      <c r="B3572" s="22" t="s">
        <v>133</v>
      </c>
      <c r="C3572" s="22"/>
      <c r="D3572" s="48" t="s">
        <v>8</v>
      </c>
      <c r="E3572" t="s">
        <v>184</v>
      </c>
      <c r="F3572">
        <v>2025</v>
      </c>
      <c r="H3572" s="42" t="s">
        <v>766</v>
      </c>
      <c r="K3572" t="s">
        <v>1591</v>
      </c>
      <c r="L3572" s="34">
        <v>1</v>
      </c>
      <c r="M3572" s="38">
        <v>0.75</v>
      </c>
      <c r="N3572" s="38">
        <f t="shared" si="74"/>
        <v>0.75</v>
      </c>
    </row>
    <row r="3573" spans="1:14">
      <c r="A3573" s="29">
        <v>45960</v>
      </c>
      <c r="B3573" s="22" t="s">
        <v>133</v>
      </c>
      <c r="C3573" s="22"/>
      <c r="D3573" s="48" t="s">
        <v>8</v>
      </c>
      <c r="E3573" t="s">
        <v>184</v>
      </c>
      <c r="F3573">
        <v>2025</v>
      </c>
      <c r="H3573" s="42" t="s">
        <v>796</v>
      </c>
      <c r="K3573" t="s">
        <v>1592</v>
      </c>
      <c r="L3573" s="34">
        <v>1</v>
      </c>
      <c r="M3573" s="38">
        <v>0.75</v>
      </c>
      <c r="N3573" s="38">
        <f t="shared" si="74"/>
        <v>0.75</v>
      </c>
    </row>
    <row r="3574" spans="1:14">
      <c r="A3574" s="29">
        <v>45960</v>
      </c>
      <c r="B3574" s="22" t="s">
        <v>150</v>
      </c>
      <c r="C3574" s="22"/>
      <c r="D3574" s="48" t="s">
        <v>8</v>
      </c>
      <c r="E3574" t="s">
        <v>1580</v>
      </c>
      <c r="F3574">
        <v>2025</v>
      </c>
      <c r="H3574" s="42" t="s">
        <v>1449</v>
      </c>
      <c r="K3574" t="s">
        <v>1579</v>
      </c>
      <c r="L3574" s="34">
        <v>2</v>
      </c>
      <c r="M3574" s="38">
        <v>0.75</v>
      </c>
      <c r="N3574" s="38">
        <f t="shared" si="74"/>
        <v>1.5</v>
      </c>
    </row>
    <row r="3575" spans="1:14">
      <c r="A3575" s="29">
        <v>45960</v>
      </c>
      <c r="B3575" s="22" t="s">
        <v>150</v>
      </c>
      <c r="C3575" s="22"/>
      <c r="D3575" s="48" t="s">
        <v>8</v>
      </c>
      <c r="E3575" t="s">
        <v>1580</v>
      </c>
      <c r="F3575">
        <v>2025</v>
      </c>
      <c r="H3575" s="42" t="s">
        <v>1449</v>
      </c>
      <c r="K3575" t="s">
        <v>1580</v>
      </c>
      <c r="L3575" s="34">
        <v>2</v>
      </c>
      <c r="M3575" s="38">
        <v>0.75</v>
      </c>
      <c r="N3575" s="38">
        <f t="shared" si="74"/>
        <v>1.5</v>
      </c>
    </row>
    <row r="3576" spans="1:14">
      <c r="A3576" s="29">
        <v>45960</v>
      </c>
      <c r="B3576" s="22" t="s">
        <v>51</v>
      </c>
      <c r="C3576" s="22"/>
      <c r="D3576" s="48" t="s">
        <v>5</v>
      </c>
      <c r="E3576" t="s">
        <v>157</v>
      </c>
      <c r="F3576">
        <v>2025</v>
      </c>
      <c r="H3576" s="42">
        <v>3010</v>
      </c>
      <c r="K3576" t="s">
        <v>163</v>
      </c>
      <c r="L3576" s="34">
        <v>2</v>
      </c>
      <c r="M3576" s="38">
        <v>0.75</v>
      </c>
      <c r="N3576" s="38">
        <f t="shared" si="74"/>
        <v>1.5</v>
      </c>
    </row>
    <row r="3577" spans="1:14">
      <c r="A3577" s="29">
        <v>45960</v>
      </c>
      <c r="B3577" s="22" t="s">
        <v>151</v>
      </c>
      <c r="C3577" s="22"/>
      <c r="D3577" s="48" t="s">
        <v>5</v>
      </c>
      <c r="E3577" t="s">
        <v>168</v>
      </c>
      <c r="F3577">
        <v>2025</v>
      </c>
      <c r="H3577" s="42" t="s">
        <v>1171</v>
      </c>
      <c r="K3577" t="s">
        <v>1585</v>
      </c>
      <c r="L3577" s="34">
        <v>3</v>
      </c>
      <c r="M3577" s="38">
        <v>0.75</v>
      </c>
      <c r="N3577" s="38">
        <f t="shared" ref="N3577:N3578" si="75">M3577*L3577</f>
        <v>2.25</v>
      </c>
    </row>
    <row r="3578" spans="1:14">
      <c r="A3578" s="29">
        <v>45960</v>
      </c>
      <c r="B3578" s="22" t="s">
        <v>152</v>
      </c>
      <c r="C3578" s="22"/>
      <c r="D3578" s="48" t="s">
        <v>8</v>
      </c>
      <c r="E3578" t="s">
        <v>199</v>
      </c>
      <c r="F3578">
        <v>2025</v>
      </c>
      <c r="H3578" s="42" t="s">
        <v>1575</v>
      </c>
      <c r="K3578" t="s">
        <v>1593</v>
      </c>
      <c r="L3578" s="34">
        <v>3</v>
      </c>
      <c r="M3578" s="38">
        <v>0.75</v>
      </c>
      <c r="N3578" s="38">
        <f t="shared" si="75"/>
        <v>2.25</v>
      </c>
    </row>
    <row r="3579" spans="1:14">
      <c r="A3579" s="29">
        <v>45965</v>
      </c>
      <c r="B3579" s="22" t="s">
        <v>134</v>
      </c>
      <c r="C3579" s="22"/>
      <c r="D3579" s="48" t="s">
        <v>8</v>
      </c>
      <c r="E3579" t="s">
        <v>1580</v>
      </c>
      <c r="F3579">
        <v>2025</v>
      </c>
      <c r="H3579" s="42" t="s">
        <v>784</v>
      </c>
      <c r="K3579" t="s">
        <v>1594</v>
      </c>
      <c r="L3579" s="34">
        <v>2</v>
      </c>
      <c r="M3579" s="38"/>
      <c r="N3579" s="38"/>
    </row>
    <row r="3580" spans="1:14">
      <c r="A3580" s="29">
        <v>45965</v>
      </c>
      <c r="B3580" s="22" t="s">
        <v>134</v>
      </c>
      <c r="C3580" s="22"/>
      <c r="D3580" s="48" t="s">
        <v>8</v>
      </c>
      <c r="E3580" t="s">
        <v>1580</v>
      </c>
      <c r="F3580">
        <v>2025</v>
      </c>
      <c r="H3580" s="42" t="s">
        <v>1595</v>
      </c>
      <c r="K3580" t="s">
        <v>1596</v>
      </c>
      <c r="L3580" s="34">
        <v>2</v>
      </c>
      <c r="M3580" s="38"/>
      <c r="N3580" s="38"/>
    </row>
    <row r="3581" spans="1:14">
      <c r="A3581" s="29">
        <v>45965</v>
      </c>
      <c r="B3581" s="22" t="s">
        <v>134</v>
      </c>
      <c r="C3581" s="22"/>
      <c r="D3581" s="48" t="s">
        <v>8</v>
      </c>
      <c r="E3581" t="s">
        <v>200</v>
      </c>
      <c r="F3581">
        <v>2025</v>
      </c>
      <c r="H3581" s="42" t="s">
        <v>952</v>
      </c>
      <c r="L3581" s="34"/>
      <c r="M3581" s="38"/>
      <c r="N3581" s="38"/>
    </row>
    <row r="3582" spans="1:14">
      <c r="A3582" s="29">
        <v>45965</v>
      </c>
      <c r="B3582" s="22" t="s">
        <v>134</v>
      </c>
      <c r="C3582" s="22"/>
      <c r="D3582" s="48" t="s">
        <v>8</v>
      </c>
      <c r="E3582" t="s">
        <v>200</v>
      </c>
      <c r="F3582">
        <v>2025</v>
      </c>
      <c r="H3582" s="42" t="s">
        <v>1597</v>
      </c>
      <c r="L3582" s="34"/>
      <c r="M3582" s="38"/>
      <c r="N3582" s="38"/>
    </row>
    <row r="3583" spans="1:14">
      <c r="A3583" s="29">
        <v>45965</v>
      </c>
      <c r="B3583" s="22" t="s">
        <v>134</v>
      </c>
      <c r="C3583" s="22"/>
      <c r="D3583" s="48" t="s">
        <v>5</v>
      </c>
      <c r="E3583" t="s">
        <v>1578</v>
      </c>
      <c r="F3583">
        <v>2025</v>
      </c>
      <c r="H3583" s="42" t="s">
        <v>1598</v>
      </c>
      <c r="K3583" t="s">
        <v>1578</v>
      </c>
      <c r="L3583" s="34"/>
      <c r="M3583" s="38"/>
      <c r="N3583" s="38"/>
    </row>
    <row r="3584" spans="1:14">
      <c r="A3584" s="29">
        <v>45965</v>
      </c>
      <c r="B3584" s="22" t="s">
        <v>134</v>
      </c>
      <c r="C3584" s="22"/>
      <c r="D3584" s="48" t="s">
        <v>5</v>
      </c>
      <c r="E3584" t="s">
        <v>171</v>
      </c>
      <c r="F3584">
        <v>2025</v>
      </c>
      <c r="H3584" s="42" t="s">
        <v>776</v>
      </c>
      <c r="K3584" t="s">
        <v>171</v>
      </c>
      <c r="L3584" s="34"/>
      <c r="M3584" s="38"/>
      <c r="N3584" s="38"/>
    </row>
    <row r="3585" spans="1:14">
      <c r="A3585" s="29">
        <v>45966</v>
      </c>
      <c r="B3585" s="22" t="s">
        <v>147</v>
      </c>
      <c r="C3585" s="22"/>
      <c r="D3585" s="48" t="s">
        <v>5</v>
      </c>
      <c r="E3585" t="s">
        <v>163</v>
      </c>
      <c r="F3585">
        <v>2025</v>
      </c>
      <c r="H3585" s="42" t="s">
        <v>1449</v>
      </c>
      <c r="K3585" t="s">
        <v>1599</v>
      </c>
      <c r="L3585" s="34">
        <v>3</v>
      </c>
      <c r="M3585" s="40">
        <v>0.75</v>
      </c>
      <c r="N3585" s="40">
        <f t="shared" ref="N3585:N3595" si="76">M3585*L3585</f>
        <v>2.25</v>
      </c>
    </row>
    <row r="3586" spans="1:14">
      <c r="A3586" s="29">
        <v>45966</v>
      </c>
      <c r="B3586" s="22" t="s">
        <v>147</v>
      </c>
      <c r="C3586" s="22"/>
      <c r="D3586" s="48" t="s">
        <v>5</v>
      </c>
      <c r="E3586" t="s">
        <v>163</v>
      </c>
      <c r="F3586">
        <v>2025</v>
      </c>
      <c r="H3586" s="42" t="s">
        <v>1449</v>
      </c>
      <c r="K3586" t="s">
        <v>1600</v>
      </c>
      <c r="L3586" s="34">
        <v>3</v>
      </c>
      <c r="M3586" s="40">
        <v>0.75</v>
      </c>
      <c r="N3586" s="40">
        <f t="shared" si="76"/>
        <v>2.25</v>
      </c>
    </row>
    <row r="3587" spans="1:14">
      <c r="A3587" s="29">
        <v>45966</v>
      </c>
      <c r="B3587" s="22" t="s">
        <v>144</v>
      </c>
      <c r="C3587" s="22" t="s">
        <v>1224</v>
      </c>
      <c r="D3587" s="48" t="s">
        <v>8</v>
      </c>
      <c r="E3587" t="s">
        <v>190</v>
      </c>
      <c r="F3587">
        <v>2025</v>
      </c>
      <c r="H3587" s="42" t="s">
        <v>1575</v>
      </c>
      <c r="K3587" t="s">
        <v>1306</v>
      </c>
      <c r="L3587" s="34">
        <v>2</v>
      </c>
      <c r="M3587" s="40">
        <v>0.75</v>
      </c>
      <c r="N3587" s="40">
        <f t="shared" si="76"/>
        <v>1.5</v>
      </c>
    </row>
    <row r="3588" spans="1:14">
      <c r="A3588" s="29">
        <v>45966</v>
      </c>
      <c r="B3588" s="22" t="s">
        <v>144</v>
      </c>
      <c r="C3588" s="22" t="s">
        <v>1224</v>
      </c>
      <c r="D3588" s="48" t="s">
        <v>8</v>
      </c>
      <c r="E3588" t="s">
        <v>193</v>
      </c>
      <c r="F3588">
        <v>2025</v>
      </c>
      <c r="H3588" s="42" t="s">
        <v>1575</v>
      </c>
      <c r="K3588" t="s">
        <v>195</v>
      </c>
      <c r="L3588" s="34">
        <v>2</v>
      </c>
      <c r="M3588" s="40">
        <v>0.75</v>
      </c>
      <c r="N3588" s="40">
        <f t="shared" si="76"/>
        <v>1.5</v>
      </c>
    </row>
    <row r="3589" spans="1:14">
      <c r="A3589" s="29">
        <v>45966</v>
      </c>
      <c r="B3589" s="22" t="s">
        <v>144</v>
      </c>
      <c r="C3589" s="22" t="s">
        <v>1224</v>
      </c>
      <c r="D3589" s="48" t="s">
        <v>5</v>
      </c>
      <c r="E3589" t="s">
        <v>164</v>
      </c>
      <c r="F3589">
        <v>2025</v>
      </c>
      <c r="H3589" s="42" t="s">
        <v>1575</v>
      </c>
      <c r="K3589" t="s">
        <v>1583</v>
      </c>
      <c r="L3589" s="34">
        <v>2</v>
      </c>
      <c r="M3589" s="40">
        <v>0.75</v>
      </c>
      <c r="N3589" s="40">
        <f t="shared" si="76"/>
        <v>1.5</v>
      </c>
    </row>
    <row r="3590" spans="1:14">
      <c r="A3590" s="29">
        <v>45966</v>
      </c>
      <c r="B3590" s="22" t="s">
        <v>144</v>
      </c>
      <c r="C3590" s="22" t="s">
        <v>1224</v>
      </c>
      <c r="D3590" s="48" t="s">
        <v>5</v>
      </c>
      <c r="E3590" t="s">
        <v>172</v>
      </c>
      <c r="F3590">
        <v>2025</v>
      </c>
      <c r="H3590" s="42" t="s">
        <v>1575</v>
      </c>
      <c r="K3590" t="s">
        <v>1582</v>
      </c>
      <c r="L3590" s="34">
        <v>2</v>
      </c>
      <c r="M3590" s="40">
        <v>0.75</v>
      </c>
      <c r="N3590" s="40">
        <f t="shared" si="76"/>
        <v>1.5</v>
      </c>
    </row>
    <row r="3591" spans="1:14">
      <c r="A3591" s="29">
        <v>45966</v>
      </c>
      <c r="B3591" s="22" t="s">
        <v>128</v>
      </c>
      <c r="C3591" s="22" t="s">
        <v>1224</v>
      </c>
      <c r="D3591" s="48" t="s">
        <v>5</v>
      </c>
      <c r="E3591" t="s">
        <v>167</v>
      </c>
      <c r="F3591">
        <v>2025</v>
      </c>
      <c r="H3591" s="42" t="s">
        <v>1449</v>
      </c>
      <c r="K3591" t="s">
        <v>1601</v>
      </c>
      <c r="L3591" s="34">
        <v>2</v>
      </c>
      <c r="M3591" s="40">
        <v>0.75</v>
      </c>
      <c r="N3591" s="40">
        <f t="shared" si="76"/>
        <v>1.5</v>
      </c>
    </row>
    <row r="3592" spans="1:14">
      <c r="A3592" s="29">
        <v>45966</v>
      </c>
      <c r="B3592" s="22" t="s">
        <v>128</v>
      </c>
      <c r="C3592" s="22" t="s">
        <v>1224</v>
      </c>
      <c r="D3592" s="48" t="s">
        <v>5</v>
      </c>
      <c r="E3592" t="s">
        <v>167</v>
      </c>
      <c r="F3592">
        <v>2025</v>
      </c>
      <c r="H3592" s="42" t="s">
        <v>1449</v>
      </c>
      <c r="K3592" t="s">
        <v>1601</v>
      </c>
      <c r="L3592" s="34">
        <v>2</v>
      </c>
      <c r="M3592" s="40">
        <v>0.75</v>
      </c>
      <c r="N3592" s="40">
        <f t="shared" si="76"/>
        <v>1.5</v>
      </c>
    </row>
    <row r="3593" spans="1:14">
      <c r="A3593" s="29">
        <v>45966</v>
      </c>
      <c r="B3593" s="22" t="s">
        <v>131</v>
      </c>
      <c r="C3593" s="22"/>
      <c r="D3593" s="48" t="s">
        <v>5</v>
      </c>
      <c r="E3593" t="s">
        <v>159</v>
      </c>
      <c r="F3593">
        <v>2025</v>
      </c>
      <c r="H3593" s="42" t="s">
        <v>815</v>
      </c>
      <c r="K3593" t="s">
        <v>1602</v>
      </c>
      <c r="L3593" s="34">
        <v>1</v>
      </c>
      <c r="M3593" s="40">
        <v>0.75</v>
      </c>
      <c r="N3593" s="40">
        <f t="shared" si="76"/>
        <v>0.75</v>
      </c>
    </row>
    <row r="3594" spans="1:14">
      <c r="A3594" s="29">
        <v>45966</v>
      </c>
      <c r="B3594" s="22" t="s">
        <v>129</v>
      </c>
      <c r="C3594" s="22"/>
      <c r="D3594" s="48" t="s">
        <v>5</v>
      </c>
      <c r="E3594" t="s">
        <v>159</v>
      </c>
      <c r="F3594">
        <v>2025</v>
      </c>
      <c r="H3594" s="42" t="s">
        <v>1575</v>
      </c>
      <c r="K3594" t="s">
        <v>1578</v>
      </c>
      <c r="L3594" s="34">
        <v>4</v>
      </c>
      <c r="M3594" s="40">
        <v>0.75</v>
      </c>
      <c r="N3594" s="40">
        <f t="shared" si="76"/>
        <v>3</v>
      </c>
    </row>
    <row r="3595" spans="1:14">
      <c r="A3595" s="29">
        <v>45966</v>
      </c>
      <c r="B3595" s="22" t="s">
        <v>129</v>
      </c>
      <c r="C3595" s="22"/>
      <c r="D3595" s="48" t="s">
        <v>5</v>
      </c>
      <c r="E3595" t="s">
        <v>168</v>
      </c>
      <c r="F3595">
        <v>2025</v>
      </c>
      <c r="H3595" s="42" t="s">
        <v>776</v>
      </c>
      <c r="K3595" t="s">
        <v>171</v>
      </c>
      <c r="L3595" s="34">
        <v>4</v>
      </c>
      <c r="M3595" s="40">
        <v>0.75</v>
      </c>
      <c r="N3595" s="40">
        <f t="shared" si="76"/>
        <v>3</v>
      </c>
    </row>
    <row r="3596" spans="1:14">
      <c r="A3596" s="29">
        <v>45966</v>
      </c>
      <c r="B3596" s="22" t="s">
        <v>129</v>
      </c>
      <c r="C3596" s="22"/>
      <c r="D3596" s="48" t="s">
        <v>5</v>
      </c>
      <c r="E3596" t="s">
        <v>163</v>
      </c>
      <c r="F3596">
        <v>2025</v>
      </c>
      <c r="H3596" s="42" t="s">
        <v>1449</v>
      </c>
      <c r="K3596" t="s">
        <v>1582</v>
      </c>
      <c r="L3596" s="34">
        <v>2</v>
      </c>
      <c r="M3596" s="40">
        <v>0.75</v>
      </c>
      <c r="N3596" s="40">
        <f t="shared" ref="N3596:N3598" si="77">M3596*L3596</f>
        <v>1.5</v>
      </c>
    </row>
    <row r="3597" spans="1:14">
      <c r="A3597" s="29">
        <v>45966</v>
      </c>
      <c r="B3597" s="22" t="s">
        <v>63</v>
      </c>
      <c r="C3597" s="22"/>
      <c r="D3597" s="48" t="s">
        <v>8</v>
      </c>
      <c r="E3597" t="s">
        <v>199</v>
      </c>
      <c r="F3597">
        <v>2025</v>
      </c>
      <c r="H3597" s="42" t="s">
        <v>1575</v>
      </c>
      <c r="K3597" t="s">
        <v>199</v>
      </c>
      <c r="L3597" s="34">
        <v>4</v>
      </c>
      <c r="M3597" s="40">
        <v>0.75</v>
      </c>
      <c r="N3597" s="40">
        <f t="shared" si="77"/>
        <v>3</v>
      </c>
    </row>
    <row r="3598" spans="1:14">
      <c r="A3598" s="29">
        <v>45966</v>
      </c>
      <c r="B3598" s="22" t="s">
        <v>129</v>
      </c>
      <c r="C3598" s="22"/>
      <c r="D3598" s="48" t="s">
        <v>8</v>
      </c>
      <c r="E3598" t="s">
        <v>193</v>
      </c>
      <c r="F3598">
        <v>2025</v>
      </c>
      <c r="H3598" s="42" t="s">
        <v>1449</v>
      </c>
      <c r="K3598" t="s">
        <v>193</v>
      </c>
      <c r="L3598" s="34">
        <v>4</v>
      </c>
      <c r="M3598" s="40">
        <v>0.75</v>
      </c>
      <c r="N3598" s="40">
        <f t="shared" si="77"/>
        <v>3</v>
      </c>
    </row>
    <row r="3599" spans="1:14">
      <c r="A3599" s="29">
        <v>45966</v>
      </c>
      <c r="B3599" s="22" t="s">
        <v>129</v>
      </c>
      <c r="C3599" s="22"/>
      <c r="D3599" s="48" t="s">
        <v>8</v>
      </c>
      <c r="E3599" t="s">
        <v>201</v>
      </c>
      <c r="F3599">
        <v>2025</v>
      </c>
      <c r="H3599" s="42" t="s">
        <v>1449</v>
      </c>
      <c r="K3599" t="s">
        <v>201</v>
      </c>
      <c r="L3599" s="34">
        <v>4</v>
      </c>
      <c r="M3599" s="40">
        <v>0.75</v>
      </c>
      <c r="N3599" s="40">
        <f t="shared" ref="N3599:N3630" si="78">M3599*L3599</f>
        <v>3</v>
      </c>
    </row>
    <row r="3600" spans="1:14">
      <c r="A3600" s="29">
        <v>45966</v>
      </c>
      <c r="B3600" s="22" t="s">
        <v>129</v>
      </c>
      <c r="C3600" s="22"/>
      <c r="D3600" s="48" t="s">
        <v>8</v>
      </c>
      <c r="E3600" t="s">
        <v>190</v>
      </c>
      <c r="F3600">
        <v>2025</v>
      </c>
      <c r="H3600" s="42" t="s">
        <v>1449</v>
      </c>
      <c r="K3600" t="s">
        <v>190</v>
      </c>
      <c r="L3600" s="34">
        <v>4</v>
      </c>
      <c r="M3600" s="40">
        <v>0.75</v>
      </c>
      <c r="N3600" s="40">
        <f t="shared" si="78"/>
        <v>3</v>
      </c>
    </row>
    <row r="3601" spans="1:14">
      <c r="A3601" s="29">
        <v>45966</v>
      </c>
      <c r="B3601" s="22" t="s">
        <v>129</v>
      </c>
      <c r="C3601" s="22"/>
      <c r="D3601" s="48" t="s">
        <v>8</v>
      </c>
      <c r="E3601" t="s">
        <v>186</v>
      </c>
      <c r="F3601">
        <v>2025</v>
      </c>
      <c r="H3601" s="42" t="s">
        <v>752</v>
      </c>
      <c r="K3601" t="s">
        <v>186</v>
      </c>
      <c r="L3601" s="34">
        <v>4</v>
      </c>
      <c r="M3601" s="40">
        <v>0.75</v>
      </c>
      <c r="N3601" s="40">
        <f t="shared" si="78"/>
        <v>3</v>
      </c>
    </row>
    <row r="3602" spans="1:14">
      <c r="A3602" s="29">
        <v>45966</v>
      </c>
      <c r="B3602" s="22" t="s">
        <v>136</v>
      </c>
      <c r="C3602" s="22"/>
      <c r="D3602" s="48" t="s">
        <v>5</v>
      </c>
      <c r="E3602" t="s">
        <v>158</v>
      </c>
      <c r="F3602">
        <v>2024</v>
      </c>
      <c r="H3602" s="42" t="s">
        <v>855</v>
      </c>
      <c r="K3602" t="s">
        <v>1603</v>
      </c>
      <c r="L3602" s="34">
        <v>2</v>
      </c>
      <c r="M3602" s="40">
        <v>0.75</v>
      </c>
      <c r="N3602" s="40">
        <f t="shared" si="78"/>
        <v>1.5</v>
      </c>
    </row>
    <row r="3603" spans="1:14">
      <c r="A3603" s="29">
        <v>45966</v>
      </c>
      <c r="B3603" s="22" t="s">
        <v>136</v>
      </c>
      <c r="C3603" s="22"/>
      <c r="D3603" s="48" t="s">
        <v>5</v>
      </c>
      <c r="E3603" t="s">
        <v>158</v>
      </c>
      <c r="F3603">
        <v>2025</v>
      </c>
      <c r="H3603" s="42" t="s">
        <v>1449</v>
      </c>
      <c r="K3603" t="s">
        <v>166</v>
      </c>
      <c r="L3603" s="34">
        <v>2</v>
      </c>
      <c r="M3603" s="40">
        <v>0.75</v>
      </c>
      <c r="N3603" s="40">
        <f t="shared" si="78"/>
        <v>1.5</v>
      </c>
    </row>
    <row r="3604" spans="1:14">
      <c r="A3604" s="29">
        <v>45966</v>
      </c>
      <c r="B3604" s="22" t="s">
        <v>148</v>
      </c>
      <c r="C3604" s="22" t="s">
        <v>1604</v>
      </c>
      <c r="D3604" s="48" t="s">
        <v>8</v>
      </c>
      <c r="E3604" t="s">
        <v>202</v>
      </c>
      <c r="F3604">
        <v>2025</v>
      </c>
      <c r="H3604" s="42" t="s">
        <v>1449</v>
      </c>
      <c r="K3604" t="s">
        <v>1605</v>
      </c>
      <c r="L3604" s="34">
        <v>1</v>
      </c>
      <c r="M3604" s="40">
        <v>0.75</v>
      </c>
      <c r="N3604" s="40">
        <f t="shared" si="78"/>
        <v>0.75</v>
      </c>
    </row>
    <row r="3605" spans="1:14">
      <c r="A3605" s="29">
        <v>45966</v>
      </c>
      <c r="B3605" s="22" t="s">
        <v>148</v>
      </c>
      <c r="C3605" s="22" t="s">
        <v>1604</v>
      </c>
      <c r="D3605" s="48" t="s">
        <v>8</v>
      </c>
      <c r="E3605" t="s">
        <v>203</v>
      </c>
      <c r="F3605">
        <v>2025</v>
      </c>
      <c r="H3605" s="42" t="s">
        <v>1449</v>
      </c>
      <c r="K3605" t="s">
        <v>1606</v>
      </c>
      <c r="L3605" s="34">
        <v>1</v>
      </c>
      <c r="M3605" s="40">
        <v>0.75</v>
      </c>
      <c r="N3605" s="40">
        <f t="shared" si="78"/>
        <v>0.75</v>
      </c>
    </row>
    <row r="3606" spans="1:14">
      <c r="A3606" s="29">
        <v>45966</v>
      </c>
      <c r="B3606" s="22" t="s">
        <v>148</v>
      </c>
      <c r="C3606" s="22" t="s">
        <v>1604</v>
      </c>
      <c r="D3606" s="48" t="s">
        <v>8</v>
      </c>
      <c r="E3606" t="s">
        <v>204</v>
      </c>
      <c r="F3606">
        <v>2025</v>
      </c>
      <c r="H3606" s="42" t="s">
        <v>1449</v>
      </c>
      <c r="K3606" t="s">
        <v>1607</v>
      </c>
      <c r="L3606" s="34">
        <v>1</v>
      </c>
      <c r="M3606" s="40">
        <v>0.75</v>
      </c>
      <c r="N3606" s="40">
        <f t="shared" si="78"/>
        <v>0.75</v>
      </c>
    </row>
    <row r="3607" spans="1:14">
      <c r="A3607" s="29">
        <v>45966</v>
      </c>
      <c r="B3607" s="22" t="s">
        <v>148</v>
      </c>
      <c r="C3607" s="22" t="s">
        <v>1604</v>
      </c>
      <c r="D3607" s="48" t="s">
        <v>8</v>
      </c>
      <c r="E3607" t="s">
        <v>205</v>
      </c>
      <c r="F3607">
        <v>2025</v>
      </c>
      <c r="H3607" s="42" t="s">
        <v>1449</v>
      </c>
      <c r="K3607" t="s">
        <v>1608</v>
      </c>
      <c r="L3607" s="34">
        <v>1</v>
      </c>
      <c r="M3607" s="40">
        <v>0.75</v>
      </c>
      <c r="N3607" s="40">
        <f t="shared" si="78"/>
        <v>0.75</v>
      </c>
    </row>
    <row r="3608" spans="1:14">
      <c r="A3608" s="29">
        <v>45966</v>
      </c>
      <c r="B3608" s="22" t="s">
        <v>139</v>
      </c>
      <c r="C3608" s="22" t="s">
        <v>1609</v>
      </c>
      <c r="D3608" s="48" t="s">
        <v>11</v>
      </c>
      <c r="E3608" t="s">
        <v>190</v>
      </c>
      <c r="F3608">
        <v>2025</v>
      </c>
      <c r="H3608" s="42" t="s">
        <v>1187</v>
      </c>
      <c r="K3608" t="s">
        <v>1610</v>
      </c>
      <c r="L3608" s="34">
        <v>4</v>
      </c>
      <c r="M3608" s="40">
        <v>0.75</v>
      </c>
      <c r="N3608" s="40">
        <f t="shared" si="78"/>
        <v>3</v>
      </c>
    </row>
    <row r="3609" spans="1:14">
      <c r="A3609" s="29">
        <v>45966</v>
      </c>
      <c r="B3609" s="22" t="s">
        <v>139</v>
      </c>
      <c r="C3609" s="22" t="s">
        <v>1609</v>
      </c>
      <c r="D3609" s="48" t="s">
        <v>11</v>
      </c>
      <c r="E3609" t="s">
        <v>180</v>
      </c>
      <c r="F3609">
        <v>2025</v>
      </c>
      <c r="H3609" s="42" t="s">
        <v>1187</v>
      </c>
      <c r="K3609" t="s">
        <v>1611</v>
      </c>
      <c r="L3609" s="34">
        <v>4</v>
      </c>
      <c r="M3609" s="40">
        <v>0.75</v>
      </c>
      <c r="N3609" s="40">
        <f t="shared" si="78"/>
        <v>3</v>
      </c>
    </row>
    <row r="3610" spans="1:14">
      <c r="A3610" s="29">
        <v>45966</v>
      </c>
      <c r="B3610" s="22" t="s">
        <v>138</v>
      </c>
      <c r="C3610" s="22"/>
      <c r="D3610" s="48" t="s">
        <v>5</v>
      </c>
      <c r="E3610" t="s">
        <v>173</v>
      </c>
      <c r="F3610">
        <v>2025</v>
      </c>
      <c r="H3610" s="42" t="s">
        <v>962</v>
      </c>
      <c r="K3610" t="s">
        <v>173</v>
      </c>
      <c r="L3610" s="34">
        <v>8</v>
      </c>
      <c r="M3610" s="40">
        <v>0.75</v>
      </c>
      <c r="N3610" s="40">
        <f t="shared" si="78"/>
        <v>6</v>
      </c>
    </row>
    <row r="3611" spans="1:14">
      <c r="A3611" s="29">
        <v>45966</v>
      </c>
      <c r="B3611" s="22" t="s">
        <v>138</v>
      </c>
      <c r="C3611" s="22"/>
      <c r="D3611" s="48" t="s">
        <v>211</v>
      </c>
      <c r="E3611" t="s">
        <v>214</v>
      </c>
      <c r="F3611">
        <v>2025</v>
      </c>
      <c r="H3611" s="42" t="s">
        <v>1449</v>
      </c>
      <c r="K3611" t="s">
        <v>1612</v>
      </c>
      <c r="L3611" s="34">
        <v>8</v>
      </c>
      <c r="M3611" s="40">
        <v>0.75</v>
      </c>
      <c r="N3611" s="40">
        <f t="shared" si="78"/>
        <v>6</v>
      </c>
    </row>
    <row r="3612" spans="1:14">
      <c r="A3612" s="29">
        <v>45966</v>
      </c>
      <c r="B3612" s="22" t="s">
        <v>138</v>
      </c>
      <c r="C3612" s="22"/>
      <c r="D3612" s="48" t="s">
        <v>8</v>
      </c>
      <c r="E3612" t="s">
        <v>199</v>
      </c>
      <c r="F3612">
        <v>2025</v>
      </c>
      <c r="H3612" s="42" t="s">
        <v>1575</v>
      </c>
      <c r="K3612" t="s">
        <v>199</v>
      </c>
      <c r="L3612" s="34">
        <v>8</v>
      </c>
      <c r="M3612" s="40">
        <v>0.75</v>
      </c>
      <c r="N3612" s="40">
        <f t="shared" si="78"/>
        <v>6</v>
      </c>
    </row>
    <row r="3613" spans="1:14">
      <c r="A3613" s="29">
        <v>45966</v>
      </c>
      <c r="B3613" s="22" t="s">
        <v>138</v>
      </c>
      <c r="C3613" s="22"/>
      <c r="D3613" s="48" t="s">
        <v>5</v>
      </c>
      <c r="E3613" t="s">
        <v>174</v>
      </c>
      <c r="F3613">
        <v>2025</v>
      </c>
      <c r="H3613" s="42" t="s">
        <v>1449</v>
      </c>
      <c r="K3613" t="s">
        <v>174</v>
      </c>
      <c r="L3613" s="34">
        <v>2</v>
      </c>
      <c r="M3613" s="40">
        <v>0.75</v>
      </c>
      <c r="N3613" s="40">
        <f t="shared" si="78"/>
        <v>1.5</v>
      </c>
    </row>
    <row r="3614" spans="1:14">
      <c r="A3614" s="29">
        <v>45966</v>
      </c>
      <c r="B3614" s="22" t="s">
        <v>138</v>
      </c>
      <c r="C3614" s="22"/>
      <c r="D3614" s="48" t="s">
        <v>5</v>
      </c>
      <c r="E3614" t="s">
        <v>158</v>
      </c>
      <c r="F3614">
        <v>2025</v>
      </c>
      <c r="H3614" s="42" t="s">
        <v>1575</v>
      </c>
      <c r="K3614" t="s">
        <v>166</v>
      </c>
      <c r="L3614" s="34">
        <v>2</v>
      </c>
      <c r="M3614" s="40">
        <v>0.75</v>
      </c>
      <c r="N3614" s="40">
        <f t="shared" si="78"/>
        <v>1.5</v>
      </c>
    </row>
    <row r="3615" spans="1:14">
      <c r="A3615" s="29">
        <v>45966</v>
      </c>
      <c r="B3615" s="22" t="s">
        <v>138</v>
      </c>
      <c r="C3615" s="22"/>
      <c r="D3615" s="48" t="s">
        <v>5</v>
      </c>
      <c r="E3615" t="s">
        <v>162</v>
      </c>
      <c r="F3615">
        <v>2025</v>
      </c>
      <c r="H3615" s="42" t="s">
        <v>1575</v>
      </c>
      <c r="K3615" t="s">
        <v>357</v>
      </c>
      <c r="L3615" s="34">
        <v>1</v>
      </c>
      <c r="M3615" s="40">
        <v>0.75</v>
      </c>
      <c r="N3615" s="40">
        <f t="shared" si="78"/>
        <v>0.75</v>
      </c>
    </row>
    <row r="3616" spans="1:14">
      <c r="A3616" s="29">
        <v>45966</v>
      </c>
      <c r="B3616" s="22" t="s">
        <v>138</v>
      </c>
      <c r="C3616" s="22"/>
      <c r="D3616" s="48" t="s">
        <v>5</v>
      </c>
      <c r="E3616" t="s">
        <v>162</v>
      </c>
      <c r="F3616">
        <v>2025</v>
      </c>
      <c r="H3616" s="42" t="s">
        <v>1575</v>
      </c>
      <c r="K3616" t="s">
        <v>359</v>
      </c>
      <c r="L3616" s="34">
        <v>1</v>
      </c>
      <c r="M3616" s="40">
        <v>0.75</v>
      </c>
      <c r="N3616" s="40">
        <f t="shared" si="78"/>
        <v>0.75</v>
      </c>
    </row>
    <row r="3617" spans="1:14">
      <c r="A3617" s="29">
        <v>45966</v>
      </c>
      <c r="B3617" s="22" t="s">
        <v>138</v>
      </c>
      <c r="C3617" s="22"/>
      <c r="D3617" s="48" t="s">
        <v>5</v>
      </c>
      <c r="E3617" t="s">
        <v>163</v>
      </c>
      <c r="F3617">
        <v>2025</v>
      </c>
      <c r="H3617" s="42" t="s">
        <v>1449</v>
      </c>
      <c r="K3617" t="s">
        <v>1613</v>
      </c>
      <c r="L3617" s="34">
        <v>2</v>
      </c>
      <c r="M3617" s="40">
        <v>0.75</v>
      </c>
      <c r="N3617" s="40">
        <f t="shared" si="78"/>
        <v>1.5</v>
      </c>
    </row>
    <row r="3618" spans="1:14">
      <c r="A3618" s="29">
        <v>45966</v>
      </c>
      <c r="B3618" s="22" t="s">
        <v>138</v>
      </c>
      <c r="C3618" s="22"/>
      <c r="D3618" s="48" t="s">
        <v>5</v>
      </c>
      <c r="E3618" t="s">
        <v>163</v>
      </c>
      <c r="F3618">
        <v>2025</v>
      </c>
      <c r="H3618" s="42" t="s">
        <v>1575</v>
      </c>
      <c r="K3618" t="s">
        <v>1574</v>
      </c>
      <c r="L3618" s="34">
        <v>2</v>
      </c>
      <c r="M3618" s="40">
        <v>0.75</v>
      </c>
      <c r="N3618" s="40">
        <f t="shared" si="78"/>
        <v>1.5</v>
      </c>
    </row>
    <row r="3619" spans="1:14">
      <c r="A3619" s="29">
        <v>45966</v>
      </c>
      <c r="B3619" s="22" t="s">
        <v>138</v>
      </c>
      <c r="C3619" s="22"/>
      <c r="D3619" s="48" t="s">
        <v>8</v>
      </c>
      <c r="E3619" t="s">
        <v>192</v>
      </c>
      <c r="F3619">
        <v>2025</v>
      </c>
      <c r="H3619" s="42" t="s">
        <v>1449</v>
      </c>
      <c r="K3619" t="s">
        <v>1614</v>
      </c>
      <c r="L3619" s="34">
        <v>2</v>
      </c>
      <c r="M3619" s="40">
        <v>0.75</v>
      </c>
      <c r="N3619" s="40">
        <f t="shared" si="78"/>
        <v>1.5</v>
      </c>
    </row>
    <row r="3620" spans="1:14">
      <c r="A3620" s="29">
        <v>45966</v>
      </c>
      <c r="B3620" s="22" t="s">
        <v>138</v>
      </c>
      <c r="C3620" s="22"/>
      <c r="D3620" s="48" t="s">
        <v>8</v>
      </c>
      <c r="E3620" t="s">
        <v>193</v>
      </c>
      <c r="F3620">
        <v>2025</v>
      </c>
      <c r="H3620" s="42" t="s">
        <v>1575</v>
      </c>
      <c r="K3620" t="s">
        <v>195</v>
      </c>
      <c r="L3620" s="34">
        <v>2</v>
      </c>
      <c r="M3620" s="40">
        <v>0.75</v>
      </c>
      <c r="N3620" s="40">
        <f t="shared" si="78"/>
        <v>1.5</v>
      </c>
    </row>
    <row r="3621" spans="1:14">
      <c r="A3621" s="29">
        <v>45966</v>
      </c>
      <c r="B3621" s="22" t="s">
        <v>138</v>
      </c>
      <c r="C3621" s="22"/>
      <c r="D3621" s="48" t="s">
        <v>8</v>
      </c>
      <c r="E3621" t="s">
        <v>193</v>
      </c>
      <c r="F3621">
        <v>2025</v>
      </c>
      <c r="H3621" s="42" t="s">
        <v>1449</v>
      </c>
      <c r="K3621" t="s">
        <v>197</v>
      </c>
      <c r="L3621" s="34">
        <v>2</v>
      </c>
      <c r="M3621" s="40">
        <v>0.75</v>
      </c>
      <c r="N3621" s="40">
        <f t="shared" si="78"/>
        <v>1.5</v>
      </c>
    </row>
    <row r="3622" spans="1:14">
      <c r="A3622" s="29">
        <v>45966</v>
      </c>
      <c r="B3622" s="22" t="s">
        <v>138</v>
      </c>
      <c r="C3622" s="22"/>
      <c r="D3622" s="48" t="s">
        <v>8</v>
      </c>
      <c r="E3622" t="s">
        <v>190</v>
      </c>
      <c r="F3622">
        <v>2025</v>
      </c>
      <c r="H3622" s="42" t="s">
        <v>1449</v>
      </c>
      <c r="K3622" t="s">
        <v>1577</v>
      </c>
      <c r="L3622" s="34">
        <v>2</v>
      </c>
      <c r="M3622" s="40">
        <v>0.75</v>
      </c>
      <c r="N3622" s="40">
        <f t="shared" si="78"/>
        <v>1.5</v>
      </c>
    </row>
    <row r="3623" spans="1:14">
      <c r="A3623" s="29">
        <v>45966</v>
      </c>
      <c r="B3623" s="22" t="s">
        <v>138</v>
      </c>
      <c r="C3623" s="22"/>
      <c r="D3623" s="48" t="s">
        <v>8</v>
      </c>
      <c r="E3623" t="s">
        <v>186</v>
      </c>
      <c r="F3623">
        <v>2025</v>
      </c>
      <c r="H3623" s="42" t="s">
        <v>752</v>
      </c>
      <c r="K3623" t="s">
        <v>1615</v>
      </c>
      <c r="L3623" s="34">
        <v>2</v>
      </c>
      <c r="M3623" s="40">
        <v>0.75</v>
      </c>
      <c r="N3623" s="40">
        <f t="shared" si="78"/>
        <v>1.5</v>
      </c>
    </row>
    <row r="3624" spans="1:14">
      <c r="A3624" s="29">
        <v>45966</v>
      </c>
      <c r="B3624" s="22" t="s">
        <v>138</v>
      </c>
      <c r="C3624" s="22"/>
      <c r="D3624" s="48" t="s">
        <v>11</v>
      </c>
      <c r="E3624" t="s">
        <v>186</v>
      </c>
      <c r="F3624">
        <v>2024</v>
      </c>
      <c r="H3624" s="42" t="s">
        <v>1449</v>
      </c>
      <c r="K3624" t="s">
        <v>1616</v>
      </c>
      <c r="L3624" s="34">
        <v>2</v>
      </c>
      <c r="M3624" s="40">
        <v>0.75</v>
      </c>
      <c r="N3624" s="40">
        <f t="shared" si="78"/>
        <v>1.5</v>
      </c>
    </row>
    <row r="3625" spans="1:14">
      <c r="A3625" s="29">
        <v>45966</v>
      </c>
      <c r="B3625" s="22" t="s">
        <v>138</v>
      </c>
      <c r="C3625" s="22"/>
      <c r="D3625" s="48" t="s">
        <v>11</v>
      </c>
      <c r="E3625" t="s">
        <v>210</v>
      </c>
      <c r="F3625">
        <v>2024</v>
      </c>
      <c r="H3625" s="42" t="s">
        <v>1449</v>
      </c>
      <c r="K3625" t="s">
        <v>1617</v>
      </c>
      <c r="L3625" s="34">
        <v>2</v>
      </c>
      <c r="M3625" s="40">
        <v>0.75</v>
      </c>
      <c r="N3625" s="40">
        <f t="shared" si="78"/>
        <v>1.5</v>
      </c>
    </row>
    <row r="3626" spans="1:14">
      <c r="A3626" s="29">
        <v>45973</v>
      </c>
      <c r="B3626" s="22" t="s">
        <v>109</v>
      </c>
      <c r="C3626" s="22"/>
      <c r="D3626" s="48" t="s">
        <v>5</v>
      </c>
      <c r="E3626" t="s">
        <v>175</v>
      </c>
      <c r="F3626">
        <v>2025</v>
      </c>
      <c r="H3626" s="42" t="s">
        <v>1449</v>
      </c>
      <c r="K3626" t="s">
        <v>1618</v>
      </c>
      <c r="L3626" s="34">
        <v>1</v>
      </c>
      <c r="M3626" s="40">
        <v>0.75</v>
      </c>
      <c r="N3626" s="40">
        <f t="shared" si="78"/>
        <v>0.75</v>
      </c>
    </row>
    <row r="3627" spans="1:14">
      <c r="A3627" s="29">
        <v>45973</v>
      </c>
      <c r="B3627" s="22" t="s">
        <v>109</v>
      </c>
      <c r="C3627" s="22"/>
      <c r="D3627" s="48" t="s">
        <v>5</v>
      </c>
      <c r="E3627" t="s">
        <v>175</v>
      </c>
      <c r="F3627">
        <v>2025</v>
      </c>
      <c r="H3627" s="42" t="s">
        <v>1449</v>
      </c>
      <c r="K3627" t="s">
        <v>1619</v>
      </c>
      <c r="L3627" s="34">
        <v>1</v>
      </c>
      <c r="M3627" s="40">
        <v>0.75</v>
      </c>
      <c r="N3627" s="40">
        <f t="shared" si="78"/>
        <v>0.75</v>
      </c>
    </row>
    <row r="3628" spans="1:14">
      <c r="A3628" s="29">
        <v>45973</v>
      </c>
      <c r="B3628" s="22" t="s">
        <v>132</v>
      </c>
      <c r="C3628" s="22"/>
      <c r="D3628" s="48" t="s">
        <v>5</v>
      </c>
      <c r="E3628" t="s">
        <v>175</v>
      </c>
      <c r="F3628">
        <v>2025</v>
      </c>
      <c r="H3628" s="42" t="s">
        <v>1449</v>
      </c>
      <c r="K3628" t="s">
        <v>166</v>
      </c>
      <c r="L3628" s="34">
        <v>1</v>
      </c>
      <c r="M3628" s="40">
        <v>0.75</v>
      </c>
      <c r="N3628" s="40">
        <f t="shared" si="78"/>
        <v>0.75</v>
      </c>
    </row>
    <row r="3629" spans="1:14">
      <c r="A3629" s="29">
        <v>45973</v>
      </c>
      <c r="B3629" s="22" t="s">
        <v>135</v>
      </c>
      <c r="C3629" s="22"/>
      <c r="D3629" s="48" t="s">
        <v>8</v>
      </c>
      <c r="E3629" t="s">
        <v>175</v>
      </c>
      <c r="F3629">
        <v>2025</v>
      </c>
      <c r="H3629" s="42" t="s">
        <v>1449</v>
      </c>
      <c r="K3629" t="s">
        <v>1620</v>
      </c>
      <c r="L3629" s="34">
        <v>2</v>
      </c>
      <c r="M3629" s="40">
        <v>0.75</v>
      </c>
      <c r="N3629" s="40">
        <f t="shared" si="78"/>
        <v>1.5</v>
      </c>
    </row>
    <row r="3630" spans="1:14">
      <c r="A3630" s="29">
        <v>45973</v>
      </c>
      <c r="B3630" s="22" t="s">
        <v>135</v>
      </c>
      <c r="C3630" s="22"/>
      <c r="D3630" s="48" t="s">
        <v>8</v>
      </c>
      <c r="E3630" t="s">
        <v>175</v>
      </c>
      <c r="F3630">
        <v>2025</v>
      </c>
      <c r="H3630" s="42" t="s">
        <v>1449</v>
      </c>
      <c r="K3630" t="s">
        <v>1621</v>
      </c>
      <c r="L3630" s="34">
        <v>2</v>
      </c>
      <c r="M3630" s="40">
        <v>0.75</v>
      </c>
      <c r="N3630" s="40">
        <f t="shared" si="78"/>
        <v>1.5</v>
      </c>
    </row>
    <row r="3631" spans="1:14">
      <c r="A3631" s="29">
        <v>45974</v>
      </c>
      <c r="B3631" s="22" t="s">
        <v>134</v>
      </c>
      <c r="C3631" s="22"/>
      <c r="D3631" s="48" t="s">
        <v>8</v>
      </c>
      <c r="E3631" t="s">
        <v>193</v>
      </c>
      <c r="F3631">
        <v>2025</v>
      </c>
      <c r="H3631" s="42" t="s">
        <v>784</v>
      </c>
      <c r="K3631" t="s">
        <v>1622</v>
      </c>
      <c r="L3631" s="34">
        <v>2</v>
      </c>
      <c r="M3631" s="40">
        <v>0.75</v>
      </c>
      <c r="N3631" s="40">
        <f t="shared" ref="N3631:N3634" si="79">M3631*L3631</f>
        <v>1.5</v>
      </c>
    </row>
    <row r="3632" spans="1:14">
      <c r="A3632" s="29">
        <v>45974</v>
      </c>
      <c r="B3632" s="22" t="s">
        <v>134</v>
      </c>
      <c r="C3632" s="22"/>
      <c r="D3632" s="48" t="s">
        <v>8</v>
      </c>
      <c r="E3632" t="s">
        <v>193</v>
      </c>
      <c r="F3632">
        <v>2025</v>
      </c>
      <c r="H3632" s="42" t="s">
        <v>1623</v>
      </c>
      <c r="K3632" t="s">
        <v>278</v>
      </c>
      <c r="L3632" s="34">
        <v>2</v>
      </c>
      <c r="M3632" s="40">
        <v>0.75</v>
      </c>
      <c r="N3632" s="40">
        <f t="shared" si="79"/>
        <v>1.5</v>
      </c>
    </row>
    <row r="3633" spans="1:15">
      <c r="A3633" s="29">
        <v>45974</v>
      </c>
      <c r="B3633" s="22" t="s">
        <v>134</v>
      </c>
      <c r="C3633" s="22"/>
      <c r="D3633" s="48" t="s">
        <v>5</v>
      </c>
      <c r="E3633" t="s">
        <v>165</v>
      </c>
      <c r="F3633">
        <v>2025</v>
      </c>
      <c r="H3633" s="42" t="s">
        <v>1171</v>
      </c>
      <c r="K3633" t="s">
        <v>1624</v>
      </c>
      <c r="L3633" s="34">
        <v>2</v>
      </c>
      <c r="M3633" s="40">
        <v>0.75</v>
      </c>
      <c r="N3633" s="40">
        <f t="shared" si="79"/>
        <v>1.5</v>
      </c>
    </row>
    <row r="3634" spans="1:15">
      <c r="A3634" s="29">
        <v>45974</v>
      </c>
      <c r="B3634" s="22" t="s">
        <v>141</v>
      </c>
      <c r="C3634" s="22"/>
      <c r="D3634" s="48" t="s">
        <v>8</v>
      </c>
      <c r="E3634" t="s">
        <v>178</v>
      </c>
      <c r="F3634">
        <v>2025</v>
      </c>
      <c r="H3634" s="42" t="s">
        <v>765</v>
      </c>
      <c r="K3634" t="s">
        <v>185</v>
      </c>
      <c r="L3634" s="34">
        <v>2</v>
      </c>
      <c r="M3634" s="40">
        <v>0.75</v>
      </c>
      <c r="N3634" s="40">
        <f t="shared" si="79"/>
        <v>1.5</v>
      </c>
    </row>
    <row r="3635" spans="1:15">
      <c r="A3635" s="29">
        <v>45974</v>
      </c>
      <c r="B3635" s="22" t="s">
        <v>141</v>
      </c>
      <c r="C3635" s="22"/>
      <c r="D3635" s="48" t="s">
        <v>8</v>
      </c>
      <c r="E3635" t="s">
        <v>179</v>
      </c>
      <c r="F3635">
        <v>2025</v>
      </c>
      <c r="H3635" s="42" t="s">
        <v>752</v>
      </c>
      <c r="K3635" t="s">
        <v>1172</v>
      </c>
      <c r="L3635" s="34">
        <v>2</v>
      </c>
      <c r="M3635" s="40">
        <v>0.75</v>
      </c>
      <c r="N3635" s="40">
        <f t="shared" ref="N3635:N3681" si="80">M3635*L3635</f>
        <v>1.5</v>
      </c>
    </row>
    <row r="3636" spans="1:15">
      <c r="A3636" s="29">
        <v>45974</v>
      </c>
      <c r="B3636" s="22" t="s">
        <v>28</v>
      </c>
      <c r="C3636" s="22"/>
      <c r="D3636" s="48" t="s">
        <v>5</v>
      </c>
      <c r="E3636" t="s">
        <v>166</v>
      </c>
      <c r="F3636">
        <v>2025</v>
      </c>
      <c r="H3636" s="42" t="s">
        <v>1449</v>
      </c>
      <c r="K3636" t="s">
        <v>166</v>
      </c>
      <c r="L3636" s="34">
        <v>6</v>
      </c>
      <c r="M3636" s="40">
        <v>0.75</v>
      </c>
      <c r="N3636" s="40">
        <f t="shared" si="80"/>
        <v>4.5</v>
      </c>
      <c r="O3636" t="s">
        <v>1314</v>
      </c>
    </row>
    <row r="3637" spans="1:15">
      <c r="A3637" s="29">
        <v>45974</v>
      </c>
      <c r="B3637" s="22" t="s">
        <v>17</v>
      </c>
      <c r="C3637" s="22"/>
      <c r="D3637" s="48" t="s">
        <v>8</v>
      </c>
      <c r="E3637" t="s">
        <v>180</v>
      </c>
      <c r="F3637">
        <v>2025</v>
      </c>
      <c r="H3637" s="42" t="s">
        <v>1449</v>
      </c>
      <c r="K3637" t="s">
        <v>1625</v>
      </c>
      <c r="L3637" s="34">
        <v>1</v>
      </c>
      <c r="M3637" s="40">
        <v>0.75</v>
      </c>
      <c r="N3637" s="40">
        <f t="shared" si="80"/>
        <v>0.75</v>
      </c>
    </row>
    <row r="3638" spans="1:15">
      <c r="A3638" s="29">
        <v>45974</v>
      </c>
      <c r="B3638" s="22" t="s">
        <v>17</v>
      </c>
      <c r="C3638" s="22"/>
      <c r="D3638" s="48" t="s">
        <v>8</v>
      </c>
      <c r="E3638" t="s">
        <v>193</v>
      </c>
      <c r="F3638">
        <v>2025</v>
      </c>
      <c r="H3638" s="42" t="s">
        <v>1449</v>
      </c>
      <c r="K3638" t="s">
        <v>1626</v>
      </c>
      <c r="L3638" s="34">
        <v>1</v>
      </c>
      <c r="M3638" s="40">
        <v>0.75</v>
      </c>
      <c r="N3638" s="40">
        <f t="shared" si="80"/>
        <v>0.75</v>
      </c>
    </row>
    <row r="3639" spans="1:15">
      <c r="A3639" s="29">
        <v>45974</v>
      </c>
      <c r="B3639" s="22" t="s">
        <v>17</v>
      </c>
      <c r="C3639" s="22"/>
      <c r="D3639" s="48" t="s">
        <v>8</v>
      </c>
      <c r="E3639" t="s">
        <v>206</v>
      </c>
      <c r="F3639">
        <v>2025</v>
      </c>
      <c r="H3639" s="42" t="s">
        <v>1449</v>
      </c>
      <c r="K3639" t="s">
        <v>1627</v>
      </c>
      <c r="L3639" s="34">
        <v>1</v>
      </c>
      <c r="M3639" s="40">
        <v>0.75</v>
      </c>
      <c r="N3639" s="40">
        <f t="shared" si="80"/>
        <v>0.75</v>
      </c>
    </row>
    <row r="3640" spans="1:15">
      <c r="A3640" s="29">
        <v>45975</v>
      </c>
      <c r="B3640" s="22" t="s">
        <v>142</v>
      </c>
      <c r="C3640" s="22"/>
      <c r="D3640" s="48" t="s">
        <v>8</v>
      </c>
      <c r="E3640" t="s">
        <v>1580</v>
      </c>
      <c r="F3640">
        <v>2025</v>
      </c>
      <c r="H3640" s="42" t="s">
        <v>1449</v>
      </c>
      <c r="L3640" s="34">
        <v>2</v>
      </c>
      <c r="M3640" s="40">
        <v>0.75</v>
      </c>
      <c r="N3640" s="40">
        <f t="shared" si="80"/>
        <v>1.5</v>
      </c>
    </row>
    <row r="3641" spans="1:15">
      <c r="A3641" s="29">
        <v>45975</v>
      </c>
      <c r="B3641" s="22" t="s">
        <v>142</v>
      </c>
      <c r="C3641" s="22"/>
      <c r="D3641" s="48" t="s">
        <v>8</v>
      </c>
      <c r="E3641" t="s">
        <v>1579</v>
      </c>
      <c r="F3641">
        <v>2025</v>
      </c>
      <c r="H3641" s="42" t="s">
        <v>1449</v>
      </c>
      <c r="L3641" s="34">
        <v>2</v>
      </c>
      <c r="M3641" s="40">
        <v>0.75</v>
      </c>
      <c r="N3641" s="40">
        <f t="shared" si="80"/>
        <v>1.5</v>
      </c>
    </row>
    <row r="3642" spans="1:15">
      <c r="A3642" s="29">
        <v>45975</v>
      </c>
      <c r="B3642" s="22" t="s">
        <v>75</v>
      </c>
      <c r="C3642" s="22"/>
      <c r="D3642" s="48" t="s">
        <v>8</v>
      </c>
      <c r="E3642" t="s">
        <v>207</v>
      </c>
      <c r="F3642">
        <v>2025</v>
      </c>
      <c r="H3642" s="42" t="s">
        <v>1449</v>
      </c>
      <c r="L3642" s="34">
        <v>2</v>
      </c>
      <c r="M3642" s="40">
        <v>0.75</v>
      </c>
      <c r="N3642" s="40">
        <f t="shared" si="80"/>
        <v>1.5</v>
      </c>
    </row>
    <row r="3643" spans="1:15">
      <c r="A3643" s="29">
        <v>45978</v>
      </c>
      <c r="B3643" s="22" t="s">
        <v>130</v>
      </c>
      <c r="C3643" s="22" t="s">
        <v>7</v>
      </c>
      <c r="D3643" s="48" t="s">
        <v>5</v>
      </c>
      <c r="E3643" t="s">
        <v>157</v>
      </c>
      <c r="F3643">
        <v>2025</v>
      </c>
      <c r="G3643" t="s">
        <v>252</v>
      </c>
      <c r="H3643" s="42" t="s">
        <v>835</v>
      </c>
      <c r="K3643" t="s">
        <v>1628</v>
      </c>
      <c r="L3643" s="34">
        <v>3</v>
      </c>
      <c r="M3643" s="40">
        <v>0.75</v>
      </c>
      <c r="N3643" s="40">
        <f t="shared" si="80"/>
        <v>2.25</v>
      </c>
    </row>
    <row r="3644" spans="1:15">
      <c r="A3644" s="29">
        <v>45978</v>
      </c>
      <c r="B3644" s="22" t="s">
        <v>130</v>
      </c>
      <c r="C3644" s="22" t="s">
        <v>7</v>
      </c>
      <c r="D3644" s="48" t="s">
        <v>5</v>
      </c>
      <c r="E3644" t="s">
        <v>157</v>
      </c>
      <c r="F3644">
        <v>2025</v>
      </c>
      <c r="G3644" t="s">
        <v>247</v>
      </c>
      <c r="H3644" s="42" t="s">
        <v>57</v>
      </c>
      <c r="K3644" t="s">
        <v>1629</v>
      </c>
      <c r="L3644" s="34">
        <v>3</v>
      </c>
      <c r="M3644" s="40">
        <v>0.75</v>
      </c>
      <c r="N3644" s="40">
        <f t="shared" si="80"/>
        <v>2.25</v>
      </c>
    </row>
    <row r="3645" spans="1:15">
      <c r="A3645" s="29">
        <v>45978</v>
      </c>
      <c r="B3645" s="22" t="s">
        <v>130</v>
      </c>
      <c r="C3645" s="22" t="s">
        <v>7</v>
      </c>
      <c r="D3645" s="48" t="s">
        <v>5</v>
      </c>
      <c r="E3645" t="s">
        <v>157</v>
      </c>
      <c r="F3645">
        <v>2025</v>
      </c>
      <c r="G3645" t="s">
        <v>57</v>
      </c>
      <c r="H3645" s="42" t="s">
        <v>57</v>
      </c>
      <c r="K3645" t="s">
        <v>1630</v>
      </c>
      <c r="L3645" s="34">
        <v>3</v>
      </c>
      <c r="M3645" s="40">
        <v>0.75</v>
      </c>
      <c r="N3645" s="40">
        <f t="shared" si="80"/>
        <v>2.25</v>
      </c>
    </row>
    <row r="3646" spans="1:15">
      <c r="A3646" s="29">
        <v>45978</v>
      </c>
      <c r="B3646" s="22" t="s">
        <v>130</v>
      </c>
      <c r="C3646" s="22" t="s">
        <v>7</v>
      </c>
      <c r="D3646" s="48" t="s">
        <v>5</v>
      </c>
      <c r="E3646" t="s">
        <v>164</v>
      </c>
      <c r="F3646">
        <v>2025</v>
      </c>
      <c r="G3646" t="s">
        <v>618</v>
      </c>
      <c r="H3646" s="42" t="s">
        <v>1631</v>
      </c>
      <c r="L3646" s="34">
        <v>3</v>
      </c>
      <c r="M3646" s="40">
        <v>0.75</v>
      </c>
      <c r="N3646" s="40">
        <f t="shared" si="80"/>
        <v>2.25</v>
      </c>
    </row>
    <row r="3647" spans="1:15">
      <c r="A3647" s="29">
        <v>45978</v>
      </c>
      <c r="B3647" s="22" t="s">
        <v>130</v>
      </c>
      <c r="C3647" s="22" t="s">
        <v>7</v>
      </c>
      <c r="D3647" s="48" t="s">
        <v>5</v>
      </c>
      <c r="E3647" t="s">
        <v>176</v>
      </c>
      <c r="F3647">
        <v>2025</v>
      </c>
      <c r="G3647" t="s">
        <v>57</v>
      </c>
      <c r="H3647" s="42" t="s">
        <v>57</v>
      </c>
      <c r="K3647" t="s">
        <v>1632</v>
      </c>
      <c r="L3647" s="34">
        <v>3</v>
      </c>
      <c r="M3647" s="40">
        <v>0.75</v>
      </c>
      <c r="N3647" s="40">
        <f t="shared" si="80"/>
        <v>2.25</v>
      </c>
    </row>
    <row r="3648" spans="1:15">
      <c r="A3648" s="29">
        <v>45978</v>
      </c>
      <c r="B3648" s="22" t="s">
        <v>130</v>
      </c>
      <c r="C3648" s="22" t="s">
        <v>7</v>
      </c>
      <c r="D3648" s="48" t="s">
        <v>8</v>
      </c>
      <c r="E3648" t="s">
        <v>185</v>
      </c>
      <c r="F3648">
        <v>2025</v>
      </c>
      <c r="G3648" t="s">
        <v>1633</v>
      </c>
      <c r="H3648" s="42" t="s">
        <v>57</v>
      </c>
      <c r="L3648" s="34">
        <v>3</v>
      </c>
      <c r="M3648" s="40">
        <v>0.75</v>
      </c>
      <c r="N3648" s="40">
        <f t="shared" si="80"/>
        <v>2.25</v>
      </c>
    </row>
    <row r="3649" spans="1:14">
      <c r="A3649" s="29">
        <v>45978</v>
      </c>
      <c r="B3649" s="22" t="s">
        <v>130</v>
      </c>
      <c r="C3649" s="22" t="s">
        <v>7</v>
      </c>
      <c r="D3649" s="48" t="s">
        <v>8</v>
      </c>
      <c r="E3649" t="s">
        <v>208</v>
      </c>
      <c r="F3649">
        <v>2025</v>
      </c>
      <c r="G3649" t="s">
        <v>1634</v>
      </c>
      <c r="H3649" s="42" t="s">
        <v>1022</v>
      </c>
      <c r="L3649" s="34">
        <v>3</v>
      </c>
      <c r="M3649" s="40">
        <v>0.75</v>
      </c>
      <c r="N3649" s="40">
        <f t="shared" si="80"/>
        <v>2.25</v>
      </c>
    </row>
    <row r="3650" spans="1:14">
      <c r="A3650" s="29">
        <v>45978</v>
      </c>
      <c r="B3650" s="22" t="s">
        <v>130</v>
      </c>
      <c r="C3650" s="22" t="s">
        <v>7</v>
      </c>
      <c r="D3650" s="48" t="s">
        <v>8</v>
      </c>
      <c r="E3650" t="s">
        <v>209</v>
      </c>
      <c r="F3650">
        <v>2025</v>
      </c>
      <c r="G3650" t="s">
        <v>57</v>
      </c>
      <c r="H3650" s="42" t="s">
        <v>57</v>
      </c>
      <c r="K3650" t="s">
        <v>1635</v>
      </c>
      <c r="L3650" s="34">
        <v>3</v>
      </c>
      <c r="M3650" s="40">
        <v>0.75</v>
      </c>
      <c r="N3650" s="40">
        <f t="shared" si="80"/>
        <v>2.25</v>
      </c>
    </row>
    <row r="3651" spans="1:14">
      <c r="A3651" s="29">
        <v>45978</v>
      </c>
      <c r="B3651" s="22" t="s">
        <v>134</v>
      </c>
      <c r="C3651" s="22" t="s">
        <v>57</v>
      </c>
      <c r="D3651" s="48" t="s">
        <v>8</v>
      </c>
      <c r="E3651" t="s">
        <v>1576</v>
      </c>
      <c r="F3651">
        <v>2025</v>
      </c>
      <c r="H3651" s="42" t="s">
        <v>952</v>
      </c>
      <c r="K3651" t="s">
        <v>1469</v>
      </c>
      <c r="L3651" s="34">
        <v>3</v>
      </c>
      <c r="M3651" s="40">
        <v>0.75</v>
      </c>
      <c r="N3651" s="40">
        <f t="shared" si="80"/>
        <v>2.25</v>
      </c>
    </row>
    <row r="3652" spans="1:14">
      <c r="A3652" s="29">
        <v>45978</v>
      </c>
      <c r="B3652" s="22" t="s">
        <v>63</v>
      </c>
      <c r="C3652" s="22" t="s">
        <v>57</v>
      </c>
      <c r="D3652" s="48" t="s">
        <v>5</v>
      </c>
      <c r="E3652" t="s">
        <v>164</v>
      </c>
      <c r="F3652">
        <v>2025</v>
      </c>
      <c r="G3652" t="s">
        <v>618</v>
      </c>
      <c r="H3652" s="42" t="s">
        <v>1631</v>
      </c>
      <c r="L3652" s="34">
        <v>4</v>
      </c>
      <c r="M3652" s="40">
        <v>0.75</v>
      </c>
      <c r="N3652" s="40">
        <f t="shared" si="80"/>
        <v>3</v>
      </c>
    </row>
    <row r="3653" spans="1:14">
      <c r="A3653" s="29">
        <v>45978</v>
      </c>
      <c r="B3653" s="22" t="s">
        <v>63</v>
      </c>
      <c r="C3653" s="22" t="s">
        <v>57</v>
      </c>
      <c r="D3653" s="48" t="s">
        <v>5</v>
      </c>
      <c r="E3653" t="s">
        <v>157</v>
      </c>
      <c r="F3653">
        <v>2025</v>
      </c>
      <c r="G3653" t="s">
        <v>252</v>
      </c>
      <c r="H3653" s="42" t="s">
        <v>835</v>
      </c>
      <c r="K3653" t="s">
        <v>1636</v>
      </c>
      <c r="L3653" s="34">
        <v>4</v>
      </c>
      <c r="M3653" s="40">
        <v>0.75</v>
      </c>
      <c r="N3653" s="40">
        <f t="shared" si="80"/>
        <v>3</v>
      </c>
    </row>
    <row r="3654" spans="1:14">
      <c r="A3654" s="29">
        <v>45978</v>
      </c>
      <c r="B3654" s="22" t="s">
        <v>63</v>
      </c>
      <c r="C3654" s="22" t="s">
        <v>57</v>
      </c>
      <c r="D3654" s="48" t="s">
        <v>5</v>
      </c>
      <c r="E3654" t="s">
        <v>157</v>
      </c>
      <c r="F3654">
        <v>2025</v>
      </c>
      <c r="G3654" t="s">
        <v>247</v>
      </c>
      <c r="H3654" s="42" t="s">
        <v>57</v>
      </c>
      <c r="L3654" s="34">
        <v>4</v>
      </c>
      <c r="M3654" s="40">
        <v>0.75</v>
      </c>
      <c r="N3654" s="40">
        <f t="shared" si="80"/>
        <v>3</v>
      </c>
    </row>
    <row r="3655" spans="1:14">
      <c r="A3655" s="29">
        <v>45978</v>
      </c>
      <c r="B3655" s="22" t="s">
        <v>63</v>
      </c>
      <c r="C3655" s="22" t="s">
        <v>57</v>
      </c>
      <c r="D3655" s="48" t="s">
        <v>5</v>
      </c>
      <c r="E3655" t="s">
        <v>157</v>
      </c>
      <c r="F3655">
        <v>2025</v>
      </c>
      <c r="G3655" t="s">
        <v>507</v>
      </c>
      <c r="H3655" s="42" t="s">
        <v>1098</v>
      </c>
      <c r="L3655" s="34">
        <v>4</v>
      </c>
      <c r="M3655" s="40">
        <v>0.75</v>
      </c>
      <c r="N3655" s="40">
        <f t="shared" si="80"/>
        <v>3</v>
      </c>
    </row>
    <row r="3656" spans="1:14">
      <c r="A3656" s="29">
        <v>45978</v>
      </c>
      <c r="B3656" s="22" t="s">
        <v>63</v>
      </c>
      <c r="C3656" s="22" t="s">
        <v>57</v>
      </c>
      <c r="D3656" s="48" t="s">
        <v>5</v>
      </c>
      <c r="E3656" t="s">
        <v>159</v>
      </c>
      <c r="F3656">
        <v>2025</v>
      </c>
      <c r="G3656" t="s">
        <v>252</v>
      </c>
      <c r="H3656" s="42" t="s">
        <v>1171</v>
      </c>
      <c r="L3656" s="34">
        <v>4</v>
      </c>
      <c r="M3656" s="40">
        <v>0.75</v>
      </c>
      <c r="N3656" s="40">
        <f t="shared" si="80"/>
        <v>3</v>
      </c>
    </row>
    <row r="3657" spans="1:14">
      <c r="A3657" s="29">
        <v>45978</v>
      </c>
      <c r="B3657" s="22" t="s">
        <v>63</v>
      </c>
      <c r="C3657" s="22" t="s">
        <v>57</v>
      </c>
      <c r="D3657" s="48" t="s">
        <v>8</v>
      </c>
      <c r="E3657" t="s">
        <v>179</v>
      </c>
      <c r="F3657">
        <v>2025</v>
      </c>
      <c r="G3657" t="s">
        <v>873</v>
      </c>
      <c r="H3657" s="42" t="s">
        <v>752</v>
      </c>
      <c r="K3657" t="s">
        <v>1636</v>
      </c>
      <c r="L3657" s="34">
        <v>4</v>
      </c>
      <c r="M3657" s="40">
        <v>0.75</v>
      </c>
      <c r="N3657" s="40">
        <f t="shared" si="80"/>
        <v>3</v>
      </c>
    </row>
    <row r="3658" spans="1:14">
      <c r="A3658" s="29">
        <v>45978</v>
      </c>
      <c r="B3658" s="22" t="s">
        <v>63</v>
      </c>
      <c r="C3658" s="22" t="s">
        <v>57</v>
      </c>
      <c r="D3658" s="48" t="s">
        <v>8</v>
      </c>
      <c r="E3658" t="s">
        <v>199</v>
      </c>
      <c r="F3658">
        <v>2025</v>
      </c>
      <c r="G3658" t="s">
        <v>618</v>
      </c>
      <c r="H3658" s="42" t="s">
        <v>57</v>
      </c>
      <c r="L3658" s="34">
        <v>4</v>
      </c>
      <c r="M3658" s="40">
        <v>0.75</v>
      </c>
      <c r="N3658" s="40">
        <f t="shared" si="80"/>
        <v>3</v>
      </c>
    </row>
    <row r="3659" spans="1:14">
      <c r="A3659" s="29">
        <v>45978</v>
      </c>
      <c r="B3659" s="22" t="s">
        <v>63</v>
      </c>
      <c r="C3659" s="22" t="s">
        <v>57</v>
      </c>
      <c r="D3659" s="48" t="s">
        <v>8</v>
      </c>
      <c r="E3659" t="s">
        <v>1576</v>
      </c>
      <c r="F3659">
        <v>2025</v>
      </c>
      <c r="G3659" t="s">
        <v>1637</v>
      </c>
      <c r="H3659" s="42" t="s">
        <v>57</v>
      </c>
      <c r="K3659" t="s">
        <v>1638</v>
      </c>
      <c r="L3659" s="34">
        <v>4</v>
      </c>
      <c r="M3659" s="40">
        <v>0.75</v>
      </c>
      <c r="N3659" s="40">
        <f t="shared" si="80"/>
        <v>3</v>
      </c>
    </row>
    <row r="3660" spans="1:14">
      <c r="A3660" s="29">
        <v>45978</v>
      </c>
      <c r="B3660" s="22" t="s">
        <v>63</v>
      </c>
      <c r="C3660" s="22" t="s">
        <v>57</v>
      </c>
      <c r="D3660" s="48" t="s">
        <v>8</v>
      </c>
      <c r="E3660" t="s">
        <v>1576</v>
      </c>
      <c r="F3660">
        <v>2025</v>
      </c>
      <c r="G3660" t="s">
        <v>618</v>
      </c>
      <c r="H3660" s="42" t="s">
        <v>57</v>
      </c>
      <c r="K3660" t="s">
        <v>1629</v>
      </c>
      <c r="L3660" s="34">
        <v>4</v>
      </c>
      <c r="M3660" s="40">
        <v>0.75</v>
      </c>
      <c r="N3660" s="40">
        <f t="shared" si="80"/>
        <v>3</v>
      </c>
    </row>
    <row r="3661" spans="1:14">
      <c r="A3661" s="29">
        <v>45979</v>
      </c>
      <c r="B3661" s="22" t="s">
        <v>154</v>
      </c>
      <c r="C3661" s="22" t="s">
        <v>34</v>
      </c>
      <c r="D3661" s="48" t="s">
        <v>5</v>
      </c>
      <c r="E3661" t="s">
        <v>157</v>
      </c>
      <c r="F3661">
        <v>2025</v>
      </c>
      <c r="G3661" t="s">
        <v>252</v>
      </c>
      <c r="H3661" s="42" t="s">
        <v>835</v>
      </c>
      <c r="K3661" t="s">
        <v>1636</v>
      </c>
      <c r="L3661" s="34">
        <v>2</v>
      </c>
      <c r="M3661" s="40">
        <v>0.75</v>
      </c>
      <c r="N3661" s="40">
        <f t="shared" si="80"/>
        <v>1.5</v>
      </c>
    </row>
    <row r="3662" spans="1:14">
      <c r="A3662" s="29">
        <v>45979</v>
      </c>
      <c r="B3662" s="22" t="s">
        <v>154</v>
      </c>
      <c r="C3662" s="22" t="s">
        <v>34</v>
      </c>
      <c r="D3662" s="48" t="s">
        <v>5</v>
      </c>
      <c r="E3662" t="s">
        <v>157</v>
      </c>
      <c r="F3662">
        <v>2025</v>
      </c>
      <c r="G3662" t="s">
        <v>247</v>
      </c>
      <c r="H3662" s="42" t="s">
        <v>57</v>
      </c>
      <c r="L3662" s="34">
        <v>2</v>
      </c>
      <c r="M3662" s="40">
        <v>0.75</v>
      </c>
      <c r="N3662" s="40">
        <f t="shared" si="80"/>
        <v>1.5</v>
      </c>
    </row>
    <row r="3663" spans="1:14">
      <c r="A3663" s="29">
        <v>45979</v>
      </c>
      <c r="B3663" s="22" t="s">
        <v>154</v>
      </c>
      <c r="C3663" s="22" t="s">
        <v>34</v>
      </c>
      <c r="D3663" s="48" t="s">
        <v>5</v>
      </c>
      <c r="E3663" t="s">
        <v>159</v>
      </c>
      <c r="F3663">
        <v>2025</v>
      </c>
      <c r="G3663" t="s">
        <v>252</v>
      </c>
      <c r="H3663" s="42" t="s">
        <v>1171</v>
      </c>
      <c r="L3663" s="34">
        <v>2</v>
      </c>
      <c r="M3663" s="40">
        <v>0.75</v>
      </c>
      <c r="N3663" s="40">
        <f t="shared" si="80"/>
        <v>1.5</v>
      </c>
    </row>
    <row r="3664" spans="1:14">
      <c r="A3664" s="29">
        <v>45979</v>
      </c>
      <c r="B3664" s="22" t="s">
        <v>154</v>
      </c>
      <c r="C3664" s="22" t="s">
        <v>34</v>
      </c>
      <c r="D3664" s="48" t="s">
        <v>5</v>
      </c>
      <c r="E3664" t="s">
        <v>173</v>
      </c>
      <c r="F3664">
        <v>2025</v>
      </c>
      <c r="G3664" t="s">
        <v>57</v>
      </c>
      <c r="H3664" s="42" t="s">
        <v>1090</v>
      </c>
      <c r="L3664" s="34">
        <v>2</v>
      </c>
      <c r="M3664" s="40">
        <v>0.75</v>
      </c>
      <c r="N3664" s="40">
        <f t="shared" si="80"/>
        <v>1.5</v>
      </c>
    </row>
    <row r="3665" spans="1:14">
      <c r="A3665" s="29">
        <v>45979</v>
      </c>
      <c r="B3665" s="22" t="s">
        <v>154</v>
      </c>
      <c r="C3665" s="22" t="s">
        <v>34</v>
      </c>
      <c r="D3665" s="48" t="s">
        <v>5</v>
      </c>
      <c r="E3665" t="s">
        <v>262</v>
      </c>
      <c r="F3665">
        <v>2025</v>
      </c>
      <c r="G3665" t="s">
        <v>57</v>
      </c>
      <c r="H3665" s="42" t="s">
        <v>57</v>
      </c>
      <c r="L3665" s="34">
        <v>2</v>
      </c>
      <c r="M3665" s="40">
        <v>0.75</v>
      </c>
      <c r="N3665" s="40">
        <f t="shared" si="80"/>
        <v>1.5</v>
      </c>
    </row>
    <row r="3666" spans="1:14">
      <c r="A3666" s="29">
        <v>45979</v>
      </c>
      <c r="B3666" s="22" t="s">
        <v>154</v>
      </c>
      <c r="C3666" s="22" t="s">
        <v>34</v>
      </c>
      <c r="D3666" s="48" t="s">
        <v>211</v>
      </c>
      <c r="E3666" t="s">
        <v>183</v>
      </c>
      <c r="F3666">
        <v>2025</v>
      </c>
      <c r="G3666" t="s">
        <v>57</v>
      </c>
      <c r="H3666" s="42" t="s">
        <v>57</v>
      </c>
      <c r="K3666" t="s">
        <v>1612</v>
      </c>
      <c r="L3666" s="34">
        <v>2</v>
      </c>
      <c r="M3666" s="40">
        <v>0.75</v>
      </c>
      <c r="N3666" s="40">
        <f t="shared" si="80"/>
        <v>1.5</v>
      </c>
    </row>
    <row r="3667" spans="1:14">
      <c r="A3667" s="29">
        <v>45979</v>
      </c>
      <c r="B3667" s="22" t="s">
        <v>154</v>
      </c>
      <c r="C3667" s="22" t="s">
        <v>34</v>
      </c>
      <c r="D3667" s="48" t="s">
        <v>8</v>
      </c>
      <c r="E3667" t="s">
        <v>182</v>
      </c>
      <c r="F3667">
        <v>2025</v>
      </c>
      <c r="G3667" t="s">
        <v>252</v>
      </c>
      <c r="H3667" s="42" t="s">
        <v>57</v>
      </c>
      <c r="L3667" s="34">
        <v>2</v>
      </c>
      <c r="M3667" s="40">
        <v>0.75</v>
      </c>
      <c r="N3667" s="40">
        <f t="shared" si="80"/>
        <v>1.5</v>
      </c>
    </row>
    <row r="3668" spans="1:14">
      <c r="A3668" s="29">
        <v>45979</v>
      </c>
      <c r="B3668" s="22" t="s">
        <v>154</v>
      </c>
      <c r="C3668" s="22" t="s">
        <v>34</v>
      </c>
      <c r="D3668" s="48" t="s">
        <v>8</v>
      </c>
      <c r="E3668" t="s">
        <v>182</v>
      </c>
      <c r="F3668">
        <v>2025</v>
      </c>
      <c r="G3668" t="s">
        <v>247</v>
      </c>
      <c r="H3668" s="42" t="s">
        <v>57</v>
      </c>
      <c r="L3668" s="34">
        <v>2</v>
      </c>
      <c r="M3668" s="40">
        <v>0.75</v>
      </c>
      <c r="N3668" s="40">
        <f t="shared" si="80"/>
        <v>1.5</v>
      </c>
    </row>
    <row r="3669" spans="1:14">
      <c r="A3669" s="29">
        <v>45979</v>
      </c>
      <c r="B3669" s="22" t="s">
        <v>154</v>
      </c>
      <c r="C3669" s="22" t="s">
        <v>34</v>
      </c>
      <c r="D3669" s="48" t="s">
        <v>8</v>
      </c>
      <c r="E3669" t="s">
        <v>179</v>
      </c>
      <c r="F3669">
        <v>2025</v>
      </c>
      <c r="G3669" t="s">
        <v>57</v>
      </c>
      <c r="H3669" s="42" t="s">
        <v>752</v>
      </c>
      <c r="K3669" t="s">
        <v>1636</v>
      </c>
      <c r="L3669" s="34">
        <v>2</v>
      </c>
      <c r="M3669" s="40">
        <v>0.75</v>
      </c>
      <c r="N3669" s="40">
        <f t="shared" si="80"/>
        <v>1.5</v>
      </c>
    </row>
    <row r="3670" spans="1:14">
      <c r="A3670" s="29">
        <v>45979</v>
      </c>
      <c r="B3670" s="22" t="s">
        <v>154</v>
      </c>
      <c r="C3670" s="22" t="s">
        <v>34</v>
      </c>
      <c r="D3670" s="48" t="s">
        <v>8</v>
      </c>
      <c r="E3670" t="s">
        <v>199</v>
      </c>
      <c r="F3670">
        <v>2025</v>
      </c>
      <c r="G3670" t="s">
        <v>57</v>
      </c>
      <c r="H3670" s="42" t="s">
        <v>57</v>
      </c>
      <c r="L3670" s="34">
        <v>2</v>
      </c>
      <c r="M3670" s="40">
        <v>0.75</v>
      </c>
      <c r="N3670" s="40">
        <f t="shared" si="80"/>
        <v>1.5</v>
      </c>
    </row>
    <row r="3671" spans="1:14">
      <c r="A3671" s="29">
        <v>45979</v>
      </c>
      <c r="B3671" s="22" t="s">
        <v>154</v>
      </c>
      <c r="C3671" s="22" t="s">
        <v>34</v>
      </c>
      <c r="D3671" s="48" t="s">
        <v>8</v>
      </c>
      <c r="E3671" t="s">
        <v>180</v>
      </c>
      <c r="F3671">
        <v>2025</v>
      </c>
      <c r="G3671" t="s">
        <v>57</v>
      </c>
      <c r="H3671" s="42" t="s">
        <v>57</v>
      </c>
      <c r="L3671" s="34">
        <v>2</v>
      </c>
      <c r="M3671" s="40">
        <v>0.75</v>
      </c>
      <c r="N3671" s="40">
        <f t="shared" si="80"/>
        <v>1.5</v>
      </c>
    </row>
    <row r="3672" spans="1:14">
      <c r="A3672" s="29">
        <v>45979</v>
      </c>
      <c r="B3672" s="22" t="s">
        <v>154</v>
      </c>
      <c r="C3672" s="22" t="s">
        <v>34</v>
      </c>
      <c r="D3672" s="48" t="s">
        <v>8</v>
      </c>
      <c r="E3672" t="s">
        <v>178</v>
      </c>
      <c r="F3672">
        <v>2025</v>
      </c>
      <c r="G3672" t="s">
        <v>57</v>
      </c>
      <c r="H3672" s="42" t="s">
        <v>57</v>
      </c>
      <c r="L3672" s="34">
        <v>2</v>
      </c>
      <c r="M3672" s="40">
        <v>0.75</v>
      </c>
      <c r="N3672" s="40">
        <f t="shared" si="80"/>
        <v>1.5</v>
      </c>
    </row>
    <row r="3673" spans="1:14">
      <c r="A3673" s="29">
        <v>45979</v>
      </c>
      <c r="B3673" s="22" t="s">
        <v>154</v>
      </c>
      <c r="C3673" s="22" t="s">
        <v>34</v>
      </c>
      <c r="D3673" s="48" t="s">
        <v>11</v>
      </c>
      <c r="E3673" t="s">
        <v>179</v>
      </c>
      <c r="F3673">
        <v>2024</v>
      </c>
      <c r="G3673" t="s">
        <v>57</v>
      </c>
      <c r="H3673" s="42" t="s">
        <v>57</v>
      </c>
      <c r="K3673" t="s">
        <v>1616</v>
      </c>
      <c r="L3673" s="34">
        <v>2</v>
      </c>
      <c r="M3673" s="40">
        <v>0.75</v>
      </c>
      <c r="N3673" s="40">
        <f t="shared" si="80"/>
        <v>1.5</v>
      </c>
    </row>
    <row r="3674" spans="1:14">
      <c r="A3674" s="29">
        <v>45979</v>
      </c>
      <c r="B3674" s="22" t="s">
        <v>154</v>
      </c>
      <c r="C3674" s="22" t="s">
        <v>34</v>
      </c>
      <c r="D3674" s="48" t="s">
        <v>5</v>
      </c>
      <c r="E3674" t="s">
        <v>161</v>
      </c>
      <c r="F3674">
        <v>2025</v>
      </c>
      <c r="G3674" t="s">
        <v>57</v>
      </c>
      <c r="H3674" s="42" t="s">
        <v>57</v>
      </c>
      <c r="L3674" s="34">
        <v>2</v>
      </c>
      <c r="M3674" s="40">
        <v>0.75</v>
      </c>
      <c r="N3674" s="40">
        <f t="shared" si="80"/>
        <v>1.5</v>
      </c>
    </row>
    <row r="3675" spans="1:14">
      <c r="A3675" s="29">
        <v>45979</v>
      </c>
      <c r="B3675" s="22" t="s">
        <v>82</v>
      </c>
      <c r="C3675" s="22" t="s">
        <v>41</v>
      </c>
      <c r="D3675" s="48" t="s">
        <v>5</v>
      </c>
      <c r="E3675" t="s">
        <v>158</v>
      </c>
      <c r="F3675">
        <v>2025</v>
      </c>
      <c r="G3675" t="s">
        <v>57</v>
      </c>
      <c r="H3675" s="42" t="s">
        <v>57</v>
      </c>
      <c r="L3675" s="34">
        <v>3</v>
      </c>
      <c r="M3675" s="40">
        <v>0.75</v>
      </c>
      <c r="N3675" s="40">
        <f t="shared" si="80"/>
        <v>2.25</v>
      </c>
    </row>
    <row r="3676" spans="1:14">
      <c r="A3676" s="29">
        <v>45979</v>
      </c>
      <c r="B3676" s="22" t="s">
        <v>57</v>
      </c>
      <c r="C3676" s="22" t="s">
        <v>57</v>
      </c>
      <c r="D3676" s="48" t="s">
        <v>5</v>
      </c>
      <c r="E3676" t="s">
        <v>157</v>
      </c>
      <c r="F3676">
        <v>2024</v>
      </c>
      <c r="G3676" t="s">
        <v>257</v>
      </c>
      <c r="H3676" s="42" t="s">
        <v>745</v>
      </c>
      <c r="L3676" s="34">
        <v>2</v>
      </c>
      <c r="M3676" s="40">
        <v>0.75</v>
      </c>
      <c r="N3676" s="40">
        <f t="shared" si="80"/>
        <v>1.5</v>
      </c>
    </row>
    <row r="3677" spans="1:14">
      <c r="A3677" s="29">
        <v>45979</v>
      </c>
      <c r="B3677" s="22" t="s">
        <v>19</v>
      </c>
      <c r="C3677" s="22" t="s">
        <v>1224</v>
      </c>
      <c r="D3677" s="48" t="s">
        <v>5</v>
      </c>
      <c r="E3677" t="s">
        <v>161</v>
      </c>
      <c r="F3677">
        <v>2025</v>
      </c>
      <c r="G3677" t="s">
        <v>57</v>
      </c>
      <c r="H3677" s="42" t="s">
        <v>1009</v>
      </c>
      <c r="L3677" s="34">
        <v>2</v>
      </c>
      <c r="M3677" s="40">
        <v>0.75</v>
      </c>
      <c r="N3677" s="40">
        <f t="shared" si="80"/>
        <v>1.5</v>
      </c>
    </row>
    <row r="3678" spans="1:14">
      <c r="A3678" s="29">
        <v>45979</v>
      </c>
      <c r="B3678" s="22" t="s">
        <v>87</v>
      </c>
      <c r="C3678" s="22" t="s">
        <v>1224</v>
      </c>
      <c r="D3678" s="48" t="s">
        <v>5</v>
      </c>
      <c r="E3678" t="s">
        <v>159</v>
      </c>
      <c r="F3678">
        <v>2025</v>
      </c>
      <c r="G3678" t="s">
        <v>252</v>
      </c>
      <c r="H3678" s="42" t="s">
        <v>1177</v>
      </c>
      <c r="L3678" s="34">
        <v>2</v>
      </c>
      <c r="M3678" s="40">
        <v>0.75</v>
      </c>
      <c r="N3678" s="40">
        <f t="shared" si="80"/>
        <v>1.5</v>
      </c>
    </row>
    <row r="3679" spans="1:14">
      <c r="A3679" s="29">
        <v>45979</v>
      </c>
      <c r="B3679" s="22" t="s">
        <v>57</v>
      </c>
      <c r="C3679" s="22" t="s">
        <v>51</v>
      </c>
      <c r="D3679" s="48" t="s">
        <v>5</v>
      </c>
      <c r="E3679" t="s">
        <v>159</v>
      </c>
      <c r="F3679">
        <v>2025</v>
      </c>
      <c r="G3679" t="s">
        <v>252</v>
      </c>
      <c r="H3679" s="42" t="s">
        <v>1171</v>
      </c>
      <c r="L3679" s="34">
        <v>2</v>
      </c>
      <c r="M3679" s="40">
        <v>0.75</v>
      </c>
      <c r="N3679" s="40">
        <f t="shared" si="80"/>
        <v>1.5</v>
      </c>
    </row>
    <row r="3680" spans="1:14">
      <c r="A3680" s="29">
        <v>45979</v>
      </c>
      <c r="B3680" s="22" t="s">
        <v>57</v>
      </c>
      <c r="C3680" s="22" t="s">
        <v>51</v>
      </c>
      <c r="D3680" s="48" t="s">
        <v>5</v>
      </c>
      <c r="E3680" t="s">
        <v>164</v>
      </c>
      <c r="F3680">
        <v>2025</v>
      </c>
      <c r="G3680" t="s">
        <v>57</v>
      </c>
      <c r="H3680" s="42" t="s">
        <v>1631</v>
      </c>
      <c r="L3680" s="34">
        <v>2</v>
      </c>
      <c r="M3680" s="40">
        <v>0.75</v>
      </c>
      <c r="N3680" s="40">
        <f t="shared" si="80"/>
        <v>1.5</v>
      </c>
    </row>
    <row r="3681" spans="1:14">
      <c r="A3681" s="29">
        <v>45980</v>
      </c>
      <c r="B3681" s="22" t="s">
        <v>37</v>
      </c>
      <c r="C3681" s="22" t="s">
        <v>57</v>
      </c>
      <c r="D3681" s="48" t="s">
        <v>5</v>
      </c>
      <c r="E3681" t="s">
        <v>183</v>
      </c>
      <c r="F3681">
        <v>2025</v>
      </c>
      <c r="G3681" t="s">
        <v>494</v>
      </c>
      <c r="H3681" s="42" t="s">
        <v>57</v>
      </c>
      <c r="L3681" s="34">
        <v>1</v>
      </c>
      <c r="M3681" s="40">
        <v>0.75</v>
      </c>
      <c r="N3681" s="40">
        <f t="shared" si="80"/>
        <v>0.75</v>
      </c>
    </row>
    <row r="3682" spans="1:14">
      <c r="A3682" s="29">
        <v>45980</v>
      </c>
      <c r="B3682" s="22" t="s">
        <v>37</v>
      </c>
      <c r="C3682" s="22" t="s">
        <v>57</v>
      </c>
      <c r="D3682" s="48" t="s">
        <v>5</v>
      </c>
      <c r="E3682" t="s">
        <v>157</v>
      </c>
      <c r="F3682">
        <v>2025</v>
      </c>
      <c r="G3682" t="s">
        <v>252</v>
      </c>
      <c r="H3682" s="42" t="s">
        <v>835</v>
      </c>
      <c r="K3682" t="s">
        <v>1636</v>
      </c>
      <c r="L3682" s="34">
        <v>1</v>
      </c>
      <c r="M3682" s="40">
        <f>IF(L3682="","",0.75)</f>
        <v>0.75</v>
      </c>
      <c r="N3682" s="40">
        <f>IF(M3682="","",M3682*L3682)</f>
        <v>0.75</v>
      </c>
    </row>
    <row r="3683" spans="1:14">
      <c r="A3683" s="29">
        <v>45980</v>
      </c>
      <c r="B3683" s="22" t="s">
        <v>67</v>
      </c>
      <c r="C3683" s="22" t="s">
        <v>57</v>
      </c>
      <c r="D3683" s="48" t="s">
        <v>5</v>
      </c>
      <c r="E3683" t="s">
        <v>158</v>
      </c>
      <c r="F3683">
        <v>2025</v>
      </c>
      <c r="G3683" t="s">
        <v>1639</v>
      </c>
      <c r="H3683" s="42" t="s">
        <v>57</v>
      </c>
      <c r="L3683" s="34">
        <v>1</v>
      </c>
      <c r="M3683" s="40">
        <f t="shared" ref="M3683:M3748" si="81">IF(L3683="","",0.75)</f>
        <v>0.75</v>
      </c>
      <c r="N3683" s="40">
        <f t="shared" ref="N3683:N3748" si="82">IF(M3683="","",M3683*L3683)</f>
        <v>0.75</v>
      </c>
    </row>
    <row r="3684" spans="1:14">
      <c r="A3684" s="29">
        <v>45980</v>
      </c>
      <c r="B3684" s="22" t="s">
        <v>67</v>
      </c>
      <c r="C3684" s="22" t="s">
        <v>57</v>
      </c>
      <c r="D3684" s="48" t="s">
        <v>5</v>
      </c>
      <c r="E3684" t="s">
        <v>157</v>
      </c>
      <c r="F3684">
        <v>2025</v>
      </c>
      <c r="G3684" t="s">
        <v>1640</v>
      </c>
      <c r="H3684" s="42" t="s">
        <v>1393</v>
      </c>
      <c r="L3684" s="34">
        <v>1</v>
      </c>
      <c r="M3684" s="40">
        <f t="shared" si="81"/>
        <v>0.75</v>
      </c>
      <c r="N3684" s="40">
        <f t="shared" si="82"/>
        <v>0.75</v>
      </c>
    </row>
    <row r="3685" spans="1:14">
      <c r="A3685" s="29">
        <v>45980</v>
      </c>
      <c r="B3685" s="22" t="s">
        <v>67</v>
      </c>
      <c r="C3685" s="22" t="s">
        <v>57</v>
      </c>
      <c r="D3685" s="48" t="s">
        <v>8</v>
      </c>
      <c r="E3685" t="s">
        <v>183</v>
      </c>
      <c r="F3685">
        <v>2025</v>
      </c>
      <c r="G3685" t="s">
        <v>1641</v>
      </c>
      <c r="H3685" s="42" t="s">
        <v>1081</v>
      </c>
      <c r="L3685" s="34">
        <v>1</v>
      </c>
      <c r="M3685" s="40">
        <f t="shared" si="81"/>
        <v>0.75</v>
      </c>
      <c r="N3685" s="40">
        <f t="shared" si="82"/>
        <v>0.75</v>
      </c>
    </row>
    <row r="3686" spans="1:14">
      <c r="A3686" s="29">
        <v>45980</v>
      </c>
      <c r="B3686" s="22" t="s">
        <v>67</v>
      </c>
      <c r="C3686" s="22" t="s">
        <v>57</v>
      </c>
      <c r="D3686" s="48" t="s">
        <v>8</v>
      </c>
      <c r="E3686" t="s">
        <v>178</v>
      </c>
      <c r="F3686">
        <v>2025</v>
      </c>
      <c r="G3686" t="s">
        <v>1640</v>
      </c>
      <c r="H3686" s="42" t="s">
        <v>880</v>
      </c>
      <c r="L3686" s="34">
        <v>1</v>
      </c>
      <c r="M3686" s="40">
        <f t="shared" si="81"/>
        <v>0.75</v>
      </c>
      <c r="N3686" s="40">
        <f t="shared" si="82"/>
        <v>0.75</v>
      </c>
    </row>
    <row r="3687" spans="1:14">
      <c r="A3687" s="29">
        <v>45980</v>
      </c>
      <c r="B3687" s="22" t="s">
        <v>67</v>
      </c>
      <c r="C3687" s="22" t="s">
        <v>57</v>
      </c>
      <c r="D3687" s="48" t="s">
        <v>11</v>
      </c>
      <c r="E3687" t="s">
        <v>177</v>
      </c>
      <c r="F3687">
        <v>2025</v>
      </c>
      <c r="G3687" t="s">
        <v>1640</v>
      </c>
      <c r="H3687" s="42" t="s">
        <v>1569</v>
      </c>
      <c r="L3687" s="34">
        <v>1</v>
      </c>
      <c r="M3687" s="40">
        <f t="shared" si="81"/>
        <v>0.75</v>
      </c>
      <c r="N3687" s="40">
        <f t="shared" si="82"/>
        <v>0.75</v>
      </c>
    </row>
    <row r="3688" spans="1:14">
      <c r="A3688" s="29">
        <v>45980</v>
      </c>
      <c r="B3688" s="22" t="s">
        <v>16</v>
      </c>
      <c r="C3688" s="22" t="s">
        <v>49</v>
      </c>
      <c r="D3688" s="48" t="s">
        <v>5</v>
      </c>
      <c r="E3688" t="s">
        <v>158</v>
      </c>
      <c r="F3688">
        <v>2025</v>
      </c>
      <c r="G3688" t="s">
        <v>1639</v>
      </c>
      <c r="H3688" s="42" t="s">
        <v>57</v>
      </c>
      <c r="L3688" s="34">
        <v>5</v>
      </c>
      <c r="M3688" s="40">
        <f t="shared" si="81"/>
        <v>0.75</v>
      </c>
      <c r="N3688" s="40">
        <f t="shared" si="82"/>
        <v>3.75</v>
      </c>
    </row>
    <row r="3689" spans="1:14">
      <c r="A3689" s="29">
        <v>45980</v>
      </c>
      <c r="B3689" s="22" t="s">
        <v>16</v>
      </c>
      <c r="C3689" s="22" t="s">
        <v>49</v>
      </c>
      <c r="D3689" s="48" t="s">
        <v>14</v>
      </c>
      <c r="E3689" t="s">
        <v>183</v>
      </c>
      <c r="F3689">
        <v>2025</v>
      </c>
      <c r="G3689" t="s">
        <v>57</v>
      </c>
      <c r="H3689" s="42" t="s">
        <v>754</v>
      </c>
      <c r="L3689" s="34">
        <v>5</v>
      </c>
      <c r="M3689" s="40">
        <f t="shared" si="81"/>
        <v>0.75</v>
      </c>
      <c r="N3689" s="40">
        <f t="shared" si="82"/>
        <v>3.75</v>
      </c>
    </row>
    <row r="3690" spans="1:14">
      <c r="A3690" s="29">
        <v>45980</v>
      </c>
      <c r="B3690" s="22" t="s">
        <v>79</v>
      </c>
      <c r="C3690" s="22" t="s">
        <v>57</v>
      </c>
      <c r="D3690" s="48" t="s">
        <v>11</v>
      </c>
      <c r="E3690" t="s">
        <v>177</v>
      </c>
      <c r="F3690">
        <v>2025</v>
      </c>
      <c r="G3690" t="s">
        <v>57</v>
      </c>
      <c r="H3690" s="42" t="s">
        <v>1642</v>
      </c>
      <c r="L3690" s="34">
        <v>2</v>
      </c>
      <c r="M3690" s="40">
        <f t="shared" si="81"/>
        <v>0.75</v>
      </c>
      <c r="N3690" s="40">
        <f t="shared" si="82"/>
        <v>1.5</v>
      </c>
    </row>
    <row r="3691" spans="1:14">
      <c r="A3691" s="29">
        <v>45980</v>
      </c>
      <c r="B3691" s="22" t="s">
        <v>79</v>
      </c>
      <c r="C3691" s="22" t="s">
        <v>57</v>
      </c>
      <c r="D3691" s="48" t="s">
        <v>11</v>
      </c>
      <c r="E3691" t="s">
        <v>180</v>
      </c>
      <c r="F3691">
        <v>2025</v>
      </c>
      <c r="G3691" t="s">
        <v>57</v>
      </c>
      <c r="H3691" s="42" t="s">
        <v>789</v>
      </c>
      <c r="L3691" s="34">
        <v>2</v>
      </c>
      <c r="M3691" s="40">
        <f t="shared" si="81"/>
        <v>0.75</v>
      </c>
      <c r="N3691" s="40">
        <f t="shared" si="82"/>
        <v>1.5</v>
      </c>
    </row>
    <row r="3692" spans="1:14">
      <c r="A3692" s="29">
        <v>45980</v>
      </c>
      <c r="B3692" s="22" t="s">
        <v>79</v>
      </c>
      <c r="C3692" s="22" t="s">
        <v>57</v>
      </c>
      <c r="D3692" s="48" t="s">
        <v>11</v>
      </c>
      <c r="E3692" t="s">
        <v>180</v>
      </c>
      <c r="F3692">
        <v>2025</v>
      </c>
      <c r="G3692" t="s">
        <v>57</v>
      </c>
      <c r="H3692" s="42" t="s">
        <v>1643</v>
      </c>
      <c r="L3692" s="34">
        <v>2</v>
      </c>
      <c r="M3692" s="40">
        <f t="shared" si="81"/>
        <v>0.75</v>
      </c>
      <c r="N3692" s="40">
        <f t="shared" si="82"/>
        <v>1.5</v>
      </c>
    </row>
    <row r="3693" spans="1:14">
      <c r="A3693" s="29">
        <v>45980</v>
      </c>
      <c r="B3693" s="22" t="s">
        <v>79</v>
      </c>
      <c r="C3693" s="22" t="s">
        <v>57</v>
      </c>
      <c r="D3693" s="48" t="s">
        <v>11</v>
      </c>
      <c r="E3693" t="s">
        <v>179</v>
      </c>
      <c r="F3693">
        <v>2025</v>
      </c>
      <c r="G3693" t="s">
        <v>1644</v>
      </c>
      <c r="H3693" s="42" t="s">
        <v>57</v>
      </c>
      <c r="K3693" t="s">
        <v>1645</v>
      </c>
      <c r="L3693" s="34">
        <v>2</v>
      </c>
      <c r="M3693" s="40">
        <f t="shared" si="81"/>
        <v>0.75</v>
      </c>
      <c r="N3693" s="40">
        <f t="shared" si="82"/>
        <v>1.5</v>
      </c>
    </row>
    <row r="3694" spans="1:14">
      <c r="A3694" s="29">
        <v>45980</v>
      </c>
      <c r="B3694" s="22" t="s">
        <v>79</v>
      </c>
      <c r="C3694" s="22" t="s">
        <v>57</v>
      </c>
      <c r="D3694" s="48" t="s">
        <v>5</v>
      </c>
      <c r="E3694" t="s">
        <v>161</v>
      </c>
      <c r="F3694">
        <v>2025</v>
      </c>
      <c r="G3694" t="s">
        <v>57</v>
      </c>
      <c r="H3694" s="42" t="s">
        <v>1009</v>
      </c>
      <c r="L3694" s="34">
        <v>3</v>
      </c>
      <c r="M3694" s="40">
        <f t="shared" si="81"/>
        <v>0.75</v>
      </c>
      <c r="N3694" s="40">
        <f t="shared" si="82"/>
        <v>2.25</v>
      </c>
    </row>
    <row r="3695" spans="1:14">
      <c r="A3695" s="29">
        <v>45980</v>
      </c>
      <c r="B3695" s="22" t="s">
        <v>79</v>
      </c>
      <c r="C3695" s="22" t="s">
        <v>57</v>
      </c>
      <c r="D3695" s="48" t="s">
        <v>8</v>
      </c>
      <c r="E3695" t="s">
        <v>180</v>
      </c>
      <c r="F3695">
        <v>2025</v>
      </c>
      <c r="G3695" t="s">
        <v>57</v>
      </c>
      <c r="H3695" s="42" t="s">
        <v>860</v>
      </c>
      <c r="L3695" s="34">
        <v>3</v>
      </c>
      <c r="M3695" s="40">
        <f t="shared" si="81"/>
        <v>0.75</v>
      </c>
      <c r="N3695" s="40">
        <f t="shared" si="82"/>
        <v>2.25</v>
      </c>
    </row>
    <row r="3696" spans="1:14">
      <c r="A3696" s="29">
        <v>45980</v>
      </c>
      <c r="B3696" s="22" t="s">
        <v>79</v>
      </c>
      <c r="C3696" s="22" t="s">
        <v>57</v>
      </c>
      <c r="D3696" s="48" t="s">
        <v>8</v>
      </c>
      <c r="E3696" t="s">
        <v>180</v>
      </c>
      <c r="F3696">
        <v>2025</v>
      </c>
      <c r="G3696" t="s">
        <v>57</v>
      </c>
      <c r="H3696" s="42" t="s">
        <v>1009</v>
      </c>
      <c r="L3696" s="34">
        <v>3</v>
      </c>
      <c r="M3696" s="40">
        <f t="shared" si="81"/>
        <v>0.75</v>
      </c>
      <c r="N3696" s="40">
        <f t="shared" si="82"/>
        <v>2.25</v>
      </c>
    </row>
    <row r="3697" spans="1:14">
      <c r="A3697" s="29">
        <v>45980</v>
      </c>
      <c r="B3697" s="22" t="s">
        <v>79</v>
      </c>
      <c r="C3697" s="22" t="s">
        <v>57</v>
      </c>
      <c r="D3697" s="48" t="s">
        <v>8</v>
      </c>
      <c r="E3697" t="s">
        <v>177</v>
      </c>
      <c r="F3697">
        <v>2025</v>
      </c>
      <c r="G3697" t="s">
        <v>57</v>
      </c>
      <c r="H3697" s="42" t="s">
        <v>1110</v>
      </c>
      <c r="L3697" s="34">
        <v>3</v>
      </c>
      <c r="M3697" s="40">
        <f t="shared" si="81"/>
        <v>0.75</v>
      </c>
      <c r="N3697" s="40">
        <f t="shared" si="82"/>
        <v>2.25</v>
      </c>
    </row>
    <row r="3698" spans="1:14">
      <c r="A3698" s="29">
        <v>45980</v>
      </c>
      <c r="B3698" s="22" t="s">
        <v>79</v>
      </c>
      <c r="C3698" s="22" t="s">
        <v>57</v>
      </c>
      <c r="D3698" s="48" t="s">
        <v>5</v>
      </c>
      <c r="E3698" t="s">
        <v>164</v>
      </c>
      <c r="F3698">
        <v>2025</v>
      </c>
      <c r="G3698" t="s">
        <v>57</v>
      </c>
      <c r="H3698" s="42" t="s">
        <v>1631</v>
      </c>
      <c r="L3698" s="34">
        <v>3</v>
      </c>
      <c r="M3698" s="40">
        <f t="shared" si="81"/>
        <v>0.75</v>
      </c>
      <c r="N3698" s="40">
        <f t="shared" si="82"/>
        <v>2.25</v>
      </c>
    </row>
    <row r="3699" spans="1:14">
      <c r="A3699" s="29">
        <v>45980</v>
      </c>
      <c r="B3699" s="22" t="s">
        <v>63</v>
      </c>
      <c r="C3699" s="22" t="s">
        <v>57</v>
      </c>
      <c r="D3699" s="48" t="s">
        <v>5</v>
      </c>
      <c r="E3699" t="s">
        <v>157</v>
      </c>
      <c r="F3699">
        <v>2025</v>
      </c>
      <c r="G3699" t="s">
        <v>252</v>
      </c>
      <c r="H3699" s="42" t="s">
        <v>835</v>
      </c>
      <c r="L3699" s="34">
        <v>6</v>
      </c>
      <c r="M3699" s="40">
        <f t="shared" si="81"/>
        <v>0.75</v>
      </c>
      <c r="N3699" s="40">
        <f t="shared" si="82"/>
        <v>4.5</v>
      </c>
    </row>
    <row r="3700" spans="1:14">
      <c r="A3700" s="29">
        <v>45980</v>
      </c>
      <c r="B3700" s="22" t="s">
        <v>63</v>
      </c>
      <c r="C3700" s="22" t="s">
        <v>57</v>
      </c>
      <c r="D3700" s="48" t="s">
        <v>5</v>
      </c>
      <c r="E3700" t="s">
        <v>157</v>
      </c>
      <c r="F3700">
        <v>2025</v>
      </c>
      <c r="G3700" t="s">
        <v>247</v>
      </c>
      <c r="H3700" s="42" t="s">
        <v>1477</v>
      </c>
      <c r="L3700" s="34">
        <v>6</v>
      </c>
      <c r="M3700" s="40">
        <f t="shared" si="81"/>
        <v>0.75</v>
      </c>
      <c r="N3700" s="40">
        <f t="shared" si="82"/>
        <v>4.5</v>
      </c>
    </row>
    <row r="3701" spans="1:14">
      <c r="A3701" s="29">
        <v>45980</v>
      </c>
      <c r="B3701" s="22" t="s">
        <v>88</v>
      </c>
      <c r="C3701" s="22" t="s">
        <v>39</v>
      </c>
      <c r="D3701" s="48" t="s">
        <v>5</v>
      </c>
      <c r="E3701" t="s">
        <v>262</v>
      </c>
      <c r="F3701">
        <v>2024</v>
      </c>
      <c r="G3701" t="s">
        <v>1646</v>
      </c>
      <c r="H3701" s="42" t="s">
        <v>1647</v>
      </c>
      <c r="K3701" s="8" t="s">
        <v>1648</v>
      </c>
      <c r="L3701" s="34">
        <v>2</v>
      </c>
      <c r="M3701" s="40">
        <f t="shared" si="81"/>
        <v>0.75</v>
      </c>
      <c r="N3701" s="40">
        <f t="shared" si="82"/>
        <v>1.5</v>
      </c>
    </row>
    <row r="3702" spans="1:14">
      <c r="A3702" s="29">
        <v>45980</v>
      </c>
      <c r="B3702" s="22" t="s">
        <v>88</v>
      </c>
      <c r="C3702" s="22" t="s">
        <v>39</v>
      </c>
      <c r="D3702" s="48" t="s">
        <v>5</v>
      </c>
      <c r="E3702" t="s">
        <v>262</v>
      </c>
      <c r="F3702">
        <v>2024</v>
      </c>
      <c r="G3702" t="s">
        <v>310</v>
      </c>
      <c r="H3702" s="42" t="s">
        <v>1649</v>
      </c>
      <c r="K3702" s="8" t="s">
        <v>1648</v>
      </c>
      <c r="L3702" s="34">
        <v>2</v>
      </c>
      <c r="M3702" s="40">
        <f t="shared" si="81"/>
        <v>0.75</v>
      </c>
      <c r="N3702" s="40">
        <f t="shared" si="82"/>
        <v>1.5</v>
      </c>
    </row>
    <row r="3703" spans="1:14">
      <c r="A3703" s="29">
        <v>45981</v>
      </c>
      <c r="B3703" s="22" t="s">
        <v>83</v>
      </c>
      <c r="C3703" s="22" t="s">
        <v>57</v>
      </c>
      <c r="D3703" s="48" t="s">
        <v>5</v>
      </c>
      <c r="E3703" t="s">
        <v>157</v>
      </c>
      <c r="F3703">
        <v>2024</v>
      </c>
      <c r="G3703" t="s">
        <v>257</v>
      </c>
      <c r="H3703" s="42" t="s">
        <v>745</v>
      </c>
      <c r="L3703" s="34">
        <v>2</v>
      </c>
      <c r="M3703" s="40">
        <f t="shared" si="81"/>
        <v>0.75</v>
      </c>
      <c r="N3703" s="40">
        <f t="shared" si="82"/>
        <v>1.5</v>
      </c>
    </row>
    <row r="3704" spans="1:14">
      <c r="A3704" s="29">
        <v>45981</v>
      </c>
      <c r="B3704" s="22" t="s">
        <v>35</v>
      </c>
      <c r="C3704" s="22" t="s">
        <v>57</v>
      </c>
      <c r="D3704" s="48" t="s">
        <v>5</v>
      </c>
      <c r="E3704" t="s">
        <v>503</v>
      </c>
      <c r="F3704">
        <v>2025</v>
      </c>
      <c r="G3704" t="s">
        <v>57</v>
      </c>
      <c r="H3704" s="42" t="s">
        <v>57</v>
      </c>
      <c r="K3704" t="s">
        <v>1650</v>
      </c>
      <c r="L3704" s="34">
        <v>1</v>
      </c>
      <c r="M3704" s="40">
        <f t="shared" si="81"/>
        <v>0.75</v>
      </c>
      <c r="N3704" s="40">
        <f t="shared" si="82"/>
        <v>0.75</v>
      </c>
    </row>
    <row r="3705" spans="1:14">
      <c r="A3705" s="29">
        <v>45981</v>
      </c>
      <c r="B3705" s="22" t="s">
        <v>75</v>
      </c>
      <c r="C3705" s="22" t="s">
        <v>51</v>
      </c>
      <c r="D3705" s="48" t="s">
        <v>8</v>
      </c>
      <c r="E3705" t="s">
        <v>182</v>
      </c>
      <c r="F3705">
        <v>2025</v>
      </c>
      <c r="G3705" t="s">
        <v>252</v>
      </c>
      <c r="H3705" s="42" t="s">
        <v>57</v>
      </c>
      <c r="L3705" s="34">
        <v>2</v>
      </c>
      <c r="M3705" s="40">
        <f t="shared" si="81"/>
        <v>0.75</v>
      </c>
      <c r="N3705" s="40">
        <f t="shared" si="82"/>
        <v>1.5</v>
      </c>
    </row>
    <row r="3706" spans="1:14">
      <c r="A3706" s="29">
        <v>45981</v>
      </c>
      <c r="B3706" s="22" t="s">
        <v>75</v>
      </c>
      <c r="C3706" s="22" t="s">
        <v>51</v>
      </c>
      <c r="D3706" s="48" t="s">
        <v>8</v>
      </c>
      <c r="E3706" t="s">
        <v>182</v>
      </c>
      <c r="F3706">
        <v>2025</v>
      </c>
      <c r="G3706" t="s">
        <v>247</v>
      </c>
      <c r="H3706" s="42" t="s">
        <v>57</v>
      </c>
      <c r="L3706" s="34">
        <v>2</v>
      </c>
      <c r="M3706" s="40">
        <f t="shared" si="81"/>
        <v>0.75</v>
      </c>
      <c r="N3706" s="40">
        <f t="shared" si="82"/>
        <v>1.5</v>
      </c>
    </row>
    <row r="3707" spans="1:14">
      <c r="A3707" s="29">
        <v>45981</v>
      </c>
      <c r="B3707" s="22" t="s">
        <v>90</v>
      </c>
      <c r="C3707" s="22" t="s">
        <v>57</v>
      </c>
      <c r="D3707" s="48" t="s">
        <v>5</v>
      </c>
      <c r="E3707" t="s">
        <v>159</v>
      </c>
      <c r="F3707">
        <v>2025</v>
      </c>
      <c r="G3707" t="s">
        <v>252</v>
      </c>
      <c r="H3707" s="42" t="s">
        <v>1171</v>
      </c>
      <c r="K3707" t="s">
        <v>1651</v>
      </c>
      <c r="L3707" s="34">
        <v>1</v>
      </c>
      <c r="M3707" s="40">
        <f t="shared" si="81"/>
        <v>0.75</v>
      </c>
      <c r="N3707" s="40">
        <f t="shared" si="82"/>
        <v>0.75</v>
      </c>
    </row>
    <row r="3708" spans="1:14">
      <c r="A3708" s="29">
        <v>45981</v>
      </c>
      <c r="B3708" s="22" t="s">
        <v>90</v>
      </c>
      <c r="C3708" s="22" t="s">
        <v>57</v>
      </c>
      <c r="D3708" s="48" t="s">
        <v>5</v>
      </c>
      <c r="E3708" t="s">
        <v>159</v>
      </c>
      <c r="F3708">
        <v>2025</v>
      </c>
      <c r="G3708" t="s">
        <v>359</v>
      </c>
      <c r="H3708" s="42" t="s">
        <v>57</v>
      </c>
      <c r="K3708" t="s">
        <v>1652</v>
      </c>
      <c r="L3708" s="34">
        <v>1</v>
      </c>
      <c r="M3708" s="40">
        <f t="shared" si="81"/>
        <v>0.75</v>
      </c>
      <c r="N3708" s="40">
        <f t="shared" si="82"/>
        <v>0.75</v>
      </c>
    </row>
    <row r="3709" spans="1:14">
      <c r="A3709" s="29">
        <v>45981</v>
      </c>
      <c r="B3709" s="22" t="s">
        <v>91</v>
      </c>
      <c r="C3709" s="22" t="s">
        <v>57</v>
      </c>
      <c r="D3709" s="48" t="s">
        <v>5</v>
      </c>
      <c r="E3709" t="s">
        <v>157</v>
      </c>
      <c r="F3709">
        <v>2025</v>
      </c>
      <c r="G3709" t="s">
        <v>427</v>
      </c>
      <c r="H3709" s="42" t="s">
        <v>57</v>
      </c>
      <c r="K3709" t="s">
        <v>1653</v>
      </c>
      <c r="L3709" s="34">
        <v>2</v>
      </c>
      <c r="M3709" s="40">
        <v>0.3</v>
      </c>
      <c r="N3709" s="40">
        <f t="shared" si="82"/>
        <v>0.6</v>
      </c>
    </row>
    <row r="3710" spans="1:14">
      <c r="A3710" s="29">
        <v>45981</v>
      </c>
      <c r="B3710" s="22" t="s">
        <v>91</v>
      </c>
      <c r="C3710" s="22" t="s">
        <v>57</v>
      </c>
      <c r="D3710" s="48" t="s">
        <v>5</v>
      </c>
      <c r="E3710" t="s">
        <v>157</v>
      </c>
      <c r="F3710">
        <v>2025</v>
      </c>
      <c r="G3710" t="s">
        <v>427</v>
      </c>
      <c r="H3710" s="42" t="s">
        <v>57</v>
      </c>
      <c r="K3710" t="s">
        <v>1654</v>
      </c>
      <c r="L3710" s="34">
        <v>2</v>
      </c>
      <c r="M3710" s="40">
        <v>0.3</v>
      </c>
      <c r="N3710" s="40">
        <f t="shared" si="82"/>
        <v>0.6</v>
      </c>
    </row>
    <row r="3711" spans="1:14">
      <c r="A3711" s="29">
        <v>45981</v>
      </c>
      <c r="B3711" s="22" t="s">
        <v>91</v>
      </c>
      <c r="C3711" s="22" t="s">
        <v>57</v>
      </c>
      <c r="D3711" s="48" t="s">
        <v>11</v>
      </c>
      <c r="E3711" t="s">
        <v>179</v>
      </c>
      <c r="F3711">
        <v>2024</v>
      </c>
      <c r="G3711" t="s">
        <v>427</v>
      </c>
      <c r="H3711" s="42" t="s">
        <v>57</v>
      </c>
      <c r="K3711" t="s">
        <v>1655</v>
      </c>
      <c r="L3711" s="34">
        <v>2</v>
      </c>
      <c r="M3711" s="40">
        <v>0.3</v>
      </c>
      <c r="N3711" s="40">
        <f t="shared" si="82"/>
        <v>0.6</v>
      </c>
    </row>
    <row r="3712" spans="1:14">
      <c r="A3712" s="29">
        <v>45981</v>
      </c>
      <c r="B3712" s="22" t="s">
        <v>91</v>
      </c>
      <c r="C3712" s="22" t="s">
        <v>57</v>
      </c>
      <c r="D3712" s="48" t="s">
        <v>11</v>
      </c>
      <c r="E3712" t="s">
        <v>179</v>
      </c>
      <c r="F3712">
        <v>2024</v>
      </c>
      <c r="G3712" t="s">
        <v>427</v>
      </c>
      <c r="H3712" s="42" t="s">
        <v>57</v>
      </c>
      <c r="K3712" t="s">
        <v>1656</v>
      </c>
      <c r="L3712" s="34">
        <v>2</v>
      </c>
      <c r="M3712" s="40">
        <v>0.3</v>
      </c>
      <c r="N3712" s="40">
        <f t="shared" si="82"/>
        <v>0.6</v>
      </c>
    </row>
    <row r="3713" spans="1:14">
      <c r="A3713" s="29">
        <v>45985</v>
      </c>
      <c r="B3713" s="22" t="s">
        <v>9</v>
      </c>
      <c r="C3713" s="22" t="s">
        <v>41</v>
      </c>
      <c r="D3713" s="48" t="s">
        <v>5</v>
      </c>
      <c r="E3713" t="s">
        <v>157</v>
      </c>
      <c r="F3713">
        <v>2025</v>
      </c>
      <c r="G3713" t="s">
        <v>1310</v>
      </c>
      <c r="H3713" s="42" t="s">
        <v>1303</v>
      </c>
      <c r="L3713" s="34">
        <v>2</v>
      </c>
      <c r="M3713" s="40">
        <f t="shared" si="81"/>
        <v>0.75</v>
      </c>
      <c r="N3713" s="40">
        <f t="shared" si="82"/>
        <v>1.5</v>
      </c>
    </row>
    <row r="3714" spans="1:14">
      <c r="A3714" s="29">
        <v>45985</v>
      </c>
      <c r="B3714" s="22" t="s">
        <v>9</v>
      </c>
      <c r="C3714" s="22" t="s">
        <v>41</v>
      </c>
      <c r="D3714" s="48" t="s">
        <v>5</v>
      </c>
      <c r="E3714" t="s">
        <v>157</v>
      </c>
      <c r="F3714">
        <v>2025</v>
      </c>
      <c r="G3714" t="s">
        <v>247</v>
      </c>
      <c r="H3714" s="42" t="s">
        <v>1475</v>
      </c>
      <c r="L3714" s="34">
        <v>2</v>
      </c>
      <c r="M3714" s="40">
        <f t="shared" si="81"/>
        <v>0.75</v>
      </c>
      <c r="N3714" s="40">
        <f t="shared" si="82"/>
        <v>1.5</v>
      </c>
    </row>
    <row r="3715" spans="1:14">
      <c r="A3715" s="29">
        <v>45985</v>
      </c>
      <c r="B3715" s="22" t="s">
        <v>9</v>
      </c>
      <c r="C3715" s="22" t="s">
        <v>41</v>
      </c>
      <c r="D3715" s="48" t="s">
        <v>5</v>
      </c>
      <c r="E3715" t="s">
        <v>164</v>
      </c>
      <c r="F3715">
        <v>2025</v>
      </c>
      <c r="G3715" t="s">
        <v>57</v>
      </c>
      <c r="H3715" s="42" t="s">
        <v>1657</v>
      </c>
      <c r="L3715" s="34">
        <v>2</v>
      </c>
      <c r="M3715" s="40">
        <f t="shared" si="81"/>
        <v>0.75</v>
      </c>
      <c r="N3715" s="40">
        <f t="shared" si="82"/>
        <v>1.5</v>
      </c>
    </row>
    <row r="3716" spans="1:14">
      <c r="A3716" s="29">
        <v>45985</v>
      </c>
      <c r="B3716" s="22" t="s">
        <v>9</v>
      </c>
      <c r="C3716" s="22" t="s">
        <v>41</v>
      </c>
      <c r="D3716" s="48" t="s">
        <v>5</v>
      </c>
      <c r="E3716" t="s">
        <v>159</v>
      </c>
      <c r="F3716">
        <v>2025</v>
      </c>
      <c r="G3716" t="s">
        <v>1310</v>
      </c>
      <c r="H3716" s="42" t="s">
        <v>1249</v>
      </c>
      <c r="L3716" s="34">
        <v>2</v>
      </c>
      <c r="M3716" s="40">
        <f t="shared" si="81"/>
        <v>0.75</v>
      </c>
      <c r="N3716" s="40">
        <f t="shared" si="82"/>
        <v>1.5</v>
      </c>
    </row>
    <row r="3717" spans="1:14">
      <c r="A3717" s="29">
        <v>45985</v>
      </c>
      <c r="B3717" s="22" t="s">
        <v>9</v>
      </c>
      <c r="C3717" s="22" t="s">
        <v>41</v>
      </c>
      <c r="D3717" s="48" t="s">
        <v>8</v>
      </c>
      <c r="E3717" t="s">
        <v>193</v>
      </c>
      <c r="F3717">
        <v>2025</v>
      </c>
      <c r="G3717" t="s">
        <v>252</v>
      </c>
      <c r="H3717" s="42" t="s">
        <v>57</v>
      </c>
      <c r="L3717" s="34">
        <v>2</v>
      </c>
      <c r="M3717" s="40">
        <f t="shared" si="81"/>
        <v>0.75</v>
      </c>
      <c r="N3717" s="40">
        <f t="shared" si="82"/>
        <v>1.5</v>
      </c>
    </row>
    <row r="3718" spans="1:14">
      <c r="A3718" s="29">
        <v>45985</v>
      </c>
      <c r="B3718" s="22" t="s">
        <v>9</v>
      </c>
      <c r="C3718" s="22" t="s">
        <v>41</v>
      </c>
      <c r="D3718" s="48" t="s">
        <v>8</v>
      </c>
      <c r="E3718" t="s">
        <v>193</v>
      </c>
      <c r="F3718">
        <v>2025</v>
      </c>
      <c r="G3718" t="s">
        <v>253</v>
      </c>
      <c r="H3718" s="42" t="s">
        <v>57</v>
      </c>
      <c r="L3718" s="34">
        <v>2</v>
      </c>
      <c r="M3718" s="40">
        <f t="shared" si="81"/>
        <v>0.75</v>
      </c>
      <c r="N3718" s="40">
        <f t="shared" si="82"/>
        <v>1.5</v>
      </c>
    </row>
    <row r="3719" spans="1:14">
      <c r="A3719" s="29">
        <v>45985</v>
      </c>
      <c r="B3719" s="22" t="s">
        <v>9</v>
      </c>
      <c r="C3719" s="22" t="s">
        <v>41</v>
      </c>
      <c r="D3719" s="48" t="s">
        <v>8</v>
      </c>
      <c r="E3719" t="s">
        <v>192</v>
      </c>
      <c r="F3719">
        <v>2025</v>
      </c>
      <c r="G3719" t="s">
        <v>57</v>
      </c>
      <c r="H3719" s="42" t="s">
        <v>57</v>
      </c>
      <c r="L3719" s="34">
        <v>2</v>
      </c>
      <c r="M3719" s="40">
        <f t="shared" si="81"/>
        <v>0.75</v>
      </c>
      <c r="N3719" s="40">
        <f t="shared" si="82"/>
        <v>1.5</v>
      </c>
    </row>
    <row r="3720" spans="1:14">
      <c r="A3720" s="29">
        <v>45985</v>
      </c>
      <c r="B3720" s="22" t="s">
        <v>9</v>
      </c>
      <c r="C3720" s="22" t="s">
        <v>41</v>
      </c>
      <c r="D3720" s="48" t="s">
        <v>8</v>
      </c>
      <c r="E3720" t="s">
        <v>180</v>
      </c>
      <c r="F3720">
        <v>2025</v>
      </c>
      <c r="G3720" t="s">
        <v>57</v>
      </c>
      <c r="H3720" s="42" t="s">
        <v>57</v>
      </c>
      <c r="L3720" s="34">
        <v>2</v>
      </c>
      <c r="M3720" s="40">
        <f t="shared" si="81"/>
        <v>0.75</v>
      </c>
      <c r="N3720" s="40">
        <f t="shared" si="82"/>
        <v>1.5</v>
      </c>
    </row>
    <row r="3721" spans="1:14">
      <c r="A3721" s="29">
        <v>45985</v>
      </c>
      <c r="B3721" s="22" t="s">
        <v>57</v>
      </c>
      <c r="C3721" s="22" t="s">
        <v>59</v>
      </c>
      <c r="D3721" s="48" t="s">
        <v>8</v>
      </c>
      <c r="E3721" t="s">
        <v>175</v>
      </c>
      <c r="F3721">
        <v>2025</v>
      </c>
      <c r="G3721" t="s">
        <v>482</v>
      </c>
      <c r="H3721" s="42" t="s">
        <v>57</v>
      </c>
      <c r="K3721" t="s">
        <v>1658</v>
      </c>
      <c r="L3721" s="34">
        <v>2</v>
      </c>
      <c r="M3721" s="40">
        <f t="shared" si="81"/>
        <v>0.75</v>
      </c>
      <c r="N3721" s="40">
        <f t="shared" si="82"/>
        <v>1.5</v>
      </c>
    </row>
    <row r="3722" spans="1:14">
      <c r="A3722" s="29">
        <v>45985</v>
      </c>
      <c r="B3722" s="22" t="s">
        <v>57</v>
      </c>
      <c r="C3722" s="22" t="s">
        <v>59</v>
      </c>
      <c r="D3722" s="48" t="s">
        <v>5</v>
      </c>
      <c r="E3722" t="s">
        <v>175</v>
      </c>
      <c r="F3722">
        <v>2025</v>
      </c>
      <c r="G3722" t="s">
        <v>393</v>
      </c>
      <c r="H3722" s="42" t="s">
        <v>57</v>
      </c>
      <c r="K3722" t="s">
        <v>1659</v>
      </c>
      <c r="L3722" s="34">
        <v>2</v>
      </c>
      <c r="M3722" s="40">
        <f t="shared" si="81"/>
        <v>0.75</v>
      </c>
      <c r="N3722" s="40">
        <f t="shared" si="82"/>
        <v>1.5</v>
      </c>
    </row>
    <row r="3723" spans="1:14">
      <c r="A3723" s="29">
        <v>45985</v>
      </c>
      <c r="B3723" s="22" t="s">
        <v>63</v>
      </c>
      <c r="C3723" s="22"/>
      <c r="D3723" s="48" t="s">
        <v>5</v>
      </c>
      <c r="E3723" t="s">
        <v>157</v>
      </c>
      <c r="F3723">
        <v>2025</v>
      </c>
      <c r="G3723" t="s">
        <v>252</v>
      </c>
      <c r="H3723" s="42" t="s">
        <v>1303</v>
      </c>
      <c r="L3723" s="34">
        <v>6</v>
      </c>
      <c r="M3723" s="40">
        <f t="shared" si="81"/>
        <v>0.75</v>
      </c>
      <c r="N3723" s="40">
        <f t="shared" si="82"/>
        <v>4.5</v>
      </c>
    </row>
    <row r="3724" spans="1:14">
      <c r="A3724" s="29">
        <v>45985</v>
      </c>
      <c r="B3724" s="22" t="s">
        <v>63</v>
      </c>
      <c r="C3724" s="22"/>
      <c r="D3724" s="48" t="s">
        <v>5</v>
      </c>
      <c r="E3724" t="s">
        <v>157</v>
      </c>
      <c r="F3724">
        <v>2025</v>
      </c>
      <c r="G3724" t="s">
        <v>247</v>
      </c>
      <c r="H3724" s="42" t="s">
        <v>1475</v>
      </c>
      <c r="L3724" s="34">
        <v>6</v>
      </c>
      <c r="M3724" s="40">
        <f t="shared" si="81"/>
        <v>0.75</v>
      </c>
      <c r="N3724" s="40">
        <f t="shared" si="82"/>
        <v>4.5</v>
      </c>
    </row>
    <row r="3725" spans="1:14">
      <c r="A3725" s="29">
        <v>45985</v>
      </c>
      <c r="B3725" s="22" t="s">
        <v>63</v>
      </c>
      <c r="C3725" s="22"/>
      <c r="D3725" s="48" t="s">
        <v>5</v>
      </c>
      <c r="E3725" t="s">
        <v>157</v>
      </c>
      <c r="F3725">
        <v>2025</v>
      </c>
      <c r="G3725" t="s">
        <v>427</v>
      </c>
      <c r="H3725" s="42" t="s">
        <v>1312</v>
      </c>
      <c r="L3725" s="34">
        <v>4</v>
      </c>
      <c r="M3725" s="40">
        <f t="shared" ref="M3725" si="83">IF(L3725="","",0.75)</f>
        <v>0.75</v>
      </c>
      <c r="N3725" s="40">
        <f t="shared" ref="N3725" si="84">IF(M3725="","",M3725*L3725)</f>
        <v>3</v>
      </c>
    </row>
    <row r="3726" spans="1:14">
      <c r="A3726" s="29">
        <v>45985</v>
      </c>
      <c r="B3726" s="22" t="s">
        <v>63</v>
      </c>
      <c r="C3726" s="22"/>
      <c r="D3726" s="48" t="s">
        <v>8</v>
      </c>
      <c r="E3726" t="s">
        <v>179</v>
      </c>
      <c r="F3726">
        <v>2025</v>
      </c>
      <c r="G3726" t="s">
        <v>57</v>
      </c>
      <c r="H3726" s="42" t="s">
        <v>1231</v>
      </c>
      <c r="L3726" s="34">
        <v>4</v>
      </c>
      <c r="M3726" s="40">
        <f t="shared" si="81"/>
        <v>0.75</v>
      </c>
      <c r="N3726" s="40">
        <f t="shared" si="82"/>
        <v>3</v>
      </c>
    </row>
    <row r="3727" spans="1:14">
      <c r="A3727" s="29">
        <v>45985</v>
      </c>
      <c r="B3727" s="22" t="s">
        <v>63</v>
      </c>
      <c r="C3727" s="22"/>
      <c r="D3727" s="48" t="s">
        <v>8</v>
      </c>
      <c r="E3727" t="s">
        <v>180</v>
      </c>
      <c r="F3727">
        <v>2025</v>
      </c>
      <c r="G3727" t="s">
        <v>1282</v>
      </c>
      <c r="H3727" s="42" t="s">
        <v>57</v>
      </c>
      <c r="L3727" s="34">
        <v>4</v>
      </c>
      <c r="M3727" s="40">
        <f t="shared" si="81"/>
        <v>0.75</v>
      </c>
      <c r="N3727" s="40">
        <f t="shared" si="82"/>
        <v>3</v>
      </c>
    </row>
    <row r="3728" spans="1:14">
      <c r="A3728" s="29">
        <v>45985</v>
      </c>
      <c r="B3728" s="22" t="s">
        <v>63</v>
      </c>
      <c r="C3728" s="22"/>
      <c r="D3728" s="48" t="s">
        <v>8</v>
      </c>
      <c r="E3728" t="s">
        <v>199</v>
      </c>
      <c r="F3728">
        <v>2025</v>
      </c>
      <c r="G3728" t="s">
        <v>1282</v>
      </c>
      <c r="H3728" s="42" t="s">
        <v>57</v>
      </c>
      <c r="L3728" s="34">
        <v>4</v>
      </c>
      <c r="M3728" s="40">
        <f t="shared" si="81"/>
        <v>0.75</v>
      </c>
      <c r="N3728" s="40">
        <f t="shared" si="82"/>
        <v>3</v>
      </c>
    </row>
    <row r="3729" spans="1:14">
      <c r="A3729" s="29">
        <v>45985</v>
      </c>
      <c r="B3729" s="22" t="s">
        <v>63</v>
      </c>
      <c r="C3729" s="22"/>
      <c r="D3729" s="48" t="s">
        <v>8</v>
      </c>
      <c r="E3729" t="s">
        <v>182</v>
      </c>
      <c r="F3729">
        <v>2025</v>
      </c>
      <c r="G3729" t="s">
        <v>252</v>
      </c>
      <c r="H3729" s="42" t="s">
        <v>57</v>
      </c>
      <c r="L3729" s="34">
        <v>4</v>
      </c>
      <c r="M3729" s="40">
        <f t="shared" si="81"/>
        <v>0.75</v>
      </c>
      <c r="N3729" s="40">
        <f t="shared" si="82"/>
        <v>3</v>
      </c>
    </row>
    <row r="3730" spans="1:14">
      <c r="A3730" s="29">
        <v>45985</v>
      </c>
      <c r="B3730" s="22" t="s">
        <v>63</v>
      </c>
      <c r="C3730" s="22"/>
      <c r="D3730" s="48" t="s">
        <v>8</v>
      </c>
      <c r="E3730" t="s">
        <v>182</v>
      </c>
      <c r="F3730">
        <v>2025</v>
      </c>
      <c r="G3730" t="s">
        <v>247</v>
      </c>
      <c r="H3730" s="42" t="s">
        <v>57</v>
      </c>
      <c r="L3730" s="34">
        <v>2</v>
      </c>
      <c r="M3730" s="40">
        <f t="shared" si="81"/>
        <v>0.75</v>
      </c>
      <c r="N3730" s="40">
        <f t="shared" si="82"/>
        <v>1.5</v>
      </c>
    </row>
    <row r="3731" spans="1:14">
      <c r="A3731" s="29">
        <v>45986</v>
      </c>
      <c r="B3731" s="22" t="s">
        <v>57</v>
      </c>
      <c r="C3731" s="22" t="s">
        <v>51</v>
      </c>
      <c r="D3731" s="48" t="s">
        <v>5</v>
      </c>
      <c r="E3731" t="s">
        <v>164</v>
      </c>
      <c r="F3731">
        <v>2025</v>
      </c>
      <c r="G3731" t="s">
        <v>57</v>
      </c>
      <c r="H3731" s="42" t="s">
        <v>1660</v>
      </c>
      <c r="L3731" s="34">
        <v>2</v>
      </c>
      <c r="M3731" s="40">
        <f t="shared" si="81"/>
        <v>0.75</v>
      </c>
      <c r="N3731" s="40">
        <f t="shared" si="82"/>
        <v>1.5</v>
      </c>
    </row>
    <row r="3732" spans="1:14">
      <c r="A3732" s="29">
        <v>45986</v>
      </c>
      <c r="B3732" s="22" t="s">
        <v>57</v>
      </c>
      <c r="C3732" s="22" t="s">
        <v>51</v>
      </c>
      <c r="D3732" s="48" t="s">
        <v>5</v>
      </c>
      <c r="E3732" t="s">
        <v>161</v>
      </c>
      <c r="F3732">
        <v>2025</v>
      </c>
      <c r="G3732" t="s">
        <v>57</v>
      </c>
      <c r="H3732" s="42" t="s">
        <v>1218</v>
      </c>
      <c r="L3732" s="34">
        <v>2</v>
      </c>
      <c r="M3732" s="40">
        <f t="shared" si="81"/>
        <v>0.75</v>
      </c>
      <c r="N3732" s="40">
        <f t="shared" si="82"/>
        <v>1.5</v>
      </c>
    </row>
    <row r="3733" spans="1:14">
      <c r="A3733" s="29">
        <v>45986</v>
      </c>
      <c r="B3733" s="22" t="s">
        <v>57</v>
      </c>
      <c r="C3733" s="22" t="s">
        <v>51</v>
      </c>
      <c r="D3733" s="48" t="s">
        <v>11</v>
      </c>
      <c r="E3733" t="s">
        <v>180</v>
      </c>
      <c r="F3733">
        <v>2025</v>
      </c>
      <c r="G3733" t="s">
        <v>57</v>
      </c>
      <c r="H3733" s="42" t="s">
        <v>1456</v>
      </c>
      <c r="L3733" s="34">
        <v>2</v>
      </c>
      <c r="M3733" s="40">
        <f t="shared" si="81"/>
        <v>0.75</v>
      </c>
      <c r="N3733" s="40">
        <f t="shared" si="82"/>
        <v>1.5</v>
      </c>
    </row>
    <row r="3734" spans="1:14">
      <c r="A3734" s="29">
        <v>45986</v>
      </c>
      <c r="B3734" s="22" t="s">
        <v>57</v>
      </c>
      <c r="C3734" s="22" t="s">
        <v>51</v>
      </c>
      <c r="D3734" s="48" t="s">
        <v>11</v>
      </c>
      <c r="E3734" t="s">
        <v>179</v>
      </c>
      <c r="F3734">
        <v>2025</v>
      </c>
      <c r="G3734" t="s">
        <v>1282</v>
      </c>
      <c r="H3734" s="42" t="s">
        <v>57</v>
      </c>
      <c r="K3734" t="s">
        <v>1661</v>
      </c>
      <c r="L3734" s="34">
        <v>2</v>
      </c>
      <c r="M3734" s="40">
        <f t="shared" si="81"/>
        <v>0.75</v>
      </c>
      <c r="N3734" s="40">
        <f t="shared" si="82"/>
        <v>1.5</v>
      </c>
    </row>
    <row r="3735" spans="1:14">
      <c r="A3735" s="29">
        <v>45986</v>
      </c>
      <c r="B3735" s="22" t="s">
        <v>57</v>
      </c>
      <c r="C3735" s="22" t="s">
        <v>51</v>
      </c>
      <c r="D3735" s="48" t="s">
        <v>11</v>
      </c>
      <c r="E3735" t="s">
        <v>1086</v>
      </c>
      <c r="F3735">
        <v>2025</v>
      </c>
      <c r="G3735" t="s">
        <v>1282</v>
      </c>
      <c r="H3735" s="42" t="s">
        <v>57</v>
      </c>
      <c r="K3735" t="s">
        <v>1662</v>
      </c>
      <c r="L3735" s="34">
        <v>2</v>
      </c>
      <c r="M3735" s="40">
        <f t="shared" si="81"/>
        <v>0.75</v>
      </c>
      <c r="N3735" s="40">
        <f t="shared" si="82"/>
        <v>1.5</v>
      </c>
    </row>
    <row r="3736" spans="1:14">
      <c r="A3736" s="29">
        <v>45986</v>
      </c>
      <c r="B3736" s="22" t="s">
        <v>57</v>
      </c>
      <c r="C3736" s="22" t="s">
        <v>47</v>
      </c>
      <c r="D3736" s="48" t="s">
        <v>8</v>
      </c>
      <c r="E3736" t="s">
        <v>178</v>
      </c>
      <c r="F3736">
        <v>2025</v>
      </c>
      <c r="G3736" t="s">
        <v>57</v>
      </c>
      <c r="H3736" s="42" t="s">
        <v>57</v>
      </c>
      <c r="L3736" s="34">
        <v>2</v>
      </c>
      <c r="M3736" s="40">
        <f t="shared" si="81"/>
        <v>0.75</v>
      </c>
      <c r="N3736" s="40">
        <f t="shared" si="82"/>
        <v>1.5</v>
      </c>
    </row>
    <row r="3737" spans="1:14">
      <c r="A3737" s="29">
        <v>45986</v>
      </c>
      <c r="B3737" s="22" t="s">
        <v>57</v>
      </c>
      <c r="C3737" s="22" t="s">
        <v>47</v>
      </c>
      <c r="D3737" s="48" t="s">
        <v>5</v>
      </c>
      <c r="E3737" t="s">
        <v>157</v>
      </c>
      <c r="F3737">
        <v>2025</v>
      </c>
      <c r="G3737" t="s">
        <v>252</v>
      </c>
      <c r="H3737" s="42" t="s">
        <v>1303</v>
      </c>
      <c r="L3737" s="34">
        <v>2</v>
      </c>
      <c r="M3737" s="40">
        <f t="shared" si="81"/>
        <v>0.75</v>
      </c>
      <c r="N3737" s="40">
        <f t="shared" si="82"/>
        <v>1.5</v>
      </c>
    </row>
    <row r="3738" spans="1:14">
      <c r="A3738" s="29">
        <v>45986</v>
      </c>
      <c r="B3738" s="22" t="s">
        <v>57</v>
      </c>
      <c r="C3738" s="22" t="s">
        <v>47</v>
      </c>
      <c r="D3738" s="48" t="s">
        <v>5</v>
      </c>
      <c r="E3738" t="s">
        <v>157</v>
      </c>
      <c r="F3738">
        <v>2025</v>
      </c>
      <c r="G3738" t="s">
        <v>253</v>
      </c>
      <c r="H3738" s="42" t="s">
        <v>1475</v>
      </c>
      <c r="L3738" s="34">
        <v>2</v>
      </c>
      <c r="M3738" s="40">
        <f t="shared" si="81"/>
        <v>0.75</v>
      </c>
      <c r="N3738" s="40">
        <f t="shared" si="82"/>
        <v>1.5</v>
      </c>
    </row>
    <row r="3739" spans="1:14">
      <c r="A3739" s="29">
        <v>45986</v>
      </c>
      <c r="B3739" s="22" t="s">
        <v>57</v>
      </c>
      <c r="C3739" s="22" t="s">
        <v>47</v>
      </c>
      <c r="D3739" s="48" t="s">
        <v>5</v>
      </c>
      <c r="E3739" t="s">
        <v>157</v>
      </c>
      <c r="F3739">
        <v>2025</v>
      </c>
      <c r="G3739" t="s">
        <v>507</v>
      </c>
      <c r="H3739" s="42" t="s">
        <v>1312</v>
      </c>
      <c r="L3739" s="34">
        <v>2</v>
      </c>
      <c r="M3739" s="40">
        <f t="shared" si="81"/>
        <v>0.75</v>
      </c>
      <c r="N3739" s="40">
        <f t="shared" si="82"/>
        <v>1.5</v>
      </c>
    </row>
    <row r="3740" spans="1:14">
      <c r="A3740" s="29">
        <v>45986</v>
      </c>
      <c r="B3740" s="22" t="s">
        <v>3</v>
      </c>
      <c r="C3740" s="22" t="s">
        <v>57</v>
      </c>
      <c r="D3740" s="48" t="s">
        <v>5</v>
      </c>
      <c r="E3740" t="s">
        <v>1188</v>
      </c>
      <c r="F3740">
        <v>2025</v>
      </c>
      <c r="G3740" t="s">
        <v>1282</v>
      </c>
      <c r="H3740" s="42" t="s">
        <v>57</v>
      </c>
      <c r="K3740" t="s">
        <v>1663</v>
      </c>
      <c r="L3740" s="34">
        <v>3</v>
      </c>
      <c r="M3740" s="40">
        <f t="shared" si="81"/>
        <v>0.75</v>
      </c>
      <c r="N3740" s="40">
        <f t="shared" si="82"/>
        <v>2.25</v>
      </c>
    </row>
    <row r="3741" spans="1:14">
      <c r="A3741" s="29">
        <v>45986</v>
      </c>
      <c r="B3741" s="22" t="s">
        <v>3</v>
      </c>
      <c r="C3741" s="22" t="s">
        <v>57</v>
      </c>
      <c r="D3741" s="48" t="s">
        <v>5</v>
      </c>
      <c r="E3741" t="s">
        <v>1188</v>
      </c>
      <c r="F3741">
        <v>2025</v>
      </c>
      <c r="G3741" t="s">
        <v>1282</v>
      </c>
      <c r="H3741" s="42" t="s">
        <v>57</v>
      </c>
      <c r="K3741" t="s">
        <v>1664</v>
      </c>
      <c r="L3741" s="34">
        <v>3</v>
      </c>
      <c r="M3741" s="40">
        <f t="shared" ref="M3741:M3743" si="85">IF(L3741="","",0.75)</f>
        <v>0.75</v>
      </c>
      <c r="N3741" s="40">
        <f t="shared" ref="N3741:N3743" si="86">IF(M3741="","",M3741*L3741)</f>
        <v>2.25</v>
      </c>
    </row>
    <row r="3742" spans="1:14">
      <c r="A3742" s="29">
        <v>45986</v>
      </c>
      <c r="B3742" s="22" t="s">
        <v>3</v>
      </c>
      <c r="C3742" s="22" t="s">
        <v>57</v>
      </c>
      <c r="D3742" s="48" t="s">
        <v>5</v>
      </c>
      <c r="E3742" t="s">
        <v>1188</v>
      </c>
      <c r="F3742">
        <v>2025</v>
      </c>
      <c r="G3742" t="s">
        <v>1282</v>
      </c>
      <c r="H3742" s="42" t="s">
        <v>57</v>
      </c>
      <c r="K3742" t="s">
        <v>1665</v>
      </c>
      <c r="L3742" s="34">
        <v>3</v>
      </c>
      <c r="M3742" s="40">
        <f t="shared" si="85"/>
        <v>0.75</v>
      </c>
      <c r="N3742" s="40">
        <f t="shared" si="86"/>
        <v>2.25</v>
      </c>
    </row>
    <row r="3743" spans="1:14">
      <c r="A3743" s="29">
        <v>45986</v>
      </c>
      <c r="B3743" s="22" t="s">
        <v>3</v>
      </c>
      <c r="C3743" s="22" t="s">
        <v>57</v>
      </c>
      <c r="D3743" s="48" t="s">
        <v>5</v>
      </c>
      <c r="E3743" t="s">
        <v>157</v>
      </c>
      <c r="F3743">
        <v>2025</v>
      </c>
      <c r="G3743" t="s">
        <v>252</v>
      </c>
      <c r="H3743" s="42" t="s">
        <v>1303</v>
      </c>
      <c r="L3743" s="34">
        <v>3</v>
      </c>
      <c r="M3743" s="40">
        <f t="shared" si="85"/>
        <v>0.75</v>
      </c>
      <c r="N3743" s="40">
        <f t="shared" si="86"/>
        <v>2.25</v>
      </c>
    </row>
    <row r="3744" spans="1:14">
      <c r="A3744" s="29">
        <v>45987</v>
      </c>
      <c r="B3744" s="22" t="s">
        <v>88</v>
      </c>
      <c r="C3744" s="22" t="s">
        <v>57</v>
      </c>
      <c r="D3744" s="48" t="s">
        <v>5</v>
      </c>
      <c r="E3744" t="s">
        <v>158</v>
      </c>
      <c r="F3744">
        <v>2024</v>
      </c>
      <c r="G3744" t="s">
        <v>57</v>
      </c>
      <c r="H3744" s="42" t="s">
        <v>1324</v>
      </c>
      <c r="L3744" s="34">
        <v>1</v>
      </c>
      <c r="M3744" s="40">
        <f t="shared" si="81"/>
        <v>0.75</v>
      </c>
      <c r="N3744" s="40">
        <f t="shared" si="82"/>
        <v>0.75</v>
      </c>
    </row>
    <row r="3745" spans="1:14">
      <c r="A3745" s="29">
        <v>45987</v>
      </c>
      <c r="B3745" s="22" t="s">
        <v>92</v>
      </c>
      <c r="C3745" s="22" t="s">
        <v>47</v>
      </c>
      <c r="D3745" s="48" t="s">
        <v>8</v>
      </c>
      <c r="E3745" t="s">
        <v>178</v>
      </c>
      <c r="F3745">
        <v>2025</v>
      </c>
      <c r="G3745" t="s">
        <v>1282</v>
      </c>
      <c r="H3745" s="42" t="s">
        <v>57</v>
      </c>
      <c r="K3745" t="s">
        <v>1666</v>
      </c>
      <c r="L3745" s="34">
        <v>2</v>
      </c>
      <c r="M3745" s="40">
        <f t="shared" si="81"/>
        <v>0.75</v>
      </c>
      <c r="N3745" s="40">
        <f t="shared" si="82"/>
        <v>1.5</v>
      </c>
    </row>
    <row r="3746" spans="1:14">
      <c r="A3746" s="29">
        <v>45987</v>
      </c>
      <c r="B3746" s="22" t="s">
        <v>92</v>
      </c>
      <c r="C3746" s="22" t="s">
        <v>47</v>
      </c>
      <c r="D3746" s="48" t="s">
        <v>5</v>
      </c>
      <c r="E3746" t="s">
        <v>157</v>
      </c>
      <c r="F3746">
        <v>2025</v>
      </c>
      <c r="G3746" t="s">
        <v>252</v>
      </c>
      <c r="H3746" s="42" t="s">
        <v>1303</v>
      </c>
      <c r="L3746" s="34">
        <v>2</v>
      </c>
      <c r="M3746" s="40">
        <f t="shared" si="81"/>
        <v>0.75</v>
      </c>
      <c r="N3746" s="40">
        <f t="shared" si="82"/>
        <v>1.5</v>
      </c>
    </row>
    <row r="3747" spans="1:14">
      <c r="A3747" s="29">
        <v>45987</v>
      </c>
      <c r="B3747" s="22" t="s">
        <v>92</v>
      </c>
      <c r="C3747" s="22" t="s">
        <v>47</v>
      </c>
      <c r="D3747" s="48" t="s">
        <v>5</v>
      </c>
      <c r="E3747" t="s">
        <v>157</v>
      </c>
      <c r="F3747">
        <v>2025</v>
      </c>
      <c r="G3747" t="s">
        <v>253</v>
      </c>
      <c r="H3747" s="42" t="s">
        <v>1475</v>
      </c>
      <c r="L3747" s="34">
        <v>2</v>
      </c>
      <c r="M3747" s="40">
        <f t="shared" si="81"/>
        <v>0.75</v>
      </c>
      <c r="N3747" s="40">
        <f t="shared" si="82"/>
        <v>1.5</v>
      </c>
    </row>
    <row r="3748" spans="1:14">
      <c r="A3748" s="29">
        <v>45987</v>
      </c>
      <c r="B3748" s="22" t="s">
        <v>92</v>
      </c>
      <c r="C3748" s="22" t="s">
        <v>47</v>
      </c>
      <c r="D3748" s="48" t="s">
        <v>5</v>
      </c>
      <c r="E3748" t="s">
        <v>157</v>
      </c>
      <c r="F3748">
        <v>2025</v>
      </c>
      <c r="G3748" t="s">
        <v>507</v>
      </c>
      <c r="H3748" s="42" t="s">
        <v>1312</v>
      </c>
      <c r="L3748" s="34">
        <v>2</v>
      </c>
      <c r="M3748" s="40">
        <f t="shared" si="81"/>
        <v>0.75</v>
      </c>
      <c r="N3748" s="40">
        <f t="shared" si="82"/>
        <v>1.5</v>
      </c>
    </row>
    <row r="3749" spans="1:14">
      <c r="A3749" s="29">
        <v>45989</v>
      </c>
      <c r="B3749" s="22" t="s">
        <v>57</v>
      </c>
      <c r="C3749" s="22" t="s">
        <v>47</v>
      </c>
      <c r="D3749" s="48" t="s">
        <v>5</v>
      </c>
      <c r="E3749" t="s">
        <v>159</v>
      </c>
      <c r="F3749">
        <v>2025</v>
      </c>
      <c r="G3749" t="s">
        <v>252</v>
      </c>
      <c r="H3749" s="42" t="s">
        <v>1350</v>
      </c>
      <c r="L3749" s="34">
        <v>1</v>
      </c>
      <c r="M3749" s="40">
        <f t="shared" ref="M3749:M3808" si="87">IF(L3749="","",0.75)</f>
        <v>0.75</v>
      </c>
      <c r="N3749" s="40">
        <f t="shared" ref="N3749:N3808" si="88">IF(M3749="","",M3749*L3749)</f>
        <v>0.75</v>
      </c>
    </row>
    <row r="3750" spans="1:14">
      <c r="A3750" s="29">
        <v>45989</v>
      </c>
      <c r="B3750" s="22" t="s">
        <v>57</v>
      </c>
      <c r="C3750" s="22" t="s">
        <v>47</v>
      </c>
      <c r="D3750" s="48" t="s">
        <v>5</v>
      </c>
      <c r="E3750" t="s">
        <v>157</v>
      </c>
      <c r="F3750">
        <v>2025</v>
      </c>
      <c r="G3750" t="s">
        <v>507</v>
      </c>
      <c r="H3750" s="42" t="s">
        <v>1312</v>
      </c>
      <c r="L3750" s="34">
        <v>1</v>
      </c>
      <c r="M3750" s="40">
        <f t="shared" si="87"/>
        <v>0.75</v>
      </c>
      <c r="N3750" s="40">
        <f t="shared" si="88"/>
        <v>0.75</v>
      </c>
    </row>
    <row r="3751" spans="1:14">
      <c r="A3751" s="29">
        <v>45989</v>
      </c>
      <c r="B3751" s="22" t="s">
        <v>57</v>
      </c>
      <c r="C3751" s="22" t="s">
        <v>47</v>
      </c>
      <c r="D3751" s="48" t="s">
        <v>5</v>
      </c>
      <c r="E3751" t="s">
        <v>157</v>
      </c>
      <c r="F3751">
        <v>2025</v>
      </c>
      <c r="G3751" t="s">
        <v>252</v>
      </c>
      <c r="H3751" s="42" t="s">
        <v>1303</v>
      </c>
      <c r="L3751" s="34">
        <v>1</v>
      </c>
      <c r="M3751" s="40">
        <f t="shared" si="87"/>
        <v>0.75</v>
      </c>
      <c r="N3751" s="40">
        <f t="shared" si="88"/>
        <v>0.75</v>
      </c>
    </row>
    <row r="3752" spans="1:14">
      <c r="A3752" s="29">
        <v>45989</v>
      </c>
      <c r="B3752" s="22" t="s">
        <v>57</v>
      </c>
      <c r="C3752" s="22" t="s">
        <v>47</v>
      </c>
      <c r="D3752" s="48" t="s">
        <v>5</v>
      </c>
      <c r="E3752" t="s">
        <v>157</v>
      </c>
      <c r="F3752">
        <v>2025</v>
      </c>
      <c r="G3752" t="s">
        <v>247</v>
      </c>
      <c r="H3752" s="42" t="s">
        <v>1475</v>
      </c>
      <c r="L3752" s="34">
        <v>1</v>
      </c>
      <c r="M3752" s="40">
        <f t="shared" si="87"/>
        <v>0.75</v>
      </c>
      <c r="N3752" s="40">
        <f t="shared" si="88"/>
        <v>0.75</v>
      </c>
    </row>
    <row r="3753" spans="1:14">
      <c r="A3753" s="29">
        <v>45989</v>
      </c>
      <c r="B3753" s="22" t="s">
        <v>57</v>
      </c>
      <c r="C3753" s="22" t="s">
        <v>49</v>
      </c>
      <c r="D3753" s="48" t="s">
        <v>5</v>
      </c>
      <c r="E3753" t="s">
        <v>158</v>
      </c>
      <c r="F3753">
        <v>2025</v>
      </c>
      <c r="G3753" t="s">
        <v>57</v>
      </c>
      <c r="H3753" s="42" t="s">
        <v>1375</v>
      </c>
      <c r="L3753" s="34">
        <v>4</v>
      </c>
      <c r="M3753" s="40">
        <f t="shared" si="87"/>
        <v>0.75</v>
      </c>
      <c r="N3753" s="40">
        <f t="shared" si="88"/>
        <v>3</v>
      </c>
    </row>
    <row r="3754" spans="1:14">
      <c r="A3754" s="29">
        <v>45989</v>
      </c>
      <c r="B3754" s="22" t="s">
        <v>57</v>
      </c>
      <c r="C3754" s="22" t="s">
        <v>49</v>
      </c>
      <c r="D3754" s="48" t="s">
        <v>5</v>
      </c>
      <c r="E3754" t="s">
        <v>1667</v>
      </c>
      <c r="F3754">
        <v>2025</v>
      </c>
      <c r="G3754" t="s">
        <v>57</v>
      </c>
      <c r="H3754" s="42" t="s">
        <v>1336</v>
      </c>
      <c r="L3754" s="34">
        <v>4</v>
      </c>
      <c r="M3754" s="40">
        <f t="shared" si="87"/>
        <v>0.75</v>
      </c>
      <c r="N3754" s="40">
        <f t="shared" si="88"/>
        <v>3</v>
      </c>
    </row>
    <row r="3755" spans="1:14">
      <c r="A3755" s="29">
        <v>45989</v>
      </c>
      <c r="B3755" s="22" t="s">
        <v>57</v>
      </c>
      <c r="C3755" s="22" t="s">
        <v>55</v>
      </c>
      <c r="D3755" s="48" t="s">
        <v>5</v>
      </c>
      <c r="E3755" t="s">
        <v>159</v>
      </c>
      <c r="F3755">
        <v>2025</v>
      </c>
      <c r="G3755" t="s">
        <v>326</v>
      </c>
      <c r="H3755" s="42" t="s">
        <v>1303</v>
      </c>
      <c r="L3755" s="34">
        <v>4</v>
      </c>
      <c r="M3755" s="40">
        <f t="shared" si="87"/>
        <v>0.75</v>
      </c>
      <c r="N3755" s="40">
        <f t="shared" si="88"/>
        <v>3</v>
      </c>
    </row>
    <row r="3756" spans="1:14">
      <c r="A3756" s="29">
        <v>45989</v>
      </c>
      <c r="B3756" s="22" t="s">
        <v>57</v>
      </c>
      <c r="C3756" s="22" t="s">
        <v>55</v>
      </c>
      <c r="D3756" s="48" t="s">
        <v>5</v>
      </c>
      <c r="E3756" t="s">
        <v>255</v>
      </c>
      <c r="F3756">
        <v>2025</v>
      </c>
      <c r="G3756" t="s">
        <v>57</v>
      </c>
      <c r="H3756" s="42" t="s">
        <v>1660</v>
      </c>
      <c r="L3756" s="34">
        <v>4</v>
      </c>
      <c r="M3756" s="40">
        <f t="shared" si="87"/>
        <v>0.75</v>
      </c>
      <c r="N3756" s="40">
        <f t="shared" si="88"/>
        <v>3</v>
      </c>
    </row>
    <row r="3757" spans="1:14">
      <c r="A3757" s="29">
        <v>45989</v>
      </c>
      <c r="B3757" s="22" t="s">
        <v>57</v>
      </c>
      <c r="C3757" s="22" t="s">
        <v>55</v>
      </c>
      <c r="D3757" s="48" t="s">
        <v>8</v>
      </c>
      <c r="E3757" t="s">
        <v>178</v>
      </c>
      <c r="F3757">
        <v>2025</v>
      </c>
      <c r="G3757" t="s">
        <v>57</v>
      </c>
      <c r="H3757" s="42" t="s">
        <v>57</v>
      </c>
      <c r="L3757" s="34">
        <v>4</v>
      </c>
      <c r="M3757" s="40">
        <f t="shared" si="87"/>
        <v>0.75</v>
      </c>
      <c r="N3757" s="40">
        <f t="shared" si="88"/>
        <v>3</v>
      </c>
    </row>
    <row r="3758" spans="1:14">
      <c r="A3758" s="29">
        <v>45993</v>
      </c>
      <c r="B3758" s="22" t="s">
        <v>93</v>
      </c>
      <c r="C3758" s="22" t="s">
        <v>47</v>
      </c>
      <c r="D3758" s="48" t="s">
        <v>5</v>
      </c>
      <c r="E3758" t="s">
        <v>1668</v>
      </c>
      <c r="F3758">
        <v>2025</v>
      </c>
      <c r="G3758" t="s">
        <v>1669</v>
      </c>
      <c r="H3758" s="42" t="s">
        <v>1670</v>
      </c>
      <c r="L3758" s="34">
        <v>1</v>
      </c>
      <c r="M3758" s="40">
        <f t="shared" si="87"/>
        <v>0.75</v>
      </c>
      <c r="N3758" s="40">
        <f t="shared" si="88"/>
        <v>0.75</v>
      </c>
    </row>
    <row r="3759" spans="1:14">
      <c r="A3759" s="29">
        <v>45993</v>
      </c>
      <c r="B3759" s="22" t="s">
        <v>93</v>
      </c>
      <c r="C3759" s="22" t="s">
        <v>47</v>
      </c>
      <c r="D3759" s="48" t="s">
        <v>5</v>
      </c>
      <c r="E3759" t="s">
        <v>255</v>
      </c>
      <c r="F3759">
        <v>2025</v>
      </c>
      <c r="G3759" t="s">
        <v>57</v>
      </c>
      <c r="H3759" s="42" t="s">
        <v>1660</v>
      </c>
      <c r="L3759" s="34">
        <v>1</v>
      </c>
      <c r="M3759" s="40">
        <f t="shared" si="87"/>
        <v>0.75</v>
      </c>
      <c r="N3759" s="40">
        <f t="shared" si="88"/>
        <v>0.75</v>
      </c>
    </row>
    <row r="3760" spans="1:14">
      <c r="A3760" s="29">
        <v>45993</v>
      </c>
      <c r="B3760" s="22" t="s">
        <v>57</v>
      </c>
      <c r="C3760" s="22" t="s">
        <v>49</v>
      </c>
      <c r="D3760" s="48" t="s">
        <v>11</v>
      </c>
      <c r="E3760" t="s">
        <v>1671</v>
      </c>
      <c r="F3760">
        <v>2025</v>
      </c>
      <c r="G3760" t="s">
        <v>1282</v>
      </c>
      <c r="H3760" s="42" t="s">
        <v>57</v>
      </c>
      <c r="L3760" s="34">
        <v>3</v>
      </c>
      <c r="M3760" s="40">
        <f t="shared" si="87"/>
        <v>0.75</v>
      </c>
      <c r="N3760" s="40">
        <f t="shared" si="88"/>
        <v>2.25</v>
      </c>
    </row>
    <row r="3761" spans="1:14">
      <c r="A3761" s="29">
        <v>45993</v>
      </c>
      <c r="B3761" s="22" t="s">
        <v>57</v>
      </c>
      <c r="C3761" s="22" t="s">
        <v>49</v>
      </c>
      <c r="D3761" s="48" t="s">
        <v>11</v>
      </c>
      <c r="E3761" t="s">
        <v>1672</v>
      </c>
      <c r="F3761">
        <v>2025</v>
      </c>
      <c r="G3761" t="s">
        <v>1282</v>
      </c>
      <c r="H3761" s="42" t="s">
        <v>57</v>
      </c>
      <c r="L3761" s="34">
        <v>3</v>
      </c>
      <c r="M3761" s="40">
        <f t="shared" si="87"/>
        <v>0.75</v>
      </c>
      <c r="N3761" s="40">
        <f t="shared" si="88"/>
        <v>2.25</v>
      </c>
    </row>
    <row r="3762" spans="1:14">
      <c r="A3762" s="29">
        <v>45995</v>
      </c>
      <c r="B3762" s="22" t="s">
        <v>57</v>
      </c>
      <c r="C3762" s="22" t="s">
        <v>55</v>
      </c>
      <c r="D3762" s="48" t="s">
        <v>5</v>
      </c>
      <c r="E3762" t="s">
        <v>157</v>
      </c>
      <c r="F3762">
        <v>2024</v>
      </c>
      <c r="G3762" t="s">
        <v>1282</v>
      </c>
      <c r="H3762" s="42" t="s">
        <v>57</v>
      </c>
      <c r="K3762" t="s">
        <v>1673</v>
      </c>
      <c r="L3762" s="34">
        <v>2</v>
      </c>
      <c r="M3762" s="40">
        <f t="shared" si="87"/>
        <v>0.75</v>
      </c>
      <c r="N3762" s="40">
        <f t="shared" si="88"/>
        <v>1.5</v>
      </c>
    </row>
    <row r="3763" spans="1:14">
      <c r="A3763" s="29">
        <v>45995</v>
      </c>
      <c r="B3763" s="22" t="s">
        <v>57</v>
      </c>
      <c r="C3763" s="22" t="s">
        <v>55</v>
      </c>
      <c r="D3763" s="48" t="s">
        <v>5</v>
      </c>
      <c r="E3763" t="s">
        <v>255</v>
      </c>
      <c r="F3763">
        <v>2024</v>
      </c>
      <c r="G3763" t="s">
        <v>1282</v>
      </c>
      <c r="H3763" s="42" t="s">
        <v>57</v>
      </c>
      <c r="K3763" t="s">
        <v>1674</v>
      </c>
      <c r="L3763" s="34">
        <v>2</v>
      </c>
      <c r="M3763" s="40">
        <f t="shared" si="87"/>
        <v>0.75</v>
      </c>
      <c r="N3763" s="40">
        <f t="shared" si="88"/>
        <v>1.5</v>
      </c>
    </row>
    <row r="3764" spans="1:14">
      <c r="A3764" s="29">
        <v>45995</v>
      </c>
      <c r="B3764" s="22" t="s">
        <v>57</v>
      </c>
      <c r="C3764" s="22" t="s">
        <v>55</v>
      </c>
      <c r="D3764" s="48" t="s">
        <v>8</v>
      </c>
      <c r="E3764" t="s">
        <v>178</v>
      </c>
      <c r="F3764">
        <v>2025</v>
      </c>
      <c r="G3764" t="s">
        <v>1282</v>
      </c>
      <c r="H3764" s="42" t="s">
        <v>57</v>
      </c>
      <c r="L3764" s="34">
        <v>3</v>
      </c>
      <c r="M3764" s="40">
        <f t="shared" si="87"/>
        <v>0.75</v>
      </c>
      <c r="N3764" s="40">
        <f t="shared" si="88"/>
        <v>2.25</v>
      </c>
    </row>
    <row r="3765" spans="1:14">
      <c r="A3765" s="29">
        <v>45995</v>
      </c>
      <c r="B3765" s="22" t="s">
        <v>26</v>
      </c>
      <c r="C3765" s="22" t="s">
        <v>57</v>
      </c>
      <c r="D3765" s="48" t="s">
        <v>8</v>
      </c>
      <c r="E3765" t="s">
        <v>183</v>
      </c>
      <c r="F3765">
        <v>2025</v>
      </c>
      <c r="G3765" t="s">
        <v>1282</v>
      </c>
      <c r="H3765" s="42" t="s">
        <v>57</v>
      </c>
      <c r="K3765" t="s">
        <v>1474</v>
      </c>
      <c r="L3765" s="34">
        <v>3</v>
      </c>
      <c r="M3765" s="40">
        <f t="shared" si="87"/>
        <v>0.75</v>
      </c>
      <c r="N3765" s="40">
        <f t="shared" si="88"/>
        <v>2.25</v>
      </c>
    </row>
    <row r="3766" spans="1:14">
      <c r="A3766" s="29">
        <v>45995</v>
      </c>
      <c r="B3766" s="22" t="s">
        <v>26</v>
      </c>
      <c r="C3766" s="22" t="s">
        <v>57</v>
      </c>
      <c r="D3766" s="48" t="s">
        <v>11</v>
      </c>
      <c r="E3766" t="s">
        <v>1675</v>
      </c>
      <c r="F3766">
        <v>2025</v>
      </c>
      <c r="G3766" t="s">
        <v>1282</v>
      </c>
      <c r="H3766" s="42" t="s">
        <v>57</v>
      </c>
      <c r="K3766" t="s">
        <v>1676</v>
      </c>
      <c r="L3766" s="34">
        <v>2</v>
      </c>
      <c r="M3766" s="40">
        <f t="shared" si="87"/>
        <v>0.75</v>
      </c>
      <c r="N3766" s="40">
        <f t="shared" si="88"/>
        <v>1.5</v>
      </c>
    </row>
    <row r="3767" spans="1:14">
      <c r="A3767" s="29">
        <v>45995</v>
      </c>
      <c r="B3767" s="22" t="s">
        <v>26</v>
      </c>
      <c r="C3767" s="22" t="s">
        <v>57</v>
      </c>
      <c r="D3767" s="48" t="s">
        <v>5</v>
      </c>
      <c r="E3767" t="s">
        <v>157</v>
      </c>
      <c r="F3767">
        <v>2025</v>
      </c>
      <c r="G3767" t="s">
        <v>252</v>
      </c>
      <c r="H3767" s="42" t="s">
        <v>1303</v>
      </c>
      <c r="L3767" s="34">
        <v>2</v>
      </c>
      <c r="M3767" s="40">
        <f t="shared" si="87"/>
        <v>0.75</v>
      </c>
      <c r="N3767" s="40">
        <f t="shared" si="88"/>
        <v>1.5</v>
      </c>
    </row>
    <row r="3768" spans="1:14">
      <c r="A3768" s="29">
        <v>45995</v>
      </c>
      <c r="B3768" s="22" t="s">
        <v>26</v>
      </c>
      <c r="C3768" s="22" t="s">
        <v>57</v>
      </c>
      <c r="D3768" s="48" t="s">
        <v>5</v>
      </c>
      <c r="E3768" t="s">
        <v>157</v>
      </c>
      <c r="F3768">
        <v>2025</v>
      </c>
      <c r="G3768" t="s">
        <v>253</v>
      </c>
      <c r="H3768" s="42" t="s">
        <v>1475</v>
      </c>
      <c r="L3768" s="34">
        <v>2</v>
      </c>
      <c r="M3768" s="40">
        <f t="shared" si="87"/>
        <v>0.75</v>
      </c>
      <c r="N3768" s="40">
        <f t="shared" si="88"/>
        <v>1.5</v>
      </c>
    </row>
    <row r="3769" spans="1:14">
      <c r="A3769" s="29">
        <v>45995</v>
      </c>
      <c r="B3769" s="22" t="s">
        <v>26</v>
      </c>
      <c r="C3769" s="22" t="s">
        <v>57</v>
      </c>
      <c r="D3769" s="48" t="s">
        <v>5</v>
      </c>
      <c r="E3769" t="s">
        <v>162</v>
      </c>
      <c r="F3769">
        <v>2025</v>
      </c>
      <c r="G3769" t="s">
        <v>1282</v>
      </c>
      <c r="H3769" s="42" t="s">
        <v>57</v>
      </c>
      <c r="K3769" t="s">
        <v>1677</v>
      </c>
      <c r="L3769" s="34">
        <v>2</v>
      </c>
      <c r="M3769" s="40">
        <f t="shared" si="87"/>
        <v>0.75</v>
      </c>
      <c r="N3769" s="40">
        <f t="shared" si="88"/>
        <v>1.5</v>
      </c>
    </row>
    <row r="3770" spans="1:14">
      <c r="A3770" s="29">
        <v>45995</v>
      </c>
      <c r="B3770" s="22" t="s">
        <v>26</v>
      </c>
      <c r="C3770" s="22" t="s">
        <v>57</v>
      </c>
      <c r="D3770" s="48" t="s">
        <v>11</v>
      </c>
      <c r="E3770" t="s">
        <v>1678</v>
      </c>
      <c r="F3770">
        <v>2024</v>
      </c>
      <c r="G3770" t="s">
        <v>1282</v>
      </c>
      <c r="H3770" s="42" t="s">
        <v>57</v>
      </c>
      <c r="K3770" t="s">
        <v>1679</v>
      </c>
      <c r="L3770" s="34">
        <v>2</v>
      </c>
      <c r="M3770" s="40">
        <f t="shared" si="87"/>
        <v>0.75</v>
      </c>
      <c r="N3770" s="40">
        <f t="shared" si="88"/>
        <v>1.5</v>
      </c>
    </row>
    <row r="3771" spans="1:14">
      <c r="A3771" s="29">
        <v>45999</v>
      </c>
      <c r="B3771" s="22" t="s">
        <v>88</v>
      </c>
      <c r="C3771" s="22" t="s">
        <v>61</v>
      </c>
      <c r="D3771" s="48" t="s">
        <v>5</v>
      </c>
      <c r="E3771" t="s">
        <v>262</v>
      </c>
      <c r="F3771">
        <v>2025</v>
      </c>
      <c r="G3771" t="s">
        <v>1282</v>
      </c>
      <c r="H3771" s="42" t="s">
        <v>57</v>
      </c>
      <c r="L3771" s="34">
        <v>2</v>
      </c>
      <c r="M3771" s="40">
        <f t="shared" si="87"/>
        <v>0.75</v>
      </c>
      <c r="N3771" s="40">
        <f t="shared" si="88"/>
        <v>1.5</v>
      </c>
    </row>
    <row r="3772" spans="1:14">
      <c r="A3772" s="29">
        <v>45999</v>
      </c>
      <c r="B3772" s="22" t="s">
        <v>88</v>
      </c>
      <c r="C3772" s="22" t="s">
        <v>61</v>
      </c>
      <c r="D3772" s="48" t="s">
        <v>8</v>
      </c>
      <c r="E3772" t="s">
        <v>192</v>
      </c>
      <c r="F3772">
        <v>2025</v>
      </c>
      <c r="G3772" t="s">
        <v>1282</v>
      </c>
      <c r="H3772" s="42" t="s">
        <v>57</v>
      </c>
      <c r="L3772" s="34">
        <v>2</v>
      </c>
      <c r="M3772" s="40">
        <f t="shared" si="87"/>
        <v>0.75</v>
      </c>
      <c r="N3772" s="40">
        <f t="shared" si="88"/>
        <v>1.5</v>
      </c>
    </row>
    <row r="3773" spans="1:14">
      <c r="A3773" s="29">
        <v>45999</v>
      </c>
      <c r="B3773" s="22" t="s">
        <v>88</v>
      </c>
      <c r="C3773" s="22" t="s">
        <v>61</v>
      </c>
      <c r="D3773" s="48" t="s">
        <v>8</v>
      </c>
      <c r="E3773" t="s">
        <v>182</v>
      </c>
      <c r="F3773">
        <v>2025</v>
      </c>
      <c r="G3773" t="s">
        <v>1282</v>
      </c>
      <c r="H3773" s="42" t="s">
        <v>57</v>
      </c>
      <c r="L3773" s="34">
        <v>2</v>
      </c>
      <c r="M3773" s="40">
        <f t="shared" si="87"/>
        <v>0.75</v>
      </c>
      <c r="N3773" s="40">
        <f t="shared" si="88"/>
        <v>1.5</v>
      </c>
    </row>
    <row r="3774" spans="1:14">
      <c r="A3774" s="29">
        <v>45999</v>
      </c>
      <c r="B3774" s="22" t="s">
        <v>88</v>
      </c>
      <c r="C3774" s="22" t="s">
        <v>61</v>
      </c>
      <c r="D3774" s="48" t="s">
        <v>8</v>
      </c>
      <c r="E3774" t="s">
        <v>190</v>
      </c>
      <c r="F3774">
        <v>2025</v>
      </c>
      <c r="G3774" t="s">
        <v>1282</v>
      </c>
      <c r="H3774" s="42" t="s">
        <v>57</v>
      </c>
      <c r="L3774" s="34">
        <v>2</v>
      </c>
      <c r="M3774" s="40">
        <f t="shared" si="87"/>
        <v>0.75</v>
      </c>
      <c r="N3774" s="40">
        <f t="shared" si="88"/>
        <v>1.5</v>
      </c>
    </row>
    <row r="3775" spans="1:14">
      <c r="A3775" s="29">
        <v>45999</v>
      </c>
      <c r="B3775" s="22" t="s">
        <v>88</v>
      </c>
      <c r="C3775" s="22" t="s">
        <v>61</v>
      </c>
      <c r="D3775" s="48" t="s">
        <v>11</v>
      </c>
      <c r="E3775" t="s">
        <v>180</v>
      </c>
      <c r="F3775">
        <v>2025</v>
      </c>
      <c r="G3775" t="s">
        <v>57</v>
      </c>
      <c r="H3775" s="42" t="s">
        <v>1456</v>
      </c>
      <c r="L3775" s="34">
        <v>2</v>
      </c>
      <c r="M3775" s="40">
        <f t="shared" si="87"/>
        <v>0.75</v>
      </c>
      <c r="N3775" s="40">
        <f t="shared" si="88"/>
        <v>1.5</v>
      </c>
    </row>
    <row r="3776" spans="1:14">
      <c r="A3776" s="29">
        <v>45999</v>
      </c>
      <c r="B3776" s="22" t="s">
        <v>88</v>
      </c>
      <c r="C3776" s="22" t="s">
        <v>61</v>
      </c>
      <c r="D3776" s="48" t="s">
        <v>11</v>
      </c>
      <c r="E3776" t="s">
        <v>179</v>
      </c>
      <c r="F3776">
        <v>2025</v>
      </c>
      <c r="G3776" t="s">
        <v>1282</v>
      </c>
      <c r="H3776" s="42" t="s">
        <v>57</v>
      </c>
      <c r="L3776" s="34">
        <v>2</v>
      </c>
      <c r="M3776" s="40">
        <f t="shared" si="87"/>
        <v>0.75</v>
      </c>
      <c r="N3776" s="40">
        <f t="shared" si="88"/>
        <v>1.5</v>
      </c>
    </row>
    <row r="3777" spans="1:14">
      <c r="A3777" s="29">
        <v>45999</v>
      </c>
      <c r="B3777" s="22" t="s">
        <v>63</v>
      </c>
      <c r="C3777" s="22" t="s">
        <v>57</v>
      </c>
      <c r="D3777" s="48" t="s">
        <v>5</v>
      </c>
      <c r="E3777" t="s">
        <v>262</v>
      </c>
      <c r="F3777">
        <v>2025</v>
      </c>
      <c r="G3777" t="s">
        <v>57</v>
      </c>
      <c r="H3777" s="42" t="s">
        <v>57</v>
      </c>
      <c r="L3777" s="34">
        <v>2</v>
      </c>
      <c r="M3777" s="40">
        <f t="shared" si="87"/>
        <v>0.75</v>
      </c>
      <c r="N3777" s="40">
        <f t="shared" si="88"/>
        <v>1.5</v>
      </c>
    </row>
    <row r="3778" spans="1:14">
      <c r="A3778" s="29">
        <v>45999</v>
      </c>
      <c r="B3778" s="22" t="s">
        <v>57</v>
      </c>
      <c r="C3778" s="22" t="s">
        <v>59</v>
      </c>
      <c r="D3778" s="48" t="s">
        <v>5</v>
      </c>
      <c r="E3778" t="s">
        <v>310</v>
      </c>
      <c r="F3778">
        <v>2025</v>
      </c>
      <c r="G3778" t="s">
        <v>57</v>
      </c>
      <c r="H3778" s="42" t="s">
        <v>1309</v>
      </c>
      <c r="L3778" s="34">
        <v>2</v>
      </c>
      <c r="M3778" s="40">
        <f t="shared" si="87"/>
        <v>0.75</v>
      </c>
      <c r="N3778" s="40">
        <f t="shared" si="88"/>
        <v>1.5</v>
      </c>
    </row>
    <row r="3779" spans="1:14">
      <c r="A3779" s="29">
        <v>45999</v>
      </c>
      <c r="B3779" s="22" t="s">
        <v>57</v>
      </c>
      <c r="C3779" s="22" t="s">
        <v>59</v>
      </c>
      <c r="D3779" s="48" t="s">
        <v>5</v>
      </c>
      <c r="E3779" t="s">
        <v>159</v>
      </c>
      <c r="F3779">
        <v>2025</v>
      </c>
      <c r="G3779" t="s">
        <v>57</v>
      </c>
      <c r="H3779" s="42" t="s">
        <v>1350</v>
      </c>
      <c r="L3779" s="34">
        <v>2</v>
      </c>
      <c r="M3779" s="40">
        <f t="shared" si="87"/>
        <v>0.75</v>
      </c>
      <c r="N3779" s="40">
        <f t="shared" si="88"/>
        <v>1.5</v>
      </c>
    </row>
    <row r="3780" spans="1:14">
      <c r="A3780" s="29">
        <v>45999</v>
      </c>
      <c r="B3780" s="22" t="s">
        <v>57</v>
      </c>
      <c r="C3780" s="22" t="s">
        <v>59</v>
      </c>
      <c r="D3780" s="48" t="s">
        <v>5</v>
      </c>
      <c r="E3780" t="s">
        <v>503</v>
      </c>
      <c r="F3780">
        <v>2025</v>
      </c>
      <c r="G3780" t="s">
        <v>57</v>
      </c>
      <c r="H3780" s="42" t="s">
        <v>1243</v>
      </c>
      <c r="L3780" s="34">
        <v>2</v>
      </c>
      <c r="M3780" s="40">
        <f t="shared" si="87"/>
        <v>0.75</v>
      </c>
      <c r="N3780" s="40">
        <f t="shared" si="88"/>
        <v>1.5</v>
      </c>
    </row>
    <row r="3781" spans="1:14">
      <c r="A3781" s="29">
        <v>45999</v>
      </c>
      <c r="B3781" s="22" t="s">
        <v>57</v>
      </c>
      <c r="C3781" s="22" t="s">
        <v>59</v>
      </c>
      <c r="D3781" s="48" t="s">
        <v>5</v>
      </c>
      <c r="E3781" t="s">
        <v>768</v>
      </c>
      <c r="F3781">
        <v>2025</v>
      </c>
      <c r="G3781" t="s">
        <v>1282</v>
      </c>
      <c r="H3781" s="42" t="s">
        <v>57</v>
      </c>
      <c r="L3781" s="34">
        <v>2</v>
      </c>
      <c r="M3781" s="40">
        <f t="shared" si="87"/>
        <v>0.75</v>
      </c>
      <c r="N3781" s="40">
        <f t="shared" si="88"/>
        <v>1.5</v>
      </c>
    </row>
    <row r="3782" spans="1:14">
      <c r="A3782" s="29">
        <v>45999</v>
      </c>
      <c r="B3782" s="22" t="s">
        <v>57</v>
      </c>
      <c r="C3782" s="22" t="s">
        <v>59</v>
      </c>
      <c r="D3782" s="48" t="s">
        <v>5</v>
      </c>
      <c r="E3782" t="s">
        <v>157</v>
      </c>
      <c r="F3782">
        <v>2025</v>
      </c>
      <c r="G3782" t="s">
        <v>252</v>
      </c>
      <c r="H3782" s="42" t="s">
        <v>1484</v>
      </c>
      <c r="L3782" s="34">
        <v>2</v>
      </c>
      <c r="M3782" s="40">
        <f t="shared" si="87"/>
        <v>0.75</v>
      </c>
      <c r="N3782" s="40">
        <f t="shared" si="88"/>
        <v>1.5</v>
      </c>
    </row>
    <row r="3783" spans="1:14">
      <c r="A3783" s="29">
        <v>45999</v>
      </c>
      <c r="B3783" s="22" t="s">
        <v>57</v>
      </c>
      <c r="C3783" s="22" t="s">
        <v>59</v>
      </c>
      <c r="D3783" s="48" t="s">
        <v>5</v>
      </c>
      <c r="E3783" t="s">
        <v>255</v>
      </c>
      <c r="F3783">
        <v>2025</v>
      </c>
      <c r="G3783" t="s">
        <v>57</v>
      </c>
      <c r="H3783" s="42" t="s">
        <v>1660</v>
      </c>
      <c r="L3783" s="34">
        <v>2</v>
      </c>
      <c r="M3783" s="40">
        <f t="shared" si="87"/>
        <v>0.75</v>
      </c>
      <c r="N3783" s="40">
        <f t="shared" si="88"/>
        <v>1.5</v>
      </c>
    </row>
    <row r="3784" spans="1:14">
      <c r="A3784" s="29">
        <v>45999</v>
      </c>
      <c r="B3784" s="22" t="s">
        <v>57</v>
      </c>
      <c r="C3784" s="22" t="s">
        <v>59</v>
      </c>
      <c r="D3784" s="48" t="s">
        <v>5</v>
      </c>
      <c r="E3784" t="s">
        <v>158</v>
      </c>
      <c r="F3784">
        <v>2025</v>
      </c>
      <c r="G3784" t="s">
        <v>57</v>
      </c>
      <c r="H3784" s="42" t="s">
        <v>1324</v>
      </c>
      <c r="L3784" s="34">
        <v>2</v>
      </c>
      <c r="M3784" s="40">
        <f t="shared" si="87"/>
        <v>0.75</v>
      </c>
      <c r="N3784" s="40">
        <f t="shared" si="88"/>
        <v>1.5</v>
      </c>
    </row>
    <row r="3785" spans="1:14">
      <c r="A3785" s="29">
        <v>45999</v>
      </c>
      <c r="B3785" s="22" t="s">
        <v>57</v>
      </c>
      <c r="C3785" s="22" t="s">
        <v>59</v>
      </c>
      <c r="D3785" s="48" t="s">
        <v>5</v>
      </c>
      <c r="E3785" t="s">
        <v>502</v>
      </c>
      <c r="F3785">
        <v>2025</v>
      </c>
      <c r="G3785" t="s">
        <v>57</v>
      </c>
      <c r="H3785" s="42" t="s">
        <v>1680</v>
      </c>
      <c r="L3785" s="34">
        <v>2</v>
      </c>
      <c r="M3785" s="40">
        <f t="shared" si="87"/>
        <v>0.75</v>
      </c>
      <c r="N3785" s="40">
        <f t="shared" si="88"/>
        <v>1.5</v>
      </c>
    </row>
    <row r="3786" spans="1:14">
      <c r="A3786" s="29">
        <v>46001</v>
      </c>
      <c r="B3786" s="22" t="s">
        <v>50</v>
      </c>
      <c r="C3786" s="22" t="s">
        <v>57</v>
      </c>
      <c r="D3786" s="48" t="s">
        <v>5</v>
      </c>
      <c r="E3786" t="s">
        <v>1681</v>
      </c>
      <c r="F3786">
        <v>2025</v>
      </c>
      <c r="G3786" t="s">
        <v>252</v>
      </c>
      <c r="H3786" s="42" t="s">
        <v>1350</v>
      </c>
      <c r="K3786" t="s">
        <v>549</v>
      </c>
      <c r="L3786" s="34">
        <v>2</v>
      </c>
      <c r="M3786" s="40">
        <f t="shared" si="87"/>
        <v>0.75</v>
      </c>
      <c r="N3786" s="40">
        <f t="shared" si="88"/>
        <v>1.5</v>
      </c>
    </row>
    <row r="3787" spans="1:14">
      <c r="A3787" s="29">
        <v>46001</v>
      </c>
      <c r="B3787" s="22" t="s">
        <v>50</v>
      </c>
      <c r="C3787" s="22" t="s">
        <v>57</v>
      </c>
      <c r="D3787" s="48" t="s">
        <v>5</v>
      </c>
      <c r="E3787" t="s">
        <v>1681</v>
      </c>
      <c r="F3787">
        <v>2025</v>
      </c>
      <c r="G3787" t="s">
        <v>1282</v>
      </c>
      <c r="H3787" s="42" t="s">
        <v>57</v>
      </c>
      <c r="K3787" t="s">
        <v>1682</v>
      </c>
      <c r="L3787" s="34">
        <v>2</v>
      </c>
      <c r="M3787" s="40">
        <f t="shared" si="87"/>
        <v>0.75</v>
      </c>
      <c r="N3787" s="40">
        <f t="shared" si="88"/>
        <v>1.5</v>
      </c>
    </row>
    <row r="3788" spans="1:14">
      <c r="A3788" s="29">
        <v>46001</v>
      </c>
      <c r="B3788" s="22" t="s">
        <v>63</v>
      </c>
      <c r="C3788" s="22" t="s">
        <v>57</v>
      </c>
      <c r="D3788" s="48" t="s">
        <v>5</v>
      </c>
      <c r="E3788" t="s">
        <v>262</v>
      </c>
      <c r="F3788">
        <v>2025</v>
      </c>
      <c r="G3788" t="s">
        <v>1282</v>
      </c>
      <c r="H3788" s="42" t="s">
        <v>57</v>
      </c>
      <c r="L3788" s="34">
        <v>2</v>
      </c>
      <c r="M3788" s="40">
        <f t="shared" si="87"/>
        <v>0.75</v>
      </c>
      <c r="N3788" s="40">
        <f t="shared" si="88"/>
        <v>1.5</v>
      </c>
    </row>
    <row r="3789" spans="1:14">
      <c r="A3789" s="29">
        <v>46001</v>
      </c>
      <c r="B3789" s="22" t="s">
        <v>63</v>
      </c>
      <c r="C3789" s="22" t="s">
        <v>57</v>
      </c>
      <c r="D3789" s="48" t="s">
        <v>5</v>
      </c>
      <c r="E3789" t="s">
        <v>161</v>
      </c>
      <c r="F3789">
        <v>2025</v>
      </c>
      <c r="G3789" t="s">
        <v>57</v>
      </c>
      <c r="H3789" s="42" t="s">
        <v>1218</v>
      </c>
      <c r="L3789" s="34">
        <v>2</v>
      </c>
      <c r="M3789" s="40">
        <f t="shared" si="87"/>
        <v>0.75</v>
      </c>
      <c r="N3789" s="40">
        <f t="shared" si="88"/>
        <v>1.5</v>
      </c>
    </row>
    <row r="3790" spans="1:14">
      <c r="A3790" s="29">
        <v>46001</v>
      </c>
      <c r="B3790" s="22" t="s">
        <v>88</v>
      </c>
      <c r="C3790" s="22" t="s">
        <v>61</v>
      </c>
      <c r="D3790" s="48" t="s">
        <v>5</v>
      </c>
      <c r="E3790" t="s">
        <v>262</v>
      </c>
      <c r="F3790">
        <v>2025</v>
      </c>
      <c r="G3790" t="s">
        <v>1282</v>
      </c>
      <c r="H3790" s="42" t="s">
        <v>57</v>
      </c>
      <c r="K3790" t="s">
        <v>1683</v>
      </c>
      <c r="L3790" s="34">
        <v>2</v>
      </c>
      <c r="M3790" s="40">
        <f t="shared" si="87"/>
        <v>0.75</v>
      </c>
      <c r="N3790" s="40">
        <f t="shared" si="88"/>
        <v>1.5</v>
      </c>
    </row>
    <row r="3791" spans="1:14">
      <c r="A3791" s="29">
        <v>46001</v>
      </c>
      <c r="B3791" s="22" t="s">
        <v>88</v>
      </c>
      <c r="C3791" s="22" t="s">
        <v>61</v>
      </c>
      <c r="D3791" s="48" t="s">
        <v>5</v>
      </c>
      <c r="E3791" t="s">
        <v>158</v>
      </c>
      <c r="F3791">
        <v>2025</v>
      </c>
      <c r="G3791" t="s">
        <v>57</v>
      </c>
      <c r="H3791" s="42" t="s">
        <v>1375</v>
      </c>
      <c r="L3791" s="34">
        <v>2</v>
      </c>
      <c r="M3791" s="40">
        <f t="shared" si="87"/>
        <v>0.75</v>
      </c>
      <c r="N3791" s="40">
        <f t="shared" si="88"/>
        <v>1.5</v>
      </c>
    </row>
    <row r="3792" spans="1:14">
      <c r="A3792" s="29">
        <v>46001</v>
      </c>
      <c r="B3792" s="22" t="s">
        <v>88</v>
      </c>
      <c r="C3792" s="22" t="s">
        <v>61</v>
      </c>
      <c r="D3792" s="48" t="s">
        <v>5</v>
      </c>
      <c r="E3792" t="s">
        <v>159</v>
      </c>
      <c r="F3792">
        <v>2025</v>
      </c>
      <c r="G3792" t="s">
        <v>57</v>
      </c>
      <c r="H3792" s="42" t="s">
        <v>1250</v>
      </c>
      <c r="L3792" s="34">
        <v>2</v>
      </c>
      <c r="M3792" s="40">
        <f t="shared" si="87"/>
        <v>0.75</v>
      </c>
      <c r="N3792" s="40">
        <f t="shared" si="88"/>
        <v>1.5</v>
      </c>
    </row>
    <row r="3793" spans="1:14">
      <c r="A3793" s="29">
        <v>46001</v>
      </c>
      <c r="B3793" s="22" t="s">
        <v>88</v>
      </c>
      <c r="C3793" s="22" t="s">
        <v>61</v>
      </c>
      <c r="D3793" s="48" t="s">
        <v>8</v>
      </c>
      <c r="E3793" t="s">
        <v>178</v>
      </c>
      <c r="F3793">
        <v>2025</v>
      </c>
      <c r="G3793" t="s">
        <v>1282</v>
      </c>
      <c r="H3793" s="42" t="s">
        <v>57</v>
      </c>
      <c r="K3793" t="s">
        <v>1684</v>
      </c>
      <c r="L3793" s="34">
        <v>2</v>
      </c>
      <c r="M3793" s="40">
        <f t="shared" si="87"/>
        <v>0.75</v>
      </c>
      <c r="N3793" s="40">
        <f t="shared" si="88"/>
        <v>1.5</v>
      </c>
    </row>
    <row r="3794" spans="1:14">
      <c r="A3794" s="29">
        <v>46001</v>
      </c>
      <c r="B3794" s="22" t="s">
        <v>88</v>
      </c>
      <c r="C3794" s="22" t="s">
        <v>61</v>
      </c>
      <c r="D3794" s="48" t="s">
        <v>8</v>
      </c>
      <c r="E3794" t="s">
        <v>182</v>
      </c>
      <c r="F3794">
        <v>2025</v>
      </c>
      <c r="G3794" t="s">
        <v>1282</v>
      </c>
      <c r="H3794" s="42" t="s">
        <v>57</v>
      </c>
      <c r="K3794" t="s">
        <v>1684</v>
      </c>
      <c r="L3794" s="34">
        <v>2</v>
      </c>
      <c r="M3794" s="40">
        <f t="shared" si="87"/>
        <v>0.75</v>
      </c>
      <c r="N3794" s="40">
        <f t="shared" si="88"/>
        <v>1.5</v>
      </c>
    </row>
    <row r="3795" spans="1:14">
      <c r="A3795" s="29">
        <v>46001</v>
      </c>
      <c r="B3795" s="22" t="s">
        <v>88</v>
      </c>
      <c r="C3795" s="22" t="s">
        <v>61</v>
      </c>
      <c r="D3795" s="48" t="s">
        <v>8</v>
      </c>
      <c r="E3795" t="s">
        <v>180</v>
      </c>
      <c r="F3795">
        <v>2025</v>
      </c>
      <c r="G3795" t="s">
        <v>1282</v>
      </c>
      <c r="H3795" s="42" t="s">
        <v>57</v>
      </c>
      <c r="K3795" t="s">
        <v>1684</v>
      </c>
      <c r="L3795" s="34">
        <v>2</v>
      </c>
      <c r="M3795" s="40">
        <f t="shared" si="87"/>
        <v>0.75</v>
      </c>
      <c r="N3795" s="40">
        <f t="shared" si="88"/>
        <v>1.5</v>
      </c>
    </row>
    <row r="3796" spans="1:14">
      <c r="A3796" s="29">
        <v>46002</v>
      </c>
      <c r="B3796" s="22" t="s">
        <v>63</v>
      </c>
      <c r="C3796" s="22" t="s">
        <v>57</v>
      </c>
      <c r="D3796" s="48" t="s">
        <v>5</v>
      </c>
      <c r="E3796" t="s">
        <v>1681</v>
      </c>
      <c r="F3796">
        <v>2025</v>
      </c>
      <c r="G3796" t="s">
        <v>1282</v>
      </c>
      <c r="H3796" s="42" t="s">
        <v>57</v>
      </c>
      <c r="K3796" t="s">
        <v>1685</v>
      </c>
      <c r="L3796" s="34">
        <v>2</v>
      </c>
      <c r="M3796" s="40">
        <f t="shared" si="87"/>
        <v>0.75</v>
      </c>
      <c r="N3796" s="40">
        <f t="shared" si="88"/>
        <v>1.5</v>
      </c>
    </row>
    <row r="3797" spans="1:14">
      <c r="A3797" s="29">
        <v>46002</v>
      </c>
      <c r="B3797" s="22" t="s">
        <v>63</v>
      </c>
      <c r="C3797" s="22" t="s">
        <v>57</v>
      </c>
      <c r="D3797" s="48" t="s">
        <v>5</v>
      </c>
      <c r="E3797" t="s">
        <v>1681</v>
      </c>
      <c r="F3797">
        <v>2025</v>
      </c>
      <c r="G3797" t="s">
        <v>252</v>
      </c>
      <c r="H3797" s="42" t="s">
        <v>1350</v>
      </c>
      <c r="L3797" s="34">
        <v>2</v>
      </c>
      <c r="M3797" s="40">
        <f t="shared" si="87"/>
        <v>0.75</v>
      </c>
      <c r="N3797" s="40">
        <f t="shared" si="88"/>
        <v>1.5</v>
      </c>
    </row>
    <row r="3798" spans="1:14">
      <c r="A3798" s="29">
        <v>46002</v>
      </c>
      <c r="B3798" s="22" t="s">
        <v>35</v>
      </c>
      <c r="C3798" s="22" t="s">
        <v>57</v>
      </c>
      <c r="D3798" s="48" t="s">
        <v>5</v>
      </c>
      <c r="E3798" t="s">
        <v>308</v>
      </c>
      <c r="F3798">
        <v>2025</v>
      </c>
      <c r="G3798" t="s">
        <v>1686</v>
      </c>
      <c r="H3798" s="42" t="s">
        <v>1333</v>
      </c>
      <c r="L3798" s="34">
        <v>2</v>
      </c>
      <c r="M3798" s="40">
        <f t="shared" si="87"/>
        <v>0.75</v>
      </c>
      <c r="N3798" s="40">
        <f t="shared" si="88"/>
        <v>1.5</v>
      </c>
    </row>
    <row r="3799" spans="1:14">
      <c r="A3799" s="29">
        <v>46002</v>
      </c>
      <c r="B3799" s="22" t="s">
        <v>35</v>
      </c>
      <c r="C3799" s="22" t="s">
        <v>57</v>
      </c>
      <c r="D3799" s="48" t="s">
        <v>5</v>
      </c>
      <c r="E3799" t="s">
        <v>308</v>
      </c>
      <c r="F3799">
        <v>2025</v>
      </c>
      <c r="G3799" t="s">
        <v>1282</v>
      </c>
      <c r="H3799" s="42" t="s">
        <v>57</v>
      </c>
      <c r="K3799" t="s">
        <v>357</v>
      </c>
      <c r="L3799" s="34">
        <v>2</v>
      </c>
      <c r="M3799" s="40">
        <f t="shared" si="87"/>
        <v>0.75</v>
      </c>
      <c r="N3799" s="40">
        <f t="shared" si="88"/>
        <v>1.5</v>
      </c>
    </row>
    <row r="3800" spans="1:14">
      <c r="A3800" s="29">
        <v>46002</v>
      </c>
      <c r="B3800" s="22" t="s">
        <v>35</v>
      </c>
      <c r="C3800" s="22" t="s">
        <v>57</v>
      </c>
      <c r="D3800" s="48" t="s">
        <v>5</v>
      </c>
      <c r="E3800" t="s">
        <v>308</v>
      </c>
      <c r="F3800">
        <v>2025</v>
      </c>
      <c r="G3800" t="s">
        <v>1282</v>
      </c>
      <c r="H3800" s="42" t="s">
        <v>57</v>
      </c>
      <c r="K3800" t="s">
        <v>359</v>
      </c>
      <c r="L3800" s="34">
        <v>2</v>
      </c>
      <c r="M3800" s="40">
        <f t="shared" si="87"/>
        <v>0.75</v>
      </c>
      <c r="N3800" s="40">
        <f t="shared" si="88"/>
        <v>1.5</v>
      </c>
    </row>
    <row r="3801" spans="1:14">
      <c r="A3801" s="29">
        <v>46002</v>
      </c>
      <c r="B3801" s="22" t="s">
        <v>35</v>
      </c>
      <c r="C3801" s="22" t="s">
        <v>57</v>
      </c>
      <c r="D3801" s="48" t="s">
        <v>5</v>
      </c>
      <c r="E3801" t="s">
        <v>308</v>
      </c>
      <c r="F3801">
        <v>2025</v>
      </c>
      <c r="G3801" t="s">
        <v>1282</v>
      </c>
      <c r="H3801" s="42" t="s">
        <v>57</v>
      </c>
      <c r="K3801" t="s">
        <v>359</v>
      </c>
      <c r="L3801" s="34">
        <v>2</v>
      </c>
      <c r="M3801" s="40">
        <f t="shared" si="87"/>
        <v>0.75</v>
      </c>
      <c r="N3801" s="40">
        <f t="shared" si="88"/>
        <v>1.5</v>
      </c>
    </row>
    <row r="3802" spans="1:14">
      <c r="A3802" s="29">
        <v>46002</v>
      </c>
      <c r="B3802" s="22" t="s">
        <v>35</v>
      </c>
      <c r="C3802" s="22" t="s">
        <v>57</v>
      </c>
      <c r="D3802" s="48" t="s">
        <v>8</v>
      </c>
      <c r="E3802" t="s">
        <v>191</v>
      </c>
      <c r="F3802">
        <v>2025</v>
      </c>
      <c r="G3802" t="s">
        <v>57</v>
      </c>
      <c r="H3802" s="42" t="s">
        <v>748</v>
      </c>
      <c r="L3802" s="34">
        <v>2</v>
      </c>
      <c r="M3802" s="40">
        <f t="shared" si="87"/>
        <v>0.75</v>
      </c>
      <c r="N3802" s="40">
        <f t="shared" si="88"/>
        <v>1.5</v>
      </c>
    </row>
    <row r="3803" spans="1:14">
      <c r="A3803" s="29">
        <v>46002</v>
      </c>
      <c r="B3803" s="22" t="s">
        <v>35</v>
      </c>
      <c r="C3803" s="22" t="s">
        <v>57</v>
      </c>
      <c r="D3803" s="48" t="s">
        <v>11</v>
      </c>
      <c r="E3803" t="s">
        <v>1671</v>
      </c>
      <c r="F3803">
        <v>2025</v>
      </c>
      <c r="G3803" t="s">
        <v>1282</v>
      </c>
      <c r="H3803" s="42" t="s">
        <v>57</v>
      </c>
      <c r="L3803" s="34">
        <v>2</v>
      </c>
      <c r="M3803" s="40">
        <f t="shared" si="87"/>
        <v>0.75</v>
      </c>
      <c r="N3803" s="40">
        <f t="shared" si="88"/>
        <v>1.5</v>
      </c>
    </row>
    <row r="3804" spans="1:14">
      <c r="A3804" s="29">
        <v>46002</v>
      </c>
      <c r="B3804" s="22" t="s">
        <v>35</v>
      </c>
      <c r="C3804" s="22" t="s">
        <v>57</v>
      </c>
      <c r="D3804" s="48" t="s">
        <v>11</v>
      </c>
      <c r="E3804" t="s">
        <v>1672</v>
      </c>
      <c r="F3804">
        <v>2025</v>
      </c>
      <c r="G3804" t="s">
        <v>1282</v>
      </c>
      <c r="H3804" s="42" t="s">
        <v>57</v>
      </c>
      <c r="L3804" s="34">
        <v>2</v>
      </c>
      <c r="M3804" s="40">
        <f t="shared" si="87"/>
        <v>0.75</v>
      </c>
      <c r="N3804" s="40">
        <f t="shared" si="88"/>
        <v>1.5</v>
      </c>
    </row>
    <row r="3805" spans="1:14">
      <c r="A3805" s="29">
        <v>46002</v>
      </c>
      <c r="B3805" s="22" t="s">
        <v>94</v>
      </c>
      <c r="C3805" s="22" t="s">
        <v>57</v>
      </c>
      <c r="D3805" s="48" t="s">
        <v>11</v>
      </c>
      <c r="E3805" t="s">
        <v>1517</v>
      </c>
      <c r="F3805">
        <v>2024</v>
      </c>
      <c r="G3805" t="s">
        <v>57</v>
      </c>
      <c r="H3805" s="42" t="s">
        <v>1499</v>
      </c>
      <c r="K3805" t="s">
        <v>1672</v>
      </c>
      <c r="L3805" s="34">
        <v>2</v>
      </c>
      <c r="M3805" s="40">
        <f t="shared" si="87"/>
        <v>0.75</v>
      </c>
      <c r="N3805" s="40">
        <f t="shared" si="88"/>
        <v>1.5</v>
      </c>
    </row>
    <row r="3806" spans="1:14">
      <c r="A3806" s="29">
        <v>46002</v>
      </c>
      <c r="B3806" s="22" t="s">
        <v>94</v>
      </c>
      <c r="C3806" s="22" t="s">
        <v>57</v>
      </c>
      <c r="D3806" s="48" t="s">
        <v>5</v>
      </c>
      <c r="E3806" t="s">
        <v>159</v>
      </c>
      <c r="F3806">
        <v>2025</v>
      </c>
      <c r="G3806" t="s">
        <v>252</v>
      </c>
      <c r="H3806" s="42" t="s">
        <v>1350</v>
      </c>
      <c r="L3806" s="34">
        <v>2</v>
      </c>
      <c r="M3806" s="40">
        <f t="shared" si="87"/>
        <v>0.75</v>
      </c>
      <c r="N3806" s="40">
        <f t="shared" si="88"/>
        <v>1.5</v>
      </c>
    </row>
    <row r="3807" spans="1:14">
      <c r="A3807" s="29">
        <v>46002</v>
      </c>
      <c r="B3807" s="22" t="s">
        <v>94</v>
      </c>
      <c r="C3807" s="22" t="s">
        <v>57</v>
      </c>
      <c r="D3807" s="48" t="s">
        <v>8</v>
      </c>
      <c r="E3807" t="s">
        <v>191</v>
      </c>
      <c r="F3807">
        <v>2025</v>
      </c>
      <c r="G3807" t="s">
        <v>1282</v>
      </c>
      <c r="H3807" s="42" t="s">
        <v>57</v>
      </c>
      <c r="L3807" s="34">
        <v>2</v>
      </c>
      <c r="M3807" s="40">
        <f t="shared" si="87"/>
        <v>0.75</v>
      </c>
      <c r="N3807" s="40">
        <f t="shared" si="88"/>
        <v>1.5</v>
      </c>
    </row>
    <row r="3808" spans="1:14">
      <c r="A3808" s="29">
        <v>46002</v>
      </c>
      <c r="B3808" s="22" t="s">
        <v>94</v>
      </c>
      <c r="C3808" s="22" t="s">
        <v>57</v>
      </c>
      <c r="D3808" s="48" t="s">
        <v>8</v>
      </c>
      <c r="E3808" t="s">
        <v>189</v>
      </c>
      <c r="F3808">
        <v>2025</v>
      </c>
      <c r="G3808" t="s">
        <v>1282</v>
      </c>
      <c r="H3808" s="42" t="s">
        <v>57</v>
      </c>
      <c r="L3808" s="34">
        <v>2</v>
      </c>
      <c r="M3808" s="40">
        <f t="shared" si="87"/>
        <v>0.75</v>
      </c>
      <c r="N3808" s="40">
        <f t="shared" si="88"/>
        <v>1.5</v>
      </c>
    </row>
    <row r="3809" spans="1:14">
      <c r="A3809" s="29">
        <v>46006</v>
      </c>
      <c r="B3809" s="22" t="s">
        <v>63</v>
      </c>
      <c r="C3809" s="22" t="s">
        <v>57</v>
      </c>
      <c r="D3809" s="48" t="s">
        <v>5</v>
      </c>
      <c r="E3809" t="s">
        <v>157</v>
      </c>
      <c r="F3809">
        <v>2025</v>
      </c>
      <c r="G3809" t="s">
        <v>252</v>
      </c>
      <c r="H3809" s="42" t="s">
        <v>1303</v>
      </c>
      <c r="L3809" s="34">
        <v>2</v>
      </c>
      <c r="M3809" s="40">
        <f t="shared" ref="M3809:M3836" si="89">IF(L3809="","",0.75)</f>
        <v>0.75</v>
      </c>
      <c r="N3809" s="40">
        <f t="shared" ref="N3809:N3838" si="90">IF(M3809="","",M3809*L3809)</f>
        <v>1.5</v>
      </c>
    </row>
    <row r="3810" spans="1:14">
      <c r="A3810" s="29">
        <v>46006</v>
      </c>
      <c r="B3810" s="22" t="s">
        <v>63</v>
      </c>
      <c r="C3810" s="22" t="s">
        <v>57</v>
      </c>
      <c r="D3810" s="48" t="s">
        <v>5</v>
      </c>
      <c r="E3810" t="s">
        <v>157</v>
      </c>
      <c r="F3810">
        <v>2025</v>
      </c>
      <c r="G3810" t="s">
        <v>253</v>
      </c>
      <c r="H3810" s="42" t="s">
        <v>1233</v>
      </c>
      <c r="L3810" s="34">
        <v>2</v>
      </c>
      <c r="M3810" s="40">
        <f t="shared" si="89"/>
        <v>0.75</v>
      </c>
      <c r="N3810" s="40">
        <f t="shared" si="90"/>
        <v>1.5</v>
      </c>
    </row>
    <row r="3811" spans="1:14">
      <c r="A3811" s="29">
        <v>46006</v>
      </c>
      <c r="B3811" s="22" t="s">
        <v>63</v>
      </c>
      <c r="C3811" s="22" t="s">
        <v>57</v>
      </c>
      <c r="D3811" s="48" t="s">
        <v>5</v>
      </c>
      <c r="E3811" t="s">
        <v>157</v>
      </c>
      <c r="F3811">
        <v>2025</v>
      </c>
      <c r="G3811" t="s">
        <v>507</v>
      </c>
      <c r="H3811" s="42" t="s">
        <v>1312</v>
      </c>
      <c r="L3811" s="34">
        <v>2</v>
      </c>
      <c r="M3811" s="40">
        <f t="shared" si="89"/>
        <v>0.75</v>
      </c>
      <c r="N3811" s="40">
        <f t="shared" si="90"/>
        <v>1.5</v>
      </c>
    </row>
    <row r="3812" spans="1:14">
      <c r="A3812" s="29">
        <v>46006</v>
      </c>
      <c r="B3812" s="22" t="s">
        <v>63</v>
      </c>
      <c r="C3812" s="22" t="s">
        <v>57</v>
      </c>
      <c r="D3812" s="48" t="s">
        <v>5</v>
      </c>
      <c r="E3812" t="s">
        <v>161</v>
      </c>
      <c r="F3812">
        <v>2025</v>
      </c>
      <c r="G3812" t="s">
        <v>57</v>
      </c>
      <c r="H3812" s="42" t="s">
        <v>1218</v>
      </c>
      <c r="L3812" s="34">
        <v>2</v>
      </c>
      <c r="M3812" s="40">
        <f t="shared" si="89"/>
        <v>0.75</v>
      </c>
      <c r="N3812" s="40">
        <f t="shared" si="90"/>
        <v>1.5</v>
      </c>
    </row>
    <row r="3813" spans="1:14">
      <c r="A3813" s="29">
        <v>46006</v>
      </c>
      <c r="B3813" s="22" t="s">
        <v>63</v>
      </c>
      <c r="C3813" s="22" t="s">
        <v>57</v>
      </c>
      <c r="D3813" s="48" t="s">
        <v>5</v>
      </c>
      <c r="E3813" t="s">
        <v>255</v>
      </c>
      <c r="F3813">
        <v>2025</v>
      </c>
      <c r="G3813" t="s">
        <v>57</v>
      </c>
      <c r="H3813" s="42" t="s">
        <v>1660</v>
      </c>
      <c r="L3813" s="34">
        <v>2</v>
      </c>
      <c r="M3813" s="40">
        <f t="shared" si="89"/>
        <v>0.75</v>
      </c>
      <c r="N3813" s="40">
        <f t="shared" si="90"/>
        <v>1.5</v>
      </c>
    </row>
    <row r="3814" spans="1:14">
      <c r="A3814" s="29">
        <v>46006</v>
      </c>
      <c r="B3814" s="22" t="s">
        <v>63</v>
      </c>
      <c r="C3814" s="22" t="s">
        <v>57</v>
      </c>
      <c r="D3814" s="48" t="s">
        <v>5</v>
      </c>
      <c r="E3814" t="s">
        <v>159</v>
      </c>
      <c r="F3814">
        <v>2025</v>
      </c>
      <c r="G3814" t="s">
        <v>252</v>
      </c>
      <c r="H3814" s="42" t="s">
        <v>1350</v>
      </c>
      <c r="L3814" s="34">
        <v>2</v>
      </c>
      <c r="M3814" s="40">
        <f t="shared" si="89"/>
        <v>0.75</v>
      </c>
      <c r="N3814" s="40">
        <f t="shared" si="90"/>
        <v>1.5</v>
      </c>
    </row>
    <row r="3815" spans="1:14">
      <c r="A3815" s="29">
        <v>46006</v>
      </c>
      <c r="B3815" s="22" t="s">
        <v>63</v>
      </c>
      <c r="C3815" s="22" t="s">
        <v>57</v>
      </c>
      <c r="D3815" s="48" t="s">
        <v>5</v>
      </c>
      <c r="E3815" t="s">
        <v>159</v>
      </c>
      <c r="F3815">
        <v>2025</v>
      </c>
      <c r="G3815" t="s">
        <v>1282</v>
      </c>
      <c r="H3815" s="42" t="s">
        <v>57</v>
      </c>
      <c r="K3815" s="8" t="s">
        <v>1687</v>
      </c>
      <c r="L3815" s="34">
        <v>2</v>
      </c>
      <c r="M3815" s="40">
        <f t="shared" si="89"/>
        <v>0.75</v>
      </c>
      <c r="N3815" s="40">
        <f t="shared" si="90"/>
        <v>1.5</v>
      </c>
    </row>
    <row r="3816" spans="1:14">
      <c r="A3816" s="29">
        <v>46006</v>
      </c>
      <c r="B3816" s="22" t="s">
        <v>63</v>
      </c>
      <c r="C3816" s="22" t="s">
        <v>57</v>
      </c>
      <c r="D3816" s="48" t="s">
        <v>5</v>
      </c>
      <c r="E3816" t="s">
        <v>262</v>
      </c>
      <c r="F3816">
        <v>2025</v>
      </c>
      <c r="G3816" t="s">
        <v>1282</v>
      </c>
      <c r="H3816" s="42" t="s">
        <v>57</v>
      </c>
      <c r="L3816" s="34">
        <v>2</v>
      </c>
      <c r="M3816" s="40">
        <f t="shared" si="89"/>
        <v>0.75</v>
      </c>
      <c r="N3816" s="40">
        <f t="shared" si="90"/>
        <v>1.5</v>
      </c>
    </row>
    <row r="3817" spans="1:14">
      <c r="A3817" s="29">
        <v>46006</v>
      </c>
      <c r="B3817" s="22" t="s">
        <v>63</v>
      </c>
      <c r="C3817" s="22" t="s">
        <v>57</v>
      </c>
      <c r="D3817" s="48" t="s">
        <v>8</v>
      </c>
      <c r="E3817" t="s">
        <v>182</v>
      </c>
      <c r="F3817">
        <v>2025</v>
      </c>
      <c r="G3817" t="s">
        <v>252</v>
      </c>
      <c r="H3817" s="42" t="s">
        <v>57</v>
      </c>
      <c r="L3817" s="34">
        <v>2</v>
      </c>
      <c r="M3817" s="40">
        <f t="shared" si="89"/>
        <v>0.75</v>
      </c>
      <c r="N3817" s="40">
        <f t="shared" si="90"/>
        <v>1.5</v>
      </c>
    </row>
    <row r="3818" spans="1:14">
      <c r="A3818" s="29">
        <v>46006</v>
      </c>
      <c r="B3818" s="22" t="s">
        <v>3</v>
      </c>
      <c r="C3818" s="22" t="s">
        <v>57</v>
      </c>
      <c r="D3818" s="48" t="s">
        <v>5</v>
      </c>
      <c r="E3818" t="s">
        <v>1188</v>
      </c>
      <c r="F3818">
        <v>2025</v>
      </c>
      <c r="G3818" t="s">
        <v>1282</v>
      </c>
      <c r="H3818" s="42" t="s">
        <v>57</v>
      </c>
      <c r="K3818" t="s">
        <v>1663</v>
      </c>
      <c r="L3818" s="34">
        <v>2</v>
      </c>
      <c r="M3818" s="40">
        <f t="shared" si="89"/>
        <v>0.75</v>
      </c>
      <c r="N3818" s="40">
        <f t="shared" si="90"/>
        <v>1.5</v>
      </c>
    </row>
    <row r="3819" spans="1:14">
      <c r="A3819" s="29">
        <v>46006</v>
      </c>
      <c r="B3819" s="22" t="s">
        <v>3</v>
      </c>
      <c r="C3819" s="22" t="s">
        <v>57</v>
      </c>
      <c r="D3819" s="48" t="s">
        <v>5</v>
      </c>
      <c r="E3819" t="s">
        <v>1188</v>
      </c>
      <c r="F3819">
        <v>2025</v>
      </c>
      <c r="G3819" t="s">
        <v>1282</v>
      </c>
      <c r="H3819" s="42" t="s">
        <v>57</v>
      </c>
      <c r="K3819" t="s">
        <v>1664</v>
      </c>
      <c r="L3819" s="34">
        <v>2</v>
      </c>
      <c r="M3819" s="40">
        <f t="shared" si="89"/>
        <v>0.75</v>
      </c>
      <c r="N3819" s="40">
        <f t="shared" si="90"/>
        <v>1.5</v>
      </c>
    </row>
    <row r="3820" spans="1:14">
      <c r="A3820" s="29">
        <v>46006</v>
      </c>
      <c r="B3820" s="22" t="s">
        <v>3</v>
      </c>
      <c r="C3820" s="22" t="s">
        <v>57</v>
      </c>
      <c r="D3820" s="48" t="s">
        <v>5</v>
      </c>
      <c r="E3820" t="s">
        <v>1188</v>
      </c>
      <c r="F3820">
        <v>2025</v>
      </c>
      <c r="G3820" t="s">
        <v>1282</v>
      </c>
      <c r="H3820" s="42" t="s">
        <v>57</v>
      </c>
      <c r="K3820" t="s">
        <v>1665</v>
      </c>
      <c r="L3820" s="34">
        <v>2</v>
      </c>
      <c r="M3820" s="40">
        <f t="shared" si="89"/>
        <v>0.75</v>
      </c>
      <c r="N3820" s="40">
        <f t="shared" si="90"/>
        <v>1.5</v>
      </c>
    </row>
    <row r="3821" spans="1:14">
      <c r="A3821" s="29">
        <v>46007</v>
      </c>
      <c r="B3821" s="22" t="s">
        <v>57</v>
      </c>
      <c r="C3821" s="22" t="s">
        <v>51</v>
      </c>
      <c r="D3821" s="48" t="s">
        <v>5</v>
      </c>
      <c r="E3821" t="s">
        <v>255</v>
      </c>
      <c r="F3821">
        <v>2025</v>
      </c>
      <c r="G3821" t="s">
        <v>57</v>
      </c>
      <c r="H3821" s="42" t="s">
        <v>1660</v>
      </c>
      <c r="L3821" s="34">
        <v>2</v>
      </c>
      <c r="M3821" s="40">
        <f t="shared" si="89"/>
        <v>0.75</v>
      </c>
      <c r="N3821" s="40">
        <f t="shared" si="90"/>
        <v>1.5</v>
      </c>
    </row>
    <row r="3822" spans="1:14">
      <c r="A3822" s="29">
        <v>46007</v>
      </c>
      <c r="B3822" s="22" t="s">
        <v>57</v>
      </c>
      <c r="C3822" s="22" t="s">
        <v>51</v>
      </c>
      <c r="D3822" s="48" t="s">
        <v>11</v>
      </c>
      <c r="E3822" t="s">
        <v>1671</v>
      </c>
      <c r="F3822">
        <v>2025</v>
      </c>
      <c r="G3822" t="s">
        <v>1282</v>
      </c>
      <c r="H3822" s="42" t="s">
        <v>57</v>
      </c>
      <c r="L3822" s="34">
        <v>2</v>
      </c>
      <c r="M3822" s="40">
        <f t="shared" si="89"/>
        <v>0.75</v>
      </c>
      <c r="N3822" s="40">
        <f t="shared" si="90"/>
        <v>1.5</v>
      </c>
    </row>
    <row r="3823" spans="1:14">
      <c r="A3823" s="29">
        <v>46007</v>
      </c>
      <c r="B3823" s="22" t="s">
        <v>57</v>
      </c>
      <c r="C3823" s="22" t="s">
        <v>51</v>
      </c>
      <c r="D3823" s="48" t="s">
        <v>11</v>
      </c>
      <c r="E3823" t="s">
        <v>1672</v>
      </c>
      <c r="F3823">
        <v>2025</v>
      </c>
      <c r="G3823" t="s">
        <v>1282</v>
      </c>
      <c r="H3823" s="42" t="s">
        <v>57</v>
      </c>
      <c r="L3823" s="34">
        <v>2</v>
      </c>
      <c r="M3823" s="40">
        <f t="shared" si="89"/>
        <v>0.75</v>
      </c>
      <c r="N3823" s="40">
        <f t="shared" si="90"/>
        <v>1.5</v>
      </c>
    </row>
    <row r="3824" spans="1:14">
      <c r="A3824" s="29">
        <v>46010</v>
      </c>
      <c r="B3824" s="22" t="s">
        <v>95</v>
      </c>
      <c r="C3824" s="22"/>
      <c r="D3824" s="48" t="s">
        <v>5</v>
      </c>
      <c r="E3824" t="s">
        <v>166</v>
      </c>
      <c r="F3824">
        <v>2025</v>
      </c>
      <c r="G3824" t="s">
        <v>338</v>
      </c>
      <c r="H3824" s="42" t="s">
        <v>1688</v>
      </c>
      <c r="L3824" s="34">
        <v>1</v>
      </c>
      <c r="M3824" s="40">
        <f t="shared" si="89"/>
        <v>0.75</v>
      </c>
      <c r="N3824" s="40">
        <f t="shared" si="90"/>
        <v>0.75</v>
      </c>
    </row>
    <row r="3825" spans="1:14">
      <c r="A3825" s="29">
        <v>46010</v>
      </c>
      <c r="B3825" s="22" t="s">
        <v>95</v>
      </c>
      <c r="C3825" s="22"/>
      <c r="D3825" s="48" t="s">
        <v>5</v>
      </c>
      <c r="E3825" t="s">
        <v>159</v>
      </c>
      <c r="F3825">
        <v>2025</v>
      </c>
      <c r="G3825" t="s">
        <v>338</v>
      </c>
      <c r="H3825" s="42" t="s">
        <v>747</v>
      </c>
      <c r="L3825" s="34">
        <v>1</v>
      </c>
      <c r="M3825" s="40">
        <f t="shared" si="89"/>
        <v>0.75</v>
      </c>
      <c r="N3825" s="40">
        <f t="shared" si="90"/>
        <v>0.75</v>
      </c>
    </row>
    <row r="3826" spans="1:14">
      <c r="A3826" s="29">
        <v>46010</v>
      </c>
      <c r="B3826" s="22" t="s">
        <v>95</v>
      </c>
      <c r="C3826" s="22"/>
      <c r="D3826" s="48" t="s">
        <v>5</v>
      </c>
      <c r="E3826" t="s">
        <v>157</v>
      </c>
      <c r="F3826">
        <v>2025</v>
      </c>
      <c r="G3826" t="s">
        <v>338</v>
      </c>
      <c r="H3826" s="42" t="s">
        <v>1073</v>
      </c>
      <c r="L3826" s="34">
        <v>1</v>
      </c>
      <c r="M3826" s="40">
        <f t="shared" si="89"/>
        <v>0.75</v>
      </c>
      <c r="N3826" s="40">
        <f t="shared" si="90"/>
        <v>0.75</v>
      </c>
    </row>
    <row r="3827" spans="1:14">
      <c r="A3827" s="29">
        <v>46010</v>
      </c>
      <c r="B3827" s="22" t="s">
        <v>95</v>
      </c>
      <c r="C3827" s="22"/>
      <c r="D3827" s="48" t="s">
        <v>5</v>
      </c>
      <c r="E3827" t="s">
        <v>255</v>
      </c>
      <c r="F3827">
        <v>2025</v>
      </c>
      <c r="G3827" t="s">
        <v>338</v>
      </c>
      <c r="H3827" s="42" t="s">
        <v>1352</v>
      </c>
      <c r="L3827" s="34">
        <v>1</v>
      </c>
      <c r="M3827" s="40">
        <f t="shared" si="89"/>
        <v>0.75</v>
      </c>
      <c r="N3827" s="40">
        <f t="shared" si="90"/>
        <v>0.75</v>
      </c>
    </row>
    <row r="3828" spans="1:14">
      <c r="A3828" s="29">
        <v>46010</v>
      </c>
      <c r="B3828" s="22" t="s">
        <v>95</v>
      </c>
      <c r="C3828" s="22"/>
      <c r="D3828" s="48" t="s">
        <v>5</v>
      </c>
      <c r="E3828" t="s">
        <v>1689</v>
      </c>
      <c r="F3828">
        <v>2025</v>
      </c>
      <c r="G3828" t="s">
        <v>1282</v>
      </c>
      <c r="H3828" s="42" t="s">
        <v>57</v>
      </c>
      <c r="K3828" t="s">
        <v>1690</v>
      </c>
      <c r="L3828" s="34">
        <v>1</v>
      </c>
      <c r="M3828" s="40">
        <f t="shared" si="89"/>
        <v>0.75</v>
      </c>
      <c r="N3828" s="40">
        <f t="shared" si="90"/>
        <v>0.75</v>
      </c>
    </row>
    <row r="3829" spans="1:14">
      <c r="A3829" s="29">
        <v>46010</v>
      </c>
      <c r="B3829" s="22" t="s">
        <v>95</v>
      </c>
      <c r="C3829" s="22"/>
      <c r="D3829" s="48" t="s">
        <v>11</v>
      </c>
      <c r="E3829" t="s">
        <v>180</v>
      </c>
      <c r="F3829">
        <v>2024</v>
      </c>
      <c r="G3829" t="s">
        <v>338</v>
      </c>
      <c r="H3829" s="42" t="s">
        <v>839</v>
      </c>
      <c r="L3829" s="34">
        <v>1</v>
      </c>
      <c r="M3829" s="40">
        <f t="shared" si="89"/>
        <v>0.75</v>
      </c>
      <c r="N3829" s="40">
        <f t="shared" si="90"/>
        <v>0.75</v>
      </c>
    </row>
    <row r="3830" spans="1:14">
      <c r="A3830" s="29">
        <v>46027</v>
      </c>
      <c r="B3830" s="22" t="s">
        <v>64</v>
      </c>
      <c r="C3830" s="22"/>
      <c r="D3830" s="48" t="s">
        <v>8</v>
      </c>
      <c r="E3830" t="s">
        <v>175</v>
      </c>
      <c r="F3830">
        <v>2025</v>
      </c>
      <c r="G3830" t="s">
        <v>1691</v>
      </c>
      <c r="H3830" s="42" t="s">
        <v>57</v>
      </c>
      <c r="K3830" t="s">
        <v>1692</v>
      </c>
      <c r="L3830" s="34">
        <v>1</v>
      </c>
      <c r="M3830" s="40">
        <f t="shared" si="89"/>
        <v>0.75</v>
      </c>
      <c r="N3830" s="40">
        <f t="shared" si="90"/>
        <v>0.75</v>
      </c>
    </row>
    <row r="3831" spans="1:14">
      <c r="A3831" s="29">
        <v>46027</v>
      </c>
      <c r="B3831" s="22" t="s">
        <v>64</v>
      </c>
      <c r="C3831" s="22"/>
      <c r="D3831" s="48" t="s">
        <v>8</v>
      </c>
      <c r="E3831" t="s">
        <v>175</v>
      </c>
      <c r="F3831">
        <v>2025</v>
      </c>
      <c r="G3831" t="s">
        <v>1693</v>
      </c>
      <c r="H3831" s="42" t="s">
        <v>57</v>
      </c>
      <c r="K3831" t="s">
        <v>1694</v>
      </c>
      <c r="L3831" s="34">
        <v>1</v>
      </c>
      <c r="M3831" s="40">
        <f t="shared" si="89"/>
        <v>0.75</v>
      </c>
      <c r="N3831" s="40">
        <f t="shared" si="90"/>
        <v>0.75</v>
      </c>
    </row>
    <row r="3832" spans="1:14">
      <c r="A3832" s="29">
        <v>46027</v>
      </c>
      <c r="B3832" s="22" t="s">
        <v>64</v>
      </c>
      <c r="C3832" s="22"/>
      <c r="D3832" s="48" t="s">
        <v>8</v>
      </c>
      <c r="E3832" t="s">
        <v>175</v>
      </c>
      <c r="F3832">
        <v>2025</v>
      </c>
      <c r="G3832" t="s">
        <v>1695</v>
      </c>
      <c r="H3832" s="42" t="s">
        <v>57</v>
      </c>
      <c r="K3832" t="s">
        <v>1696</v>
      </c>
      <c r="L3832" s="34">
        <v>1</v>
      </c>
      <c r="M3832" s="40">
        <f t="shared" si="89"/>
        <v>0.75</v>
      </c>
      <c r="N3832" s="40">
        <f t="shared" si="90"/>
        <v>0.75</v>
      </c>
    </row>
    <row r="3833" spans="1:14">
      <c r="A3833" s="29">
        <v>46027</v>
      </c>
      <c r="B3833" s="22" t="s">
        <v>64</v>
      </c>
      <c r="C3833" s="22"/>
      <c r="D3833" s="48" t="s">
        <v>8</v>
      </c>
      <c r="E3833" t="s">
        <v>179</v>
      </c>
      <c r="F3833">
        <v>2025</v>
      </c>
      <c r="G3833" t="s">
        <v>1697</v>
      </c>
      <c r="H3833" s="42" t="s">
        <v>748</v>
      </c>
      <c r="K3833" t="s">
        <v>600</v>
      </c>
      <c r="L3833" s="34">
        <v>1</v>
      </c>
      <c r="M3833" s="40">
        <f t="shared" si="89"/>
        <v>0.75</v>
      </c>
      <c r="N3833" s="40">
        <f t="shared" si="90"/>
        <v>0.75</v>
      </c>
    </row>
    <row r="3834" spans="1:14">
      <c r="A3834" s="29">
        <v>46029</v>
      </c>
      <c r="B3834" s="22" t="s">
        <v>64</v>
      </c>
      <c r="C3834" s="22"/>
      <c r="D3834" s="48" t="s">
        <v>8</v>
      </c>
      <c r="E3834" t="s">
        <v>175</v>
      </c>
      <c r="F3834">
        <v>2025</v>
      </c>
      <c r="G3834" t="s">
        <v>1691</v>
      </c>
      <c r="H3834" s="42" t="s">
        <v>57</v>
      </c>
      <c r="K3834" t="s">
        <v>1692</v>
      </c>
      <c r="L3834" s="34">
        <v>1</v>
      </c>
      <c r="M3834" s="40">
        <f t="shared" si="89"/>
        <v>0.75</v>
      </c>
      <c r="N3834" s="40">
        <f t="shared" si="90"/>
        <v>0.75</v>
      </c>
    </row>
    <row r="3835" spans="1:14">
      <c r="A3835" s="29">
        <v>46029</v>
      </c>
      <c r="B3835" s="22" t="s">
        <v>64</v>
      </c>
      <c r="C3835" s="22"/>
      <c r="D3835" s="48" t="s">
        <v>8</v>
      </c>
      <c r="E3835" t="s">
        <v>175</v>
      </c>
      <c r="F3835">
        <v>2025</v>
      </c>
      <c r="G3835" t="s">
        <v>1693</v>
      </c>
      <c r="H3835" s="42" t="s">
        <v>57</v>
      </c>
      <c r="K3835" t="s">
        <v>1694</v>
      </c>
      <c r="L3835" s="34">
        <v>1</v>
      </c>
      <c r="M3835" s="40">
        <f t="shared" si="89"/>
        <v>0.75</v>
      </c>
      <c r="N3835" s="40">
        <f t="shared" si="90"/>
        <v>0.75</v>
      </c>
    </row>
    <row r="3836" spans="1:14">
      <c r="A3836" s="29">
        <v>46029</v>
      </c>
      <c r="B3836" s="22" t="s">
        <v>64</v>
      </c>
      <c r="C3836" s="22"/>
      <c r="D3836" s="48" t="s">
        <v>8</v>
      </c>
      <c r="E3836" t="s">
        <v>175</v>
      </c>
      <c r="F3836">
        <v>2025</v>
      </c>
      <c r="G3836" t="s">
        <v>1695</v>
      </c>
      <c r="H3836" s="42" t="s">
        <v>57</v>
      </c>
      <c r="K3836" t="s">
        <v>1696</v>
      </c>
      <c r="L3836" s="34">
        <v>1</v>
      </c>
      <c r="M3836" s="40">
        <f t="shared" si="89"/>
        <v>0.75</v>
      </c>
      <c r="N3836" s="40">
        <f t="shared" si="90"/>
        <v>0.75</v>
      </c>
    </row>
    <row r="3837" spans="1:14">
      <c r="A3837" s="29">
        <v>46029</v>
      </c>
      <c r="B3837" s="22" t="s">
        <v>64</v>
      </c>
      <c r="C3837" s="22"/>
      <c r="D3837" s="48" t="s">
        <v>8</v>
      </c>
      <c r="E3837" t="s">
        <v>179</v>
      </c>
      <c r="F3837">
        <v>2025</v>
      </c>
      <c r="G3837" t="s">
        <v>1697</v>
      </c>
      <c r="H3837" s="42" t="s">
        <v>748</v>
      </c>
      <c r="K3837" t="s">
        <v>600</v>
      </c>
      <c r="L3837" s="34">
        <v>1</v>
      </c>
      <c r="M3837" s="40">
        <f>IF(L3837="","",0.75)</f>
        <v>0.75</v>
      </c>
      <c r="N3837" s="40">
        <f t="shared" si="90"/>
        <v>0.75</v>
      </c>
    </row>
    <row r="3838" spans="1:14">
      <c r="A3838" s="29">
        <v>46029</v>
      </c>
      <c r="B3838" s="22" t="s">
        <v>96</v>
      </c>
      <c r="C3838" s="22"/>
      <c r="D3838" s="48" t="s">
        <v>5</v>
      </c>
      <c r="E3838" t="s">
        <v>157</v>
      </c>
      <c r="F3838">
        <v>2025</v>
      </c>
      <c r="G3838" t="s">
        <v>252</v>
      </c>
      <c r="H3838" s="42" t="s">
        <v>835</v>
      </c>
      <c r="L3838" s="34">
        <v>2</v>
      </c>
      <c r="M3838" s="40">
        <v>3</v>
      </c>
      <c r="N3838" s="40">
        <f t="shared" si="90"/>
        <v>6</v>
      </c>
    </row>
    <row r="3839" spans="1:14">
      <c r="A3839" s="29">
        <v>46029</v>
      </c>
      <c r="B3839" s="22" t="s">
        <v>63</v>
      </c>
      <c r="C3839" s="22"/>
      <c r="D3839" s="48" t="s">
        <v>5</v>
      </c>
      <c r="E3839" t="s">
        <v>159</v>
      </c>
      <c r="F3839">
        <v>2025</v>
      </c>
      <c r="G3839" t="s">
        <v>326</v>
      </c>
      <c r="H3839" s="42" t="s">
        <v>1698</v>
      </c>
      <c r="L3839" s="34">
        <v>1</v>
      </c>
      <c r="M3839" s="40">
        <f t="shared" ref="M3839:M3865" si="91">IF(L3839="","",0.75)</f>
        <v>0.75</v>
      </c>
      <c r="N3839" s="40">
        <f t="shared" ref="N3839:N3867" si="92">IF(M3839="","",M3839*L3839)</f>
        <v>0.75</v>
      </c>
    </row>
    <row r="3840" spans="1:14">
      <c r="A3840" s="29">
        <v>46029</v>
      </c>
      <c r="B3840" s="22" t="s">
        <v>63</v>
      </c>
      <c r="C3840" s="22"/>
      <c r="D3840" s="48" t="s">
        <v>5</v>
      </c>
      <c r="E3840" t="s">
        <v>159</v>
      </c>
      <c r="F3840">
        <v>2025</v>
      </c>
      <c r="G3840" t="s">
        <v>1699</v>
      </c>
      <c r="H3840" s="42" t="s">
        <v>855</v>
      </c>
      <c r="L3840" s="34">
        <v>1</v>
      </c>
      <c r="M3840" s="40">
        <f t="shared" si="91"/>
        <v>0.75</v>
      </c>
      <c r="N3840" s="40">
        <f t="shared" si="92"/>
        <v>0.75</v>
      </c>
    </row>
    <row r="3841" spans="1:14">
      <c r="A3841" s="29">
        <v>46029</v>
      </c>
      <c r="B3841" s="22" t="s">
        <v>63</v>
      </c>
      <c r="C3841" s="22"/>
      <c r="D3841" s="48" t="s">
        <v>5</v>
      </c>
      <c r="E3841" t="s">
        <v>1700</v>
      </c>
      <c r="F3841">
        <v>2025</v>
      </c>
      <c r="G3841" t="s">
        <v>57</v>
      </c>
      <c r="H3841" s="42" t="s">
        <v>1009</v>
      </c>
      <c r="L3841" s="34">
        <v>1</v>
      </c>
      <c r="M3841" s="40">
        <f t="shared" si="91"/>
        <v>0.75</v>
      </c>
      <c r="N3841" s="40">
        <f t="shared" si="92"/>
        <v>0.75</v>
      </c>
    </row>
    <row r="3842" spans="1:14">
      <c r="A3842" s="29">
        <v>46029</v>
      </c>
      <c r="B3842" s="22" t="s">
        <v>63</v>
      </c>
      <c r="C3842" s="22"/>
      <c r="D3842" s="48" t="s">
        <v>5</v>
      </c>
      <c r="E3842" t="s">
        <v>262</v>
      </c>
      <c r="F3842">
        <v>2025</v>
      </c>
      <c r="G3842" t="s">
        <v>57</v>
      </c>
      <c r="H3842" s="42" t="s">
        <v>898</v>
      </c>
      <c r="L3842" s="34">
        <v>1</v>
      </c>
      <c r="M3842" s="40">
        <f t="shared" si="91"/>
        <v>0.75</v>
      </c>
      <c r="N3842" s="40">
        <f t="shared" si="92"/>
        <v>0.75</v>
      </c>
    </row>
    <row r="3843" spans="1:14">
      <c r="A3843" s="29">
        <v>46029</v>
      </c>
      <c r="B3843" s="22" t="s">
        <v>63</v>
      </c>
      <c r="C3843" s="22"/>
      <c r="D3843" s="48" t="s">
        <v>8</v>
      </c>
      <c r="E3843" t="s">
        <v>179</v>
      </c>
      <c r="F3843">
        <v>2025</v>
      </c>
      <c r="G3843" t="s">
        <v>57</v>
      </c>
      <c r="H3843" s="42" t="s">
        <v>748</v>
      </c>
      <c r="L3843" s="34">
        <v>1</v>
      </c>
      <c r="M3843" s="40">
        <f t="shared" si="91"/>
        <v>0.75</v>
      </c>
      <c r="N3843" s="40">
        <f t="shared" si="92"/>
        <v>0.75</v>
      </c>
    </row>
    <row r="3844" spans="1:14">
      <c r="A3844" s="29">
        <v>46029</v>
      </c>
      <c r="B3844" s="22" t="s">
        <v>63</v>
      </c>
      <c r="C3844" s="22"/>
      <c r="D3844" s="48" t="s">
        <v>8</v>
      </c>
      <c r="E3844" t="s">
        <v>182</v>
      </c>
      <c r="F3844">
        <v>2025</v>
      </c>
      <c r="G3844" t="s">
        <v>253</v>
      </c>
      <c r="H3844" s="42" t="s">
        <v>1156</v>
      </c>
      <c r="L3844" s="34">
        <v>1</v>
      </c>
      <c r="M3844" s="40">
        <f t="shared" si="91"/>
        <v>0.75</v>
      </c>
      <c r="N3844" s="40">
        <f t="shared" si="92"/>
        <v>0.75</v>
      </c>
    </row>
    <row r="3845" spans="1:14">
      <c r="A3845" s="29">
        <v>46029</v>
      </c>
      <c r="B3845" s="22" t="s">
        <v>63</v>
      </c>
      <c r="C3845" s="22"/>
      <c r="D3845" s="48" t="s">
        <v>8</v>
      </c>
      <c r="E3845" t="s">
        <v>182</v>
      </c>
      <c r="F3845">
        <v>2025</v>
      </c>
      <c r="G3845" t="s">
        <v>326</v>
      </c>
      <c r="H3845" s="42" t="s">
        <v>57</v>
      </c>
      <c r="L3845" s="34">
        <v>1</v>
      </c>
      <c r="M3845" s="40">
        <f t="shared" si="91"/>
        <v>0.75</v>
      </c>
      <c r="N3845" s="40">
        <f t="shared" si="92"/>
        <v>0.75</v>
      </c>
    </row>
    <row r="3846" spans="1:14">
      <c r="A3846" s="29">
        <v>46029</v>
      </c>
      <c r="B3846" s="22" t="s">
        <v>63</v>
      </c>
      <c r="C3846" s="22"/>
      <c r="D3846" s="48" t="s">
        <v>8</v>
      </c>
      <c r="E3846" t="s">
        <v>178</v>
      </c>
      <c r="F3846">
        <v>2025</v>
      </c>
      <c r="H3846" s="42" t="s">
        <v>57</v>
      </c>
      <c r="L3846" s="34">
        <v>1</v>
      </c>
      <c r="M3846" s="40">
        <f t="shared" si="91"/>
        <v>0.75</v>
      </c>
      <c r="N3846" s="40">
        <f t="shared" si="92"/>
        <v>0.75</v>
      </c>
    </row>
    <row r="3847" spans="1:14">
      <c r="A3847" s="29">
        <v>46029</v>
      </c>
      <c r="B3847" s="22" t="s">
        <v>63</v>
      </c>
      <c r="C3847" s="22"/>
      <c r="D3847" s="48" t="s">
        <v>8</v>
      </c>
      <c r="E3847" t="s">
        <v>180</v>
      </c>
      <c r="F3847">
        <v>2025</v>
      </c>
      <c r="G3847" t="s">
        <v>57</v>
      </c>
      <c r="H3847" s="42" t="s">
        <v>57</v>
      </c>
      <c r="L3847" s="34">
        <v>1</v>
      </c>
      <c r="M3847" s="40">
        <f t="shared" si="91"/>
        <v>0.75</v>
      </c>
      <c r="N3847" s="40">
        <f t="shared" si="92"/>
        <v>0.75</v>
      </c>
    </row>
    <row r="3848" spans="1:14">
      <c r="A3848" s="29">
        <v>46029</v>
      </c>
      <c r="B3848" s="22" t="s">
        <v>63</v>
      </c>
      <c r="C3848" s="22"/>
      <c r="D3848" s="48" t="s">
        <v>8</v>
      </c>
      <c r="E3848" t="s">
        <v>199</v>
      </c>
      <c r="F3848">
        <v>2025</v>
      </c>
      <c r="G3848" t="s">
        <v>57</v>
      </c>
      <c r="H3848" s="42" t="s">
        <v>57</v>
      </c>
      <c r="L3848" s="34">
        <v>1</v>
      </c>
      <c r="M3848" s="40">
        <f t="shared" si="91"/>
        <v>0.75</v>
      </c>
      <c r="N3848" s="40">
        <f t="shared" si="92"/>
        <v>0.75</v>
      </c>
    </row>
    <row r="3849" spans="1:14">
      <c r="A3849" s="29">
        <v>45665</v>
      </c>
      <c r="B3849" s="22" t="s">
        <v>57</v>
      </c>
      <c r="C3849" s="22" t="s">
        <v>49</v>
      </c>
      <c r="D3849" s="48" t="s">
        <v>5</v>
      </c>
      <c r="E3849" t="s">
        <v>14</v>
      </c>
      <c r="F3849">
        <v>2025</v>
      </c>
      <c r="G3849" t="s">
        <v>57</v>
      </c>
      <c r="H3849" s="42" t="s">
        <v>1336</v>
      </c>
      <c r="L3849" s="34">
        <v>4</v>
      </c>
      <c r="M3849" s="40">
        <f t="shared" si="91"/>
        <v>0.75</v>
      </c>
      <c r="N3849" s="40">
        <f t="shared" si="92"/>
        <v>3</v>
      </c>
    </row>
    <row r="3850" spans="1:14">
      <c r="A3850" s="29">
        <v>45665</v>
      </c>
      <c r="B3850" s="22" t="s">
        <v>57</v>
      </c>
      <c r="C3850" s="22" t="s">
        <v>49</v>
      </c>
      <c r="D3850" s="48" t="s">
        <v>5</v>
      </c>
      <c r="E3850" t="s">
        <v>14</v>
      </c>
      <c r="F3850">
        <v>2025</v>
      </c>
      <c r="G3850" t="s">
        <v>57</v>
      </c>
      <c r="H3850" s="42" t="s">
        <v>1701</v>
      </c>
      <c r="L3850" s="34">
        <v>4</v>
      </c>
      <c r="M3850" s="40">
        <f t="shared" si="91"/>
        <v>0.75</v>
      </c>
      <c r="N3850" s="40">
        <f t="shared" si="92"/>
        <v>3</v>
      </c>
    </row>
    <row r="3851" spans="1:14">
      <c r="A3851" s="29">
        <v>45665</v>
      </c>
      <c r="B3851" s="22" t="s">
        <v>57</v>
      </c>
      <c r="C3851" s="22" t="s">
        <v>49</v>
      </c>
      <c r="D3851" s="48" t="s">
        <v>5</v>
      </c>
      <c r="E3851" t="s">
        <v>158</v>
      </c>
      <c r="F3851">
        <v>2025</v>
      </c>
      <c r="G3851" t="s">
        <v>57</v>
      </c>
      <c r="H3851" s="42" t="s">
        <v>1702</v>
      </c>
      <c r="L3851" s="34">
        <v>4</v>
      </c>
      <c r="M3851" s="40">
        <f t="shared" si="91"/>
        <v>0.75</v>
      </c>
      <c r="N3851" s="40">
        <f t="shared" si="92"/>
        <v>3</v>
      </c>
    </row>
    <row r="3852" spans="1:14">
      <c r="A3852" s="29">
        <v>46031</v>
      </c>
      <c r="B3852" s="22" t="s">
        <v>97</v>
      </c>
      <c r="C3852" s="22" t="s">
        <v>55</v>
      </c>
      <c r="D3852" s="48" t="s">
        <v>5</v>
      </c>
      <c r="E3852" t="s">
        <v>157</v>
      </c>
      <c r="F3852">
        <v>2025</v>
      </c>
      <c r="G3852" t="s">
        <v>57</v>
      </c>
      <c r="H3852" s="42" t="s">
        <v>1303</v>
      </c>
      <c r="L3852" s="34">
        <v>4</v>
      </c>
      <c r="M3852" s="40">
        <f t="shared" si="91"/>
        <v>0.75</v>
      </c>
      <c r="N3852" s="40">
        <f t="shared" si="92"/>
        <v>3</v>
      </c>
    </row>
    <row r="3853" spans="1:14">
      <c r="A3853" s="29">
        <v>46034</v>
      </c>
      <c r="B3853" s="22" t="s">
        <v>79</v>
      </c>
      <c r="C3853" s="22" t="s">
        <v>57</v>
      </c>
      <c r="D3853" s="48" t="s">
        <v>5</v>
      </c>
      <c r="E3853" t="s">
        <v>158</v>
      </c>
      <c r="F3853">
        <v>2025</v>
      </c>
      <c r="G3853" t="s">
        <v>57</v>
      </c>
      <c r="H3853" s="42" t="s">
        <v>1277</v>
      </c>
      <c r="K3853" t="s">
        <v>357</v>
      </c>
      <c r="L3853" s="34">
        <v>4</v>
      </c>
      <c r="M3853" s="40">
        <f t="shared" si="91"/>
        <v>0.75</v>
      </c>
      <c r="N3853" s="40">
        <f t="shared" si="92"/>
        <v>3</v>
      </c>
    </row>
    <row r="3854" spans="1:14">
      <c r="A3854" s="29">
        <v>46034</v>
      </c>
      <c r="B3854" s="22" t="s">
        <v>79</v>
      </c>
      <c r="C3854" s="22" t="s">
        <v>57</v>
      </c>
      <c r="D3854" s="48" t="s">
        <v>5</v>
      </c>
      <c r="E3854" t="s">
        <v>158</v>
      </c>
      <c r="F3854">
        <v>2025</v>
      </c>
      <c r="G3854" t="s">
        <v>57</v>
      </c>
      <c r="H3854" s="42" t="s">
        <v>1703</v>
      </c>
      <c r="K3854" t="s">
        <v>359</v>
      </c>
      <c r="L3854" s="34">
        <v>4</v>
      </c>
      <c r="M3854" s="40">
        <f t="shared" si="91"/>
        <v>0.75</v>
      </c>
      <c r="N3854" s="40">
        <f t="shared" si="92"/>
        <v>3</v>
      </c>
    </row>
    <row r="3855" spans="1:14">
      <c r="A3855" s="29">
        <v>46055</v>
      </c>
      <c r="B3855" s="22" t="s">
        <v>96</v>
      </c>
      <c r="C3855" s="22" t="s">
        <v>57</v>
      </c>
      <c r="D3855" s="48" t="s">
        <v>5</v>
      </c>
      <c r="E3855" t="s">
        <v>157</v>
      </c>
      <c r="F3855">
        <v>2025</v>
      </c>
      <c r="G3855" t="s">
        <v>326</v>
      </c>
      <c r="H3855" s="42" t="s">
        <v>747</v>
      </c>
      <c r="L3855" s="34">
        <v>2</v>
      </c>
      <c r="M3855" s="40">
        <f t="shared" si="91"/>
        <v>0.75</v>
      </c>
      <c r="N3855" s="40">
        <f t="shared" si="92"/>
        <v>1.5</v>
      </c>
    </row>
    <row r="3856" spans="1:14">
      <c r="A3856" s="29">
        <v>46055</v>
      </c>
      <c r="B3856" s="22" t="s">
        <v>96</v>
      </c>
      <c r="C3856" s="22" t="s">
        <v>57</v>
      </c>
      <c r="D3856" s="48" t="s">
        <v>11</v>
      </c>
      <c r="E3856" t="s">
        <v>1086</v>
      </c>
      <c r="F3856">
        <v>2024</v>
      </c>
      <c r="G3856" t="s">
        <v>1704</v>
      </c>
      <c r="H3856" s="42" t="s">
        <v>57</v>
      </c>
      <c r="I3856" s="2">
        <v>560</v>
      </c>
      <c r="K3856" t="s">
        <v>727</v>
      </c>
      <c r="L3856" s="34">
        <v>2</v>
      </c>
      <c r="M3856" s="40">
        <f t="shared" si="91"/>
        <v>0.75</v>
      </c>
      <c r="N3856" s="40">
        <f t="shared" si="92"/>
        <v>1.5</v>
      </c>
    </row>
    <row r="3857" spans="1:14">
      <c r="A3857" s="29">
        <v>46055</v>
      </c>
      <c r="B3857" s="22" t="s">
        <v>96</v>
      </c>
      <c r="C3857" s="22" t="s">
        <v>57</v>
      </c>
      <c r="D3857" s="48" t="s">
        <v>11</v>
      </c>
      <c r="E3857" t="s">
        <v>1086</v>
      </c>
      <c r="F3857">
        <v>2024</v>
      </c>
      <c r="G3857" t="s">
        <v>57</v>
      </c>
      <c r="H3857" s="42" t="s">
        <v>1209</v>
      </c>
      <c r="I3857" s="2">
        <v>560</v>
      </c>
      <c r="K3857" t="s">
        <v>1705</v>
      </c>
      <c r="L3857" s="34">
        <v>2</v>
      </c>
      <c r="M3857" s="40">
        <f t="shared" si="91"/>
        <v>0.75</v>
      </c>
      <c r="N3857" s="40">
        <f t="shared" si="92"/>
        <v>1.5</v>
      </c>
    </row>
    <row r="3858" spans="1:14">
      <c r="A3858" s="29">
        <v>46055</v>
      </c>
      <c r="B3858" s="22" t="s">
        <v>96</v>
      </c>
      <c r="C3858" s="22" t="s">
        <v>57</v>
      </c>
      <c r="D3858" s="48" t="s">
        <v>11</v>
      </c>
      <c r="E3858" t="s">
        <v>1086</v>
      </c>
      <c r="F3858">
        <v>2024</v>
      </c>
      <c r="G3858" t="s">
        <v>57</v>
      </c>
      <c r="H3858" s="42" t="s">
        <v>1209</v>
      </c>
      <c r="I3858" s="2">
        <v>560</v>
      </c>
      <c r="K3858" t="s">
        <v>1706</v>
      </c>
      <c r="L3858" s="34">
        <v>2</v>
      </c>
      <c r="M3858" s="40">
        <f t="shared" si="91"/>
        <v>0.75</v>
      </c>
      <c r="N3858" s="40">
        <f t="shared" si="92"/>
        <v>1.5</v>
      </c>
    </row>
    <row r="3859" spans="1:14">
      <c r="A3859" s="29">
        <v>46057</v>
      </c>
      <c r="B3859" s="22" t="s">
        <v>90</v>
      </c>
      <c r="C3859" s="22" t="s">
        <v>57</v>
      </c>
      <c r="D3859" s="48" t="s">
        <v>11</v>
      </c>
      <c r="E3859" t="s">
        <v>179</v>
      </c>
      <c r="F3859">
        <v>2024</v>
      </c>
      <c r="G3859" t="s">
        <v>1707</v>
      </c>
      <c r="H3859" s="42" t="s">
        <v>57</v>
      </c>
      <c r="K3859" t="s">
        <v>1708</v>
      </c>
      <c r="L3859" s="34">
        <v>2</v>
      </c>
      <c r="M3859" s="40">
        <f t="shared" si="91"/>
        <v>0.75</v>
      </c>
      <c r="N3859" s="40">
        <f t="shared" si="92"/>
        <v>1.5</v>
      </c>
    </row>
    <row r="3860" spans="1:14">
      <c r="A3860" s="29">
        <v>46057</v>
      </c>
      <c r="B3860" s="22" t="s">
        <v>90</v>
      </c>
      <c r="C3860" s="22" t="s">
        <v>57</v>
      </c>
      <c r="D3860" s="48" t="s">
        <v>11</v>
      </c>
      <c r="E3860" t="s">
        <v>1086</v>
      </c>
      <c r="F3860">
        <v>2024</v>
      </c>
      <c r="G3860" t="s">
        <v>1707</v>
      </c>
      <c r="H3860" s="42" t="s">
        <v>57</v>
      </c>
      <c r="K3860" t="s">
        <v>1709</v>
      </c>
      <c r="L3860" s="34">
        <v>2</v>
      </c>
      <c r="M3860" s="40">
        <f t="shared" si="91"/>
        <v>0.75</v>
      </c>
      <c r="N3860" s="40">
        <f t="shared" si="92"/>
        <v>1.5</v>
      </c>
    </row>
    <row r="3861" spans="1:14">
      <c r="A3861" s="29">
        <v>46057</v>
      </c>
      <c r="B3861" s="22" t="s">
        <v>75</v>
      </c>
      <c r="C3861" s="22" t="s">
        <v>57</v>
      </c>
      <c r="D3861" s="48" t="s">
        <v>8</v>
      </c>
      <c r="E3861" t="s">
        <v>183</v>
      </c>
      <c r="F3861">
        <v>2025</v>
      </c>
      <c r="G3861" t="s">
        <v>57</v>
      </c>
      <c r="H3861" s="42" t="s">
        <v>1129</v>
      </c>
      <c r="L3861" s="34">
        <v>2</v>
      </c>
      <c r="M3861" s="40">
        <f t="shared" si="91"/>
        <v>0.75</v>
      </c>
      <c r="N3861" s="40">
        <f t="shared" si="92"/>
        <v>1.5</v>
      </c>
    </row>
    <row r="3862" spans="1:14">
      <c r="A3862" s="29">
        <v>46057</v>
      </c>
      <c r="B3862" s="22" t="s">
        <v>6</v>
      </c>
      <c r="C3862" s="22" t="s">
        <v>57</v>
      </c>
      <c r="D3862" s="48" t="s">
        <v>5</v>
      </c>
      <c r="E3862" t="s">
        <v>159</v>
      </c>
      <c r="F3862">
        <v>2025</v>
      </c>
      <c r="G3862" t="s">
        <v>252</v>
      </c>
      <c r="H3862" s="42" t="s">
        <v>875</v>
      </c>
      <c r="L3862" s="34">
        <v>4</v>
      </c>
      <c r="M3862" s="40">
        <f t="shared" si="91"/>
        <v>0.75</v>
      </c>
      <c r="N3862" s="40">
        <f t="shared" si="92"/>
        <v>3</v>
      </c>
    </row>
    <row r="3863" spans="1:14">
      <c r="A3863" s="29">
        <v>46070</v>
      </c>
      <c r="B3863" s="22" t="s">
        <v>63</v>
      </c>
      <c r="C3863" s="22" t="s">
        <v>57</v>
      </c>
      <c r="D3863" s="48" t="s">
        <v>11</v>
      </c>
      <c r="E3863" t="s">
        <v>177</v>
      </c>
      <c r="F3863">
        <v>2024</v>
      </c>
      <c r="G3863" t="s">
        <v>357</v>
      </c>
      <c r="H3863" s="42" t="s">
        <v>57</v>
      </c>
      <c r="K3863" t="s">
        <v>1710</v>
      </c>
      <c r="L3863" s="34">
        <v>3</v>
      </c>
      <c r="M3863" s="40">
        <f t="shared" si="91"/>
        <v>0.75</v>
      </c>
      <c r="N3863" s="40">
        <f t="shared" si="92"/>
        <v>2.25</v>
      </c>
    </row>
    <row r="3864" spans="1:14">
      <c r="A3864" s="29">
        <v>46070</v>
      </c>
      <c r="B3864" s="22" t="s">
        <v>63</v>
      </c>
      <c r="C3864" s="22" t="s">
        <v>57</v>
      </c>
      <c r="D3864" s="48" t="s">
        <v>11</v>
      </c>
      <c r="E3864" t="s">
        <v>177</v>
      </c>
      <c r="F3864">
        <v>2024</v>
      </c>
      <c r="G3864" t="s">
        <v>852</v>
      </c>
      <c r="H3864" s="42" t="s">
        <v>57</v>
      </c>
      <c r="K3864" t="s">
        <v>1711</v>
      </c>
      <c r="L3864" s="34">
        <v>3</v>
      </c>
      <c r="M3864" s="40">
        <f t="shared" si="91"/>
        <v>0.75</v>
      </c>
      <c r="N3864" s="40">
        <f t="shared" si="92"/>
        <v>2.25</v>
      </c>
    </row>
    <row r="3865" spans="1:14">
      <c r="A3865" s="29">
        <v>46070</v>
      </c>
      <c r="B3865" s="22" t="s">
        <v>57</v>
      </c>
      <c r="C3865" s="22" t="s">
        <v>55</v>
      </c>
      <c r="D3865" s="48" t="s">
        <v>8</v>
      </c>
      <c r="E3865" t="s">
        <v>182</v>
      </c>
      <c r="F3865">
        <v>2025</v>
      </c>
      <c r="G3865" t="s">
        <v>253</v>
      </c>
      <c r="H3865" s="42" t="s">
        <v>1156</v>
      </c>
      <c r="L3865" s="34">
        <v>6</v>
      </c>
      <c r="M3865" s="40">
        <f t="shared" si="91"/>
        <v>0.75</v>
      </c>
      <c r="N3865" s="40">
        <f t="shared" si="92"/>
        <v>4.5</v>
      </c>
    </row>
    <row r="3866" spans="1:14">
      <c r="A3866" s="29">
        <v>46070</v>
      </c>
      <c r="B3866" s="22" t="s">
        <v>57</v>
      </c>
      <c r="C3866" s="22" t="s">
        <v>55</v>
      </c>
      <c r="D3866" s="48" t="s">
        <v>8</v>
      </c>
      <c r="E3866" t="s">
        <v>182</v>
      </c>
      <c r="F3866">
        <v>2025</v>
      </c>
      <c r="G3866" t="s">
        <v>252</v>
      </c>
      <c r="H3866" s="42" t="s">
        <v>1712</v>
      </c>
      <c r="L3866" s="34">
        <v>6</v>
      </c>
      <c r="M3866" s="40">
        <v>0.75</v>
      </c>
      <c r="N3866" s="40">
        <f t="shared" si="92"/>
        <v>4.5</v>
      </c>
    </row>
    <row r="3867" spans="1:14">
      <c r="A3867" s="29">
        <v>46070</v>
      </c>
      <c r="B3867" s="22" t="s">
        <v>57</v>
      </c>
      <c r="C3867" s="22" t="s">
        <v>55</v>
      </c>
      <c r="D3867" s="48" t="s">
        <v>8</v>
      </c>
      <c r="E3867" t="s">
        <v>178</v>
      </c>
      <c r="F3867">
        <v>2025</v>
      </c>
      <c r="G3867" t="s">
        <v>1282</v>
      </c>
      <c r="H3867" s="42" t="s">
        <v>57</v>
      </c>
      <c r="L3867" s="34">
        <v>6</v>
      </c>
      <c r="M3867" s="40">
        <v>0.75</v>
      </c>
      <c r="N3867" s="40">
        <f t="shared" si="92"/>
        <v>4.5</v>
      </c>
    </row>
    <row r="3868" spans="1:14">
      <c r="A3868" s="29">
        <v>46078</v>
      </c>
      <c r="B3868" s="22" t="s">
        <v>69</v>
      </c>
      <c r="C3868" s="22" t="s">
        <v>57</v>
      </c>
      <c r="D3868" s="48" t="s">
        <v>8</v>
      </c>
      <c r="E3868" t="s">
        <v>199</v>
      </c>
      <c r="F3868">
        <v>2025</v>
      </c>
      <c r="G3868" t="s">
        <v>357</v>
      </c>
      <c r="H3868" s="42" t="s">
        <v>57</v>
      </c>
      <c r="L3868" s="34">
        <v>2</v>
      </c>
      <c r="M3868" s="40">
        <v>0.75</v>
      </c>
      <c r="N3868" s="40">
        <f t="shared" ref="N3868:N3931" si="93">IF(M3868="","",M3868*L3868)</f>
        <v>1.5</v>
      </c>
    </row>
    <row r="3869" spans="1:14">
      <c r="A3869" s="29">
        <v>46078</v>
      </c>
      <c r="B3869" s="22" t="s">
        <v>69</v>
      </c>
      <c r="C3869" s="22" t="s">
        <v>57</v>
      </c>
      <c r="D3869" s="48" t="s">
        <v>8</v>
      </c>
      <c r="E3869" t="s">
        <v>1713</v>
      </c>
      <c r="F3869">
        <v>2025</v>
      </c>
      <c r="G3869" t="s">
        <v>359</v>
      </c>
      <c r="H3869" s="42" t="s">
        <v>1203</v>
      </c>
      <c r="L3869" s="34">
        <v>2</v>
      </c>
      <c r="M3869" s="40">
        <v>0.75</v>
      </c>
      <c r="N3869" s="40">
        <f t="shared" si="93"/>
        <v>1.5</v>
      </c>
    </row>
    <row r="3870" spans="1:14">
      <c r="A3870" s="29">
        <v>46078</v>
      </c>
      <c r="B3870" s="22" t="s">
        <v>69</v>
      </c>
      <c r="C3870" s="22" t="s">
        <v>57</v>
      </c>
      <c r="D3870" s="48" t="s">
        <v>8</v>
      </c>
      <c r="E3870" t="s">
        <v>175</v>
      </c>
      <c r="F3870">
        <v>2025</v>
      </c>
      <c r="G3870" t="s">
        <v>263</v>
      </c>
      <c r="H3870" s="42" t="s">
        <v>57</v>
      </c>
      <c r="K3870" t="s">
        <v>1714</v>
      </c>
      <c r="L3870" s="34">
        <v>2</v>
      </c>
      <c r="M3870" s="40">
        <v>0.75</v>
      </c>
      <c r="N3870" s="40">
        <f t="shared" si="93"/>
        <v>1.5</v>
      </c>
    </row>
    <row r="3871" spans="1:14">
      <c r="A3871" s="29">
        <v>46078</v>
      </c>
      <c r="B3871" s="22" t="s">
        <v>69</v>
      </c>
      <c r="C3871" s="22" t="s">
        <v>57</v>
      </c>
      <c r="D3871" s="48" t="s">
        <v>8</v>
      </c>
      <c r="E3871" t="s">
        <v>175</v>
      </c>
      <c r="F3871">
        <v>2025</v>
      </c>
      <c r="G3871" t="s">
        <v>600</v>
      </c>
      <c r="H3871" s="42" t="s">
        <v>57</v>
      </c>
      <c r="K3871" t="s">
        <v>1715</v>
      </c>
      <c r="L3871" s="34">
        <v>2</v>
      </c>
      <c r="M3871" s="40">
        <v>0.75</v>
      </c>
      <c r="N3871" s="40">
        <f t="shared" si="93"/>
        <v>1.5</v>
      </c>
    </row>
    <row r="3872" spans="1:14">
      <c r="A3872" s="29">
        <v>46078</v>
      </c>
      <c r="B3872" s="22" t="s">
        <v>98</v>
      </c>
      <c r="C3872" s="22" t="s">
        <v>57</v>
      </c>
      <c r="D3872" s="48" t="s">
        <v>5</v>
      </c>
      <c r="E3872" t="s">
        <v>503</v>
      </c>
      <c r="F3872">
        <v>2025</v>
      </c>
      <c r="G3872" t="s">
        <v>1282</v>
      </c>
      <c r="H3872" s="42" t="s">
        <v>57</v>
      </c>
      <c r="K3872" t="s">
        <v>1716</v>
      </c>
      <c r="L3872" s="34">
        <v>2</v>
      </c>
      <c r="M3872" s="40">
        <v>0.75</v>
      </c>
      <c r="N3872" s="40">
        <f t="shared" si="93"/>
        <v>1.5</v>
      </c>
    </row>
    <row r="3873" spans="1:14">
      <c r="A3873" s="29">
        <v>46084</v>
      </c>
      <c r="B3873" s="22" t="s">
        <v>81</v>
      </c>
      <c r="C3873" s="22" t="s">
        <v>57</v>
      </c>
      <c r="D3873" s="48" t="s">
        <v>5</v>
      </c>
      <c r="E3873" t="s">
        <v>159</v>
      </c>
      <c r="F3873">
        <v>2025</v>
      </c>
      <c r="G3873" t="s">
        <v>252</v>
      </c>
      <c r="H3873" s="42" t="s">
        <v>837</v>
      </c>
      <c r="L3873" s="34">
        <v>4</v>
      </c>
      <c r="M3873" s="40">
        <v>0.75</v>
      </c>
      <c r="N3873" s="40">
        <f t="shared" si="93"/>
        <v>3</v>
      </c>
    </row>
    <row r="3874" spans="1:14">
      <c r="A3874" s="29">
        <v>46084</v>
      </c>
      <c r="B3874" s="22" t="s">
        <v>81</v>
      </c>
      <c r="C3874" s="22"/>
      <c r="D3874" s="48" t="s">
        <v>5</v>
      </c>
      <c r="E3874" t="s">
        <v>163</v>
      </c>
      <c r="F3874">
        <v>2025</v>
      </c>
      <c r="G3874" t="s">
        <v>1717</v>
      </c>
      <c r="H3874" s="42" t="s">
        <v>796</v>
      </c>
      <c r="L3874" s="34">
        <v>4</v>
      </c>
      <c r="M3874" s="40">
        <v>0.75</v>
      </c>
      <c r="N3874" s="40">
        <f t="shared" si="93"/>
        <v>3</v>
      </c>
    </row>
    <row r="3875" spans="1:14">
      <c r="A3875" s="29">
        <v>46084</v>
      </c>
      <c r="B3875" s="22" t="s">
        <v>57</v>
      </c>
      <c r="C3875" s="22" t="s">
        <v>59</v>
      </c>
      <c r="D3875" s="48" t="s">
        <v>8</v>
      </c>
      <c r="E3875" t="s">
        <v>1086</v>
      </c>
      <c r="F3875">
        <v>2025</v>
      </c>
      <c r="G3875" t="s">
        <v>1718</v>
      </c>
      <c r="H3875" s="42" t="s">
        <v>812</v>
      </c>
      <c r="L3875" s="34">
        <v>2</v>
      </c>
      <c r="M3875" s="40">
        <v>0.75</v>
      </c>
      <c r="N3875" s="40">
        <f t="shared" si="93"/>
        <v>1.5</v>
      </c>
    </row>
    <row r="3876" spans="1:14">
      <c r="A3876" s="29">
        <v>46085</v>
      </c>
      <c r="B3876" s="22" t="s">
        <v>3</v>
      </c>
      <c r="C3876" s="22"/>
      <c r="D3876" s="48" t="s">
        <v>8</v>
      </c>
      <c r="E3876" t="s">
        <v>57</v>
      </c>
      <c r="F3876">
        <v>2025</v>
      </c>
      <c r="G3876" t="s">
        <v>703</v>
      </c>
      <c r="H3876" s="42" t="s">
        <v>57</v>
      </c>
      <c r="K3876" t="s">
        <v>1719</v>
      </c>
      <c r="L3876" s="34">
        <v>2</v>
      </c>
      <c r="M3876" s="40">
        <v>0.75</v>
      </c>
      <c r="N3876" s="40">
        <f t="shared" si="93"/>
        <v>1.5</v>
      </c>
    </row>
    <row r="3877" spans="1:14">
      <c r="A3877" s="29">
        <v>46085</v>
      </c>
      <c r="B3877" s="22" t="s">
        <v>3</v>
      </c>
      <c r="C3877" s="22"/>
      <c r="D3877" s="48" t="s">
        <v>8</v>
      </c>
      <c r="E3877" t="s">
        <v>57</v>
      </c>
      <c r="F3877">
        <v>2025</v>
      </c>
      <c r="G3877" t="s">
        <v>1720</v>
      </c>
      <c r="H3877" s="42" t="s">
        <v>57</v>
      </c>
      <c r="K3877" t="s">
        <v>1721</v>
      </c>
      <c r="L3877" s="34">
        <v>2</v>
      </c>
      <c r="M3877" s="40">
        <v>0.75</v>
      </c>
      <c r="N3877" s="40">
        <f t="shared" si="93"/>
        <v>1.5</v>
      </c>
    </row>
    <row r="3878" spans="1:14">
      <c r="A3878" s="29">
        <v>46085</v>
      </c>
      <c r="B3878" s="22" t="s">
        <v>3</v>
      </c>
      <c r="C3878" s="22"/>
      <c r="D3878" s="48" t="s">
        <v>8</v>
      </c>
      <c r="E3878" t="s">
        <v>57</v>
      </c>
      <c r="F3878">
        <v>2025</v>
      </c>
      <c r="G3878" t="s">
        <v>708</v>
      </c>
      <c r="H3878" s="42" t="s">
        <v>57</v>
      </c>
      <c r="K3878" t="s">
        <v>1722</v>
      </c>
      <c r="L3878" s="34">
        <v>2</v>
      </c>
      <c r="M3878" s="40">
        <v>0.75</v>
      </c>
      <c r="N3878" s="40">
        <f t="shared" si="93"/>
        <v>1.5</v>
      </c>
    </row>
    <row r="3879" spans="1:14">
      <c r="A3879" s="29">
        <v>46085</v>
      </c>
      <c r="B3879" s="22" t="s">
        <v>75</v>
      </c>
      <c r="C3879" s="22" t="s">
        <v>151</v>
      </c>
      <c r="D3879" s="48" t="s">
        <v>8</v>
      </c>
      <c r="E3879" t="s">
        <v>57</v>
      </c>
      <c r="F3879">
        <v>2025</v>
      </c>
      <c r="G3879" t="s">
        <v>357</v>
      </c>
      <c r="H3879" s="42" t="s">
        <v>57</v>
      </c>
      <c r="K3879" t="s">
        <v>1723</v>
      </c>
      <c r="L3879" s="34">
        <v>2</v>
      </c>
      <c r="M3879" s="40">
        <v>0.75</v>
      </c>
      <c r="N3879" s="40">
        <f t="shared" si="93"/>
        <v>1.5</v>
      </c>
    </row>
    <row r="3880" spans="1:14">
      <c r="A3880" s="29">
        <v>46085</v>
      </c>
      <c r="B3880" s="22" t="s">
        <v>75</v>
      </c>
      <c r="C3880" s="22" t="s">
        <v>152</v>
      </c>
      <c r="D3880" s="48" t="s">
        <v>1724</v>
      </c>
      <c r="E3880" t="s">
        <v>57</v>
      </c>
      <c r="F3880">
        <v>2025</v>
      </c>
      <c r="G3880" t="s">
        <v>359</v>
      </c>
      <c r="H3880" s="42" t="s">
        <v>57</v>
      </c>
      <c r="K3880" t="s">
        <v>1725</v>
      </c>
      <c r="L3880" s="34">
        <v>2</v>
      </c>
      <c r="M3880" s="40">
        <v>0.75</v>
      </c>
      <c r="N3880" s="40">
        <f t="shared" si="93"/>
        <v>1.5</v>
      </c>
    </row>
    <row r="3881" spans="1:14">
      <c r="A3881" s="29">
        <v>46085</v>
      </c>
      <c r="B3881" s="22" t="s">
        <v>75</v>
      </c>
      <c r="C3881" s="22" t="s">
        <v>151</v>
      </c>
      <c r="D3881" s="48" t="s">
        <v>8</v>
      </c>
      <c r="E3881" t="s">
        <v>57</v>
      </c>
      <c r="F3881">
        <v>2025</v>
      </c>
      <c r="G3881" t="s">
        <v>263</v>
      </c>
      <c r="H3881" s="42" t="s">
        <v>57</v>
      </c>
      <c r="K3881" t="s">
        <v>1726</v>
      </c>
      <c r="L3881" s="34">
        <v>2</v>
      </c>
      <c r="M3881" s="40">
        <v>0.75</v>
      </c>
      <c r="N3881" s="40">
        <f t="shared" si="93"/>
        <v>1.5</v>
      </c>
    </row>
    <row r="3882" spans="1:14">
      <c r="A3882" s="29">
        <v>46085</v>
      </c>
      <c r="B3882" s="22" t="s">
        <v>16</v>
      </c>
      <c r="C3882" s="22" t="s">
        <v>49</v>
      </c>
      <c r="D3882" s="48" t="s">
        <v>14</v>
      </c>
      <c r="E3882" t="s">
        <v>57</v>
      </c>
      <c r="F3882">
        <v>2025</v>
      </c>
      <c r="G3882" t="s">
        <v>57</v>
      </c>
      <c r="H3882" s="42" t="s">
        <v>1649</v>
      </c>
      <c r="L3882" s="34">
        <v>6</v>
      </c>
      <c r="M3882" s="40">
        <v>0.75</v>
      </c>
      <c r="N3882" s="40">
        <f t="shared" si="93"/>
        <v>4.5</v>
      </c>
    </row>
    <row r="3883" spans="1:14">
      <c r="A3883" s="29">
        <v>46085</v>
      </c>
      <c r="B3883" s="22" t="s">
        <v>16</v>
      </c>
      <c r="C3883" s="22" t="s">
        <v>49</v>
      </c>
      <c r="D3883" s="48" t="s">
        <v>1727</v>
      </c>
      <c r="E3883" t="s">
        <v>166</v>
      </c>
      <c r="F3883">
        <v>2025</v>
      </c>
      <c r="G3883" t="s">
        <v>57</v>
      </c>
      <c r="H3883" s="42" t="s">
        <v>1129</v>
      </c>
      <c r="L3883" s="34">
        <v>4</v>
      </c>
      <c r="M3883" s="40">
        <v>0.75</v>
      </c>
      <c r="N3883" s="40">
        <f t="shared" si="93"/>
        <v>3</v>
      </c>
    </row>
    <row r="3884" spans="1:14">
      <c r="A3884" s="29">
        <v>46092</v>
      </c>
      <c r="B3884" s="22" t="s">
        <v>3</v>
      </c>
      <c r="C3884" s="22"/>
      <c r="D3884" s="48" t="s">
        <v>1724</v>
      </c>
      <c r="E3884" t="s">
        <v>57</v>
      </c>
      <c r="F3884">
        <v>2025</v>
      </c>
      <c r="G3884" t="s">
        <v>57</v>
      </c>
      <c r="H3884" s="42" t="s">
        <v>57</v>
      </c>
      <c r="K3884" t="s">
        <v>1728</v>
      </c>
      <c r="L3884" s="34">
        <v>2</v>
      </c>
      <c r="M3884" s="40">
        <v>0.75</v>
      </c>
      <c r="N3884" s="40">
        <f t="shared" si="93"/>
        <v>1.5</v>
      </c>
    </row>
    <row r="3885" spans="1:14">
      <c r="A3885" s="29">
        <v>46092</v>
      </c>
      <c r="B3885" s="22" t="s">
        <v>3</v>
      </c>
      <c r="C3885" s="22"/>
      <c r="D3885" s="48" t="s">
        <v>1724</v>
      </c>
      <c r="E3885" t="s">
        <v>57</v>
      </c>
      <c r="F3885">
        <v>2025</v>
      </c>
      <c r="G3885" t="s">
        <v>57</v>
      </c>
      <c r="H3885" s="42" t="s">
        <v>57</v>
      </c>
      <c r="K3885" t="s">
        <v>1729</v>
      </c>
      <c r="L3885" s="34">
        <v>2</v>
      </c>
      <c r="M3885" s="40">
        <v>0.75</v>
      </c>
      <c r="N3885" s="40">
        <f t="shared" si="93"/>
        <v>1.5</v>
      </c>
    </row>
    <row r="3886" spans="1:14">
      <c r="A3886" s="29">
        <v>46092</v>
      </c>
      <c r="B3886" s="22" t="s">
        <v>3</v>
      </c>
      <c r="C3886" s="22"/>
      <c r="D3886" s="48" t="s">
        <v>1724</v>
      </c>
      <c r="E3886" t="s">
        <v>57</v>
      </c>
      <c r="F3886">
        <v>2025</v>
      </c>
      <c r="G3886" t="s">
        <v>57</v>
      </c>
      <c r="H3886" s="42" t="s">
        <v>57</v>
      </c>
      <c r="K3886" t="s">
        <v>1726</v>
      </c>
      <c r="L3886" s="34">
        <v>2</v>
      </c>
      <c r="M3886" s="40">
        <v>0.75</v>
      </c>
      <c r="N3886" s="40">
        <f t="shared" si="93"/>
        <v>1.5</v>
      </c>
    </row>
    <row r="3887" spans="1:14">
      <c r="A3887" s="29">
        <v>46092</v>
      </c>
      <c r="B3887" s="22" t="s">
        <v>63</v>
      </c>
      <c r="C3887" s="22"/>
      <c r="D3887" s="48" t="s">
        <v>1727</v>
      </c>
      <c r="E3887" t="s">
        <v>159</v>
      </c>
      <c r="F3887">
        <v>2025</v>
      </c>
      <c r="G3887" t="s">
        <v>1310</v>
      </c>
      <c r="H3887" s="42" t="s">
        <v>779</v>
      </c>
      <c r="L3887" s="34">
        <v>2</v>
      </c>
      <c r="M3887" s="40">
        <v>0.75</v>
      </c>
      <c r="N3887" s="40">
        <f t="shared" si="93"/>
        <v>1.5</v>
      </c>
    </row>
    <row r="3888" spans="1:14">
      <c r="A3888" s="29">
        <v>46098</v>
      </c>
      <c r="B3888" s="22" t="s">
        <v>35</v>
      </c>
      <c r="C3888" s="22"/>
      <c r="D3888" s="48" t="s">
        <v>8</v>
      </c>
      <c r="E3888" t="s">
        <v>1730</v>
      </c>
      <c r="F3888">
        <v>2025</v>
      </c>
      <c r="G3888" t="s">
        <v>57</v>
      </c>
      <c r="H3888" s="42" t="s">
        <v>1485</v>
      </c>
      <c r="L3888" s="34">
        <v>1</v>
      </c>
      <c r="M3888" s="40">
        <v>0.75</v>
      </c>
      <c r="N3888" s="40">
        <f t="shared" si="93"/>
        <v>0.75</v>
      </c>
    </row>
    <row r="3889" spans="1:14">
      <c r="A3889" s="29">
        <v>46098</v>
      </c>
      <c r="B3889" s="22" t="s">
        <v>35</v>
      </c>
      <c r="C3889" s="22"/>
      <c r="D3889" s="48" t="s">
        <v>8</v>
      </c>
      <c r="E3889" t="s">
        <v>1731</v>
      </c>
      <c r="F3889">
        <v>2025</v>
      </c>
      <c r="G3889" t="s">
        <v>57</v>
      </c>
      <c r="H3889" s="42" t="s">
        <v>1389</v>
      </c>
      <c r="L3889" s="34">
        <v>1</v>
      </c>
      <c r="M3889" s="40">
        <v>0.75</v>
      </c>
      <c r="N3889" s="40">
        <f t="shared" si="93"/>
        <v>0.75</v>
      </c>
    </row>
    <row r="3890" spans="1:14">
      <c r="A3890" s="29">
        <v>46098</v>
      </c>
      <c r="B3890" s="22" t="s">
        <v>35</v>
      </c>
      <c r="C3890" s="22"/>
      <c r="D3890" s="48" t="s">
        <v>8</v>
      </c>
      <c r="E3890" t="s">
        <v>1732</v>
      </c>
      <c r="F3890">
        <v>2025</v>
      </c>
      <c r="G3890" t="s">
        <v>57</v>
      </c>
      <c r="H3890" s="42" t="s">
        <v>57</v>
      </c>
      <c r="K3890" t="s">
        <v>1733</v>
      </c>
      <c r="L3890" s="34">
        <v>1</v>
      </c>
      <c r="M3890" s="40">
        <v>0.75</v>
      </c>
      <c r="N3890" s="40">
        <f t="shared" si="93"/>
        <v>0.75</v>
      </c>
    </row>
    <row r="3891" spans="1:14">
      <c r="A3891" s="29">
        <v>46098</v>
      </c>
      <c r="B3891" s="22" t="s">
        <v>35</v>
      </c>
      <c r="C3891" s="22"/>
      <c r="D3891" s="48" t="s">
        <v>8</v>
      </c>
      <c r="E3891" t="s">
        <v>178</v>
      </c>
      <c r="F3891">
        <v>2025</v>
      </c>
      <c r="G3891" t="s">
        <v>57</v>
      </c>
      <c r="H3891" s="42" t="s">
        <v>1399</v>
      </c>
      <c r="L3891" s="34">
        <v>1</v>
      </c>
      <c r="M3891" s="40">
        <v>0.75</v>
      </c>
      <c r="N3891" s="40">
        <f t="shared" si="93"/>
        <v>0.75</v>
      </c>
    </row>
    <row r="3892" spans="1:14">
      <c r="A3892" s="29">
        <v>46098</v>
      </c>
      <c r="B3892" s="22" t="s">
        <v>35</v>
      </c>
      <c r="C3892" s="22"/>
      <c r="D3892" s="48" t="s">
        <v>8</v>
      </c>
      <c r="E3892" t="s">
        <v>180</v>
      </c>
      <c r="F3892">
        <v>2025</v>
      </c>
      <c r="G3892" t="s">
        <v>57</v>
      </c>
      <c r="H3892" s="42" t="s">
        <v>1216</v>
      </c>
      <c r="L3892" s="34">
        <v>1</v>
      </c>
      <c r="M3892" s="40">
        <v>0.75</v>
      </c>
      <c r="N3892" s="40">
        <f t="shared" si="93"/>
        <v>0.75</v>
      </c>
    </row>
    <row r="3893" spans="1:14">
      <c r="A3893" s="29">
        <v>46098</v>
      </c>
      <c r="B3893" s="22" t="s">
        <v>35</v>
      </c>
      <c r="C3893" s="22"/>
      <c r="D3893" s="48" t="s">
        <v>8</v>
      </c>
      <c r="E3893" t="s">
        <v>179</v>
      </c>
      <c r="F3893">
        <v>2025</v>
      </c>
      <c r="G3893" t="s">
        <v>57</v>
      </c>
      <c r="H3893" s="42" t="s">
        <v>1304</v>
      </c>
      <c r="L3893" s="34">
        <v>1</v>
      </c>
      <c r="M3893" s="40">
        <v>0.75</v>
      </c>
      <c r="N3893" s="40">
        <f t="shared" si="93"/>
        <v>0.75</v>
      </c>
    </row>
    <row r="3894" spans="1:14">
      <c r="A3894" s="29">
        <v>46099</v>
      </c>
      <c r="B3894" s="22" t="s">
        <v>35</v>
      </c>
      <c r="C3894" s="22"/>
      <c r="D3894" s="48" t="s">
        <v>5</v>
      </c>
      <c r="E3894" t="s">
        <v>1734</v>
      </c>
      <c r="F3894">
        <v>2025</v>
      </c>
      <c r="G3894" t="s">
        <v>1735</v>
      </c>
      <c r="H3894" s="42" t="s">
        <v>57</v>
      </c>
      <c r="K3894" t="s">
        <v>1736</v>
      </c>
      <c r="L3894" s="34">
        <v>1</v>
      </c>
      <c r="M3894" s="40">
        <v>0.75</v>
      </c>
      <c r="N3894" s="40">
        <f t="shared" si="93"/>
        <v>0.75</v>
      </c>
    </row>
    <row r="3895" spans="1:14">
      <c r="A3895" s="29">
        <v>46099</v>
      </c>
      <c r="B3895" s="22" t="s">
        <v>35</v>
      </c>
      <c r="C3895" s="22"/>
      <c r="D3895" s="48" t="s">
        <v>5</v>
      </c>
      <c r="E3895" t="s">
        <v>1734</v>
      </c>
      <c r="F3895">
        <v>2025</v>
      </c>
      <c r="G3895" t="s">
        <v>1735</v>
      </c>
      <c r="H3895" s="42" t="s">
        <v>57</v>
      </c>
      <c r="K3895" t="s">
        <v>1737</v>
      </c>
      <c r="L3895" s="34">
        <v>1</v>
      </c>
      <c r="M3895" s="40">
        <v>0.75</v>
      </c>
      <c r="N3895" s="40">
        <f t="shared" si="93"/>
        <v>0.75</v>
      </c>
    </row>
    <row r="3896" spans="1:14">
      <c r="A3896" s="29">
        <v>46099</v>
      </c>
      <c r="B3896" s="22" t="s">
        <v>57</v>
      </c>
      <c r="C3896" s="22" t="s">
        <v>59</v>
      </c>
      <c r="D3896" s="48" t="s">
        <v>5</v>
      </c>
      <c r="E3896" t="s">
        <v>57</v>
      </c>
      <c r="F3896">
        <v>2025</v>
      </c>
      <c r="G3896" t="s">
        <v>57</v>
      </c>
      <c r="H3896" s="42" t="s">
        <v>1738</v>
      </c>
      <c r="L3896" s="34">
        <v>1</v>
      </c>
      <c r="M3896" s="40">
        <v>0.75</v>
      </c>
      <c r="N3896" s="40">
        <f t="shared" si="93"/>
        <v>0.75</v>
      </c>
    </row>
    <row r="3897" spans="1:14">
      <c r="A3897" s="29">
        <v>46099</v>
      </c>
      <c r="B3897" s="22" t="s">
        <v>57</v>
      </c>
      <c r="C3897" s="22" t="s">
        <v>59</v>
      </c>
      <c r="D3897" s="48" t="s">
        <v>5</v>
      </c>
      <c r="E3897" t="s">
        <v>57</v>
      </c>
      <c r="F3897">
        <v>2025</v>
      </c>
      <c r="G3897" t="s">
        <v>57</v>
      </c>
      <c r="H3897" s="42" t="s">
        <v>1239</v>
      </c>
      <c r="L3897" s="34">
        <v>1</v>
      </c>
      <c r="M3897" s="40">
        <v>0.75</v>
      </c>
      <c r="N3897" s="40">
        <f t="shared" si="93"/>
        <v>0.75</v>
      </c>
    </row>
    <row r="3898" spans="1:14">
      <c r="A3898" s="29">
        <v>46099</v>
      </c>
      <c r="B3898" s="22" t="s">
        <v>57</v>
      </c>
      <c r="C3898" s="22" t="s">
        <v>59</v>
      </c>
      <c r="D3898" s="48" t="s">
        <v>5</v>
      </c>
      <c r="E3898" t="s">
        <v>57</v>
      </c>
      <c r="F3898">
        <v>2025</v>
      </c>
      <c r="G3898" t="s">
        <v>57</v>
      </c>
      <c r="H3898" s="42" t="s">
        <v>1449</v>
      </c>
      <c r="K3898" t="s">
        <v>1739</v>
      </c>
      <c r="L3898" s="34">
        <v>1</v>
      </c>
      <c r="M3898" s="40">
        <v>0.75</v>
      </c>
      <c r="N3898" s="40">
        <f t="shared" si="93"/>
        <v>0.75</v>
      </c>
    </row>
    <row r="3899" spans="1:14">
      <c r="A3899" s="29">
        <v>46099</v>
      </c>
      <c r="B3899" s="22" t="s">
        <v>57</v>
      </c>
      <c r="C3899" s="22" t="s">
        <v>59</v>
      </c>
      <c r="D3899" s="48" t="s">
        <v>8</v>
      </c>
      <c r="E3899" t="s">
        <v>57</v>
      </c>
      <c r="F3899">
        <v>2025</v>
      </c>
      <c r="G3899" t="s">
        <v>57</v>
      </c>
      <c r="H3899" s="42" t="s">
        <v>1449</v>
      </c>
      <c r="K3899" t="s">
        <v>1740</v>
      </c>
      <c r="L3899" s="34">
        <v>1</v>
      </c>
      <c r="M3899" s="40">
        <v>0.75</v>
      </c>
      <c r="N3899" s="40">
        <f t="shared" si="93"/>
        <v>0.75</v>
      </c>
    </row>
    <row r="3900" spans="1:14">
      <c r="A3900" s="29">
        <v>46099</v>
      </c>
      <c r="B3900" s="22" t="s">
        <v>57</v>
      </c>
      <c r="C3900" s="22" t="s">
        <v>59</v>
      </c>
      <c r="D3900" s="48" t="s">
        <v>8</v>
      </c>
      <c r="E3900" t="s">
        <v>57</v>
      </c>
      <c r="F3900">
        <v>2025</v>
      </c>
      <c r="G3900" t="s">
        <v>57</v>
      </c>
      <c r="H3900" s="42" t="s">
        <v>1449</v>
      </c>
      <c r="K3900" t="s">
        <v>1741</v>
      </c>
      <c r="L3900" s="34">
        <v>1</v>
      </c>
      <c r="M3900" s="40">
        <v>0.75</v>
      </c>
      <c r="N3900" s="40">
        <f t="shared" si="93"/>
        <v>0.75</v>
      </c>
    </row>
    <row r="3901" spans="1:14">
      <c r="A3901" s="29">
        <v>46099</v>
      </c>
      <c r="B3901" s="22" t="s">
        <v>57</v>
      </c>
      <c r="C3901" s="22" t="s">
        <v>59</v>
      </c>
      <c r="D3901" s="48" t="s">
        <v>8</v>
      </c>
      <c r="E3901" t="s">
        <v>57</v>
      </c>
      <c r="F3901">
        <v>2025</v>
      </c>
      <c r="G3901" t="s">
        <v>57</v>
      </c>
      <c r="H3901" s="42" t="s">
        <v>1449</v>
      </c>
      <c r="K3901" t="s">
        <v>1742</v>
      </c>
      <c r="L3901" s="34">
        <v>1</v>
      </c>
      <c r="M3901" s="40">
        <v>0.75</v>
      </c>
      <c r="N3901" s="40">
        <f t="shared" si="93"/>
        <v>0.75</v>
      </c>
    </row>
    <row r="3902" spans="1:14">
      <c r="A3902" s="29">
        <v>46100</v>
      </c>
      <c r="B3902" s="22" t="s">
        <v>63</v>
      </c>
      <c r="C3902" s="22" t="s">
        <v>57</v>
      </c>
      <c r="D3902" s="48" t="s">
        <v>8</v>
      </c>
      <c r="E3902" t="s">
        <v>192</v>
      </c>
      <c r="F3902">
        <v>2025</v>
      </c>
      <c r="G3902" t="s">
        <v>57</v>
      </c>
      <c r="H3902" s="42" t="s">
        <v>1399</v>
      </c>
      <c r="L3902" s="34">
        <v>2</v>
      </c>
      <c r="M3902" s="40">
        <v>0.75</v>
      </c>
      <c r="N3902" s="40">
        <f t="shared" si="93"/>
        <v>1.5</v>
      </c>
    </row>
    <row r="3903" spans="1:14">
      <c r="A3903" s="29">
        <v>46100</v>
      </c>
      <c r="B3903" s="22" t="s">
        <v>63</v>
      </c>
      <c r="C3903" s="22" t="s">
        <v>57</v>
      </c>
      <c r="D3903" s="48" t="s">
        <v>8</v>
      </c>
      <c r="E3903" t="s">
        <v>182</v>
      </c>
      <c r="F3903">
        <v>2025</v>
      </c>
      <c r="G3903" t="s">
        <v>57</v>
      </c>
      <c r="H3903" s="42" t="s">
        <v>1449</v>
      </c>
      <c r="K3903" t="s">
        <v>1743</v>
      </c>
      <c r="L3903" s="34">
        <v>2</v>
      </c>
      <c r="M3903" s="40">
        <v>0.75</v>
      </c>
      <c r="N3903" s="40">
        <f t="shared" si="93"/>
        <v>1.5</v>
      </c>
    </row>
    <row r="3904" spans="1:14">
      <c r="A3904" s="29">
        <v>46101</v>
      </c>
      <c r="B3904" s="22" t="s">
        <v>63</v>
      </c>
      <c r="C3904" s="22" t="s">
        <v>57</v>
      </c>
      <c r="D3904" s="48" t="s">
        <v>5</v>
      </c>
      <c r="E3904" t="s">
        <v>1528</v>
      </c>
      <c r="F3904">
        <v>2025</v>
      </c>
      <c r="G3904" t="s">
        <v>57</v>
      </c>
      <c r="H3904" s="42" t="s">
        <v>1504</v>
      </c>
      <c r="L3904" s="34">
        <v>2</v>
      </c>
      <c r="M3904" s="40">
        <v>0.75</v>
      </c>
      <c r="N3904" s="40">
        <f t="shared" si="93"/>
        <v>1.5</v>
      </c>
    </row>
    <row r="3905" spans="1:14">
      <c r="A3905" s="29">
        <v>46101</v>
      </c>
      <c r="B3905" s="22" t="s">
        <v>63</v>
      </c>
      <c r="C3905" s="22" t="s">
        <v>57</v>
      </c>
      <c r="D3905" s="48" t="s">
        <v>5</v>
      </c>
      <c r="E3905" t="s">
        <v>262</v>
      </c>
      <c r="F3905">
        <v>2025</v>
      </c>
      <c r="G3905" t="s">
        <v>57</v>
      </c>
      <c r="H3905" s="42" t="s">
        <v>1378</v>
      </c>
      <c r="L3905" s="34">
        <v>2</v>
      </c>
      <c r="M3905" s="40">
        <v>0.75</v>
      </c>
      <c r="N3905" s="40">
        <f t="shared" si="93"/>
        <v>1.5</v>
      </c>
    </row>
    <row r="3906" spans="1:14">
      <c r="A3906" s="29">
        <v>46101</v>
      </c>
      <c r="B3906" s="22" t="s">
        <v>16</v>
      </c>
      <c r="C3906" s="22" t="s">
        <v>49</v>
      </c>
      <c r="D3906" s="48" t="s">
        <v>8</v>
      </c>
      <c r="E3906" t="s">
        <v>192</v>
      </c>
      <c r="F3906">
        <v>2025</v>
      </c>
      <c r="G3906" t="s">
        <v>57</v>
      </c>
      <c r="H3906" s="42" t="s">
        <v>1399</v>
      </c>
      <c r="L3906" s="34">
        <v>3</v>
      </c>
      <c r="M3906" s="40">
        <v>0.75</v>
      </c>
      <c r="N3906" s="40">
        <f t="shared" si="93"/>
        <v>2.25</v>
      </c>
    </row>
    <row r="3907" spans="1:14">
      <c r="A3907" s="29">
        <v>46101</v>
      </c>
      <c r="B3907" s="22" t="s">
        <v>16</v>
      </c>
      <c r="C3907" s="22" t="s">
        <v>49</v>
      </c>
      <c r="D3907" s="48" t="s">
        <v>8</v>
      </c>
      <c r="E3907" t="s">
        <v>182</v>
      </c>
      <c r="F3907">
        <v>2025</v>
      </c>
      <c r="G3907" t="s">
        <v>57</v>
      </c>
      <c r="H3907" s="42" t="s">
        <v>1449</v>
      </c>
      <c r="K3907" t="s">
        <v>1743</v>
      </c>
      <c r="L3907" s="34">
        <v>3</v>
      </c>
      <c r="M3907" s="40">
        <v>0.75</v>
      </c>
      <c r="N3907" s="40">
        <f t="shared" si="93"/>
        <v>2.25</v>
      </c>
    </row>
    <row r="3908" spans="1:14">
      <c r="A3908" s="29">
        <v>46121</v>
      </c>
      <c r="B3908" s="22" t="s">
        <v>57</v>
      </c>
      <c r="C3908" s="22" t="s">
        <v>49</v>
      </c>
      <c r="D3908" s="48" t="s">
        <v>5</v>
      </c>
      <c r="E3908" t="s">
        <v>14</v>
      </c>
      <c r="F3908">
        <v>2025</v>
      </c>
      <c r="G3908" t="s">
        <v>57</v>
      </c>
      <c r="H3908" s="42" t="s">
        <v>1701</v>
      </c>
      <c r="K3908" t="s">
        <v>1744</v>
      </c>
      <c r="L3908" s="34">
        <v>3</v>
      </c>
      <c r="M3908" s="40">
        <v>0.75</v>
      </c>
      <c r="N3908" s="40">
        <f t="shared" si="93"/>
        <v>2.25</v>
      </c>
    </row>
    <row r="3909" spans="1:14">
      <c r="A3909" s="29">
        <v>46121</v>
      </c>
      <c r="B3909" s="22" t="s">
        <v>57</v>
      </c>
      <c r="C3909" s="22" t="s">
        <v>49</v>
      </c>
      <c r="D3909" s="48" t="s">
        <v>5</v>
      </c>
      <c r="E3909" t="s">
        <v>57</v>
      </c>
      <c r="F3909">
        <v>2025</v>
      </c>
      <c r="G3909" t="s">
        <v>1745</v>
      </c>
      <c r="H3909" s="42" t="s">
        <v>1449</v>
      </c>
      <c r="K3909" t="s">
        <v>1746</v>
      </c>
      <c r="L3909" s="34">
        <v>3</v>
      </c>
      <c r="M3909" s="40">
        <v>0.75</v>
      </c>
      <c r="N3909" s="40">
        <f t="shared" ref="N3909" si="94">IF(M3909="","",M3909*L3909)</f>
        <v>2.25</v>
      </c>
    </row>
    <row r="3910" spans="1:14">
      <c r="A3910" s="29">
        <v>46121</v>
      </c>
      <c r="B3910" s="22" t="s">
        <v>57</v>
      </c>
      <c r="C3910" s="22" t="s">
        <v>49</v>
      </c>
      <c r="D3910" s="48" t="s">
        <v>8</v>
      </c>
      <c r="E3910" t="s">
        <v>178</v>
      </c>
      <c r="F3910">
        <v>2025</v>
      </c>
      <c r="G3910" t="s">
        <v>57</v>
      </c>
      <c r="H3910" s="42" t="s">
        <v>1217</v>
      </c>
      <c r="L3910" s="34">
        <v>3</v>
      </c>
      <c r="M3910" s="40">
        <v>0.75</v>
      </c>
      <c r="N3910" s="40">
        <f t="shared" si="93"/>
        <v>2.25</v>
      </c>
    </row>
    <row r="3911" spans="1:14">
      <c r="A3911" s="29">
        <v>46121</v>
      </c>
      <c r="B3911" s="22" t="s">
        <v>57</v>
      </c>
      <c r="C3911" s="22" t="s">
        <v>49</v>
      </c>
      <c r="D3911" s="48" t="s">
        <v>8</v>
      </c>
      <c r="E3911" t="s">
        <v>182</v>
      </c>
      <c r="F3911">
        <v>2025</v>
      </c>
      <c r="G3911" t="s">
        <v>57</v>
      </c>
      <c r="H3911" s="42" t="s">
        <v>1510</v>
      </c>
      <c r="L3911" s="34">
        <v>3</v>
      </c>
      <c r="M3911" s="40">
        <v>0.75</v>
      </c>
      <c r="N3911" s="40">
        <f t="shared" si="93"/>
        <v>2.25</v>
      </c>
    </row>
    <row r="3912" spans="1:14">
      <c r="A3912" s="29">
        <v>46121</v>
      </c>
      <c r="B3912" s="22" t="s">
        <v>57</v>
      </c>
      <c r="C3912" s="22" t="s">
        <v>49</v>
      </c>
      <c r="D3912" s="48" t="s">
        <v>8</v>
      </c>
      <c r="E3912" t="s">
        <v>57</v>
      </c>
      <c r="F3912">
        <v>2025</v>
      </c>
      <c r="G3912" t="s">
        <v>1747</v>
      </c>
      <c r="H3912" s="42" t="s">
        <v>1449</v>
      </c>
      <c r="K3912" t="s">
        <v>1748</v>
      </c>
      <c r="L3912" s="34">
        <v>3</v>
      </c>
      <c r="M3912" s="40">
        <v>0.75</v>
      </c>
      <c r="N3912" s="40">
        <f t="shared" si="93"/>
        <v>2.25</v>
      </c>
    </row>
    <row r="3913" spans="1:14">
      <c r="A3913" s="29">
        <v>46121</v>
      </c>
      <c r="B3913" s="22" t="s">
        <v>57</v>
      </c>
      <c r="C3913" s="22" t="s">
        <v>49</v>
      </c>
      <c r="D3913" s="48" t="s">
        <v>8</v>
      </c>
      <c r="E3913" t="s">
        <v>57</v>
      </c>
      <c r="F3913">
        <v>2025</v>
      </c>
      <c r="G3913" t="s">
        <v>1749</v>
      </c>
      <c r="H3913" s="42" t="s">
        <v>1449</v>
      </c>
      <c r="K3913" t="s">
        <v>1750</v>
      </c>
      <c r="L3913" s="34">
        <v>3</v>
      </c>
      <c r="M3913" s="40">
        <v>0.75</v>
      </c>
      <c r="N3913" s="40">
        <f t="shared" si="93"/>
        <v>2.25</v>
      </c>
    </row>
    <row r="3914" spans="1:14">
      <c r="A3914" s="29">
        <v>46139</v>
      </c>
      <c r="B3914" s="22" t="s">
        <v>16</v>
      </c>
      <c r="C3914" s="22" t="s">
        <v>49</v>
      </c>
      <c r="D3914" s="48" t="s">
        <v>5</v>
      </c>
      <c r="E3914" t="s">
        <v>158</v>
      </c>
      <c r="F3914">
        <v>2025</v>
      </c>
      <c r="H3914" s="42" t="s">
        <v>1489</v>
      </c>
      <c r="L3914" s="34">
        <v>3</v>
      </c>
      <c r="M3914" s="40">
        <v>0.75</v>
      </c>
      <c r="N3914" s="40">
        <f t="shared" si="93"/>
        <v>2.25</v>
      </c>
    </row>
    <row r="3915" spans="1:14">
      <c r="A3915" s="29">
        <v>46139</v>
      </c>
      <c r="B3915" s="22" t="s">
        <v>16</v>
      </c>
      <c r="C3915" s="22" t="s">
        <v>49</v>
      </c>
      <c r="D3915" s="48" t="s">
        <v>5</v>
      </c>
      <c r="E3915" t="s">
        <v>1751</v>
      </c>
      <c r="F3915">
        <v>2025</v>
      </c>
      <c r="H3915" s="42" t="s">
        <v>1701</v>
      </c>
      <c r="L3915" s="34">
        <v>3</v>
      </c>
      <c r="M3915" s="40">
        <v>0.75</v>
      </c>
      <c r="N3915" s="40">
        <f t="shared" si="93"/>
        <v>2.25</v>
      </c>
    </row>
    <row r="3916" spans="1:14">
      <c r="A3916" s="29">
        <v>46139</v>
      </c>
      <c r="B3916" s="22" t="s">
        <v>16</v>
      </c>
      <c r="C3916" s="22" t="s">
        <v>49</v>
      </c>
      <c r="D3916" s="48" t="s">
        <v>8</v>
      </c>
      <c r="E3916" t="s">
        <v>178</v>
      </c>
      <c r="F3916">
        <v>2025</v>
      </c>
      <c r="H3916" s="42" t="s">
        <v>1217</v>
      </c>
      <c r="L3916" s="34">
        <v>3</v>
      </c>
      <c r="M3916" s="40">
        <v>0.75</v>
      </c>
      <c r="N3916" s="40">
        <f t="shared" si="93"/>
        <v>2.25</v>
      </c>
    </row>
    <row r="3917" spans="1:14">
      <c r="A3917" s="29">
        <v>46139</v>
      </c>
      <c r="B3917" s="22" t="s">
        <v>16</v>
      </c>
      <c r="C3917" s="22" t="s">
        <v>49</v>
      </c>
      <c r="D3917" s="48" t="s">
        <v>8</v>
      </c>
      <c r="E3917" t="s">
        <v>193</v>
      </c>
      <c r="F3917">
        <v>2025</v>
      </c>
      <c r="H3917" s="42" t="s">
        <v>1510</v>
      </c>
      <c r="L3917" s="34">
        <v>3</v>
      </c>
      <c r="M3917" s="40">
        <v>0.75</v>
      </c>
      <c r="N3917" s="40">
        <f t="shared" si="93"/>
        <v>2.25</v>
      </c>
    </row>
    <row r="3918" spans="1:14">
      <c r="A3918" s="29">
        <v>46139</v>
      </c>
      <c r="B3918" s="22" t="s">
        <v>16</v>
      </c>
      <c r="C3918" s="22" t="s">
        <v>49</v>
      </c>
      <c r="D3918" s="48" t="s">
        <v>1724</v>
      </c>
      <c r="E3918" t="s">
        <v>57</v>
      </c>
      <c r="F3918">
        <v>2025</v>
      </c>
      <c r="G3918" t="s">
        <v>1752</v>
      </c>
      <c r="H3918" s="42" t="s">
        <v>1449</v>
      </c>
      <c r="K3918" t="s">
        <v>1753</v>
      </c>
      <c r="L3918" s="34">
        <v>3</v>
      </c>
      <c r="M3918" s="40">
        <v>0.75</v>
      </c>
      <c r="N3918" s="40">
        <f t="shared" si="93"/>
        <v>2.25</v>
      </c>
    </row>
    <row r="3919" spans="1:14">
      <c r="A3919" s="29">
        <v>46139</v>
      </c>
      <c r="B3919" s="22" t="s">
        <v>16</v>
      </c>
      <c r="C3919" s="22" t="s">
        <v>49</v>
      </c>
      <c r="D3919" s="48" t="s">
        <v>1724</v>
      </c>
      <c r="E3919" t="s">
        <v>1718</v>
      </c>
      <c r="F3919">
        <v>2025</v>
      </c>
      <c r="G3919" t="s">
        <v>1754</v>
      </c>
      <c r="H3919" s="42" t="s">
        <v>1449</v>
      </c>
      <c r="K3919" t="s">
        <v>1755</v>
      </c>
      <c r="L3919" s="34">
        <v>3</v>
      </c>
      <c r="M3919" s="40">
        <v>0.75</v>
      </c>
      <c r="N3919" s="40">
        <f t="shared" si="93"/>
        <v>2.25</v>
      </c>
    </row>
    <row r="3920" spans="1:14">
      <c r="A3920" s="29">
        <v>46140</v>
      </c>
      <c r="B3920" s="22" t="s">
        <v>99</v>
      </c>
      <c r="C3920" s="22" t="s">
        <v>57</v>
      </c>
      <c r="D3920" s="48" t="s">
        <v>5</v>
      </c>
      <c r="E3920" t="s">
        <v>164</v>
      </c>
      <c r="F3920">
        <v>2025</v>
      </c>
      <c r="G3920" t="s">
        <v>1756</v>
      </c>
      <c r="H3920" s="42" t="s">
        <v>1305</v>
      </c>
      <c r="L3920" s="34">
        <v>2</v>
      </c>
      <c r="M3920" s="40">
        <v>0.75</v>
      </c>
      <c r="N3920" s="40">
        <f t="shared" si="93"/>
        <v>1.5</v>
      </c>
    </row>
    <row r="3921" spans="1:14">
      <c r="A3921" s="29">
        <v>46140</v>
      </c>
      <c r="B3921" s="22" t="s">
        <v>16</v>
      </c>
      <c r="C3921" s="22" t="s">
        <v>49</v>
      </c>
      <c r="D3921" s="48" t="s">
        <v>5</v>
      </c>
      <c r="E3921" t="s">
        <v>57</v>
      </c>
      <c r="F3921">
        <v>2025</v>
      </c>
      <c r="G3921" t="s">
        <v>393</v>
      </c>
      <c r="H3921" s="42" t="s">
        <v>1449</v>
      </c>
      <c r="L3921" s="34">
        <v>3</v>
      </c>
      <c r="M3921" s="40">
        <v>0.75</v>
      </c>
      <c r="N3921" s="40">
        <f t="shared" si="93"/>
        <v>2.25</v>
      </c>
    </row>
    <row r="3922" spans="1:14">
      <c r="A3922" s="29">
        <v>46141</v>
      </c>
      <c r="B3922" s="22" t="s">
        <v>63</v>
      </c>
      <c r="C3922" s="22" t="s">
        <v>57</v>
      </c>
      <c r="D3922" s="48" t="s">
        <v>8</v>
      </c>
      <c r="E3922" t="s">
        <v>192</v>
      </c>
      <c r="F3922">
        <v>2025</v>
      </c>
      <c r="G3922" t="s">
        <v>1757</v>
      </c>
      <c r="H3922" s="42" t="s">
        <v>1497</v>
      </c>
      <c r="K3922" t="s">
        <v>1758</v>
      </c>
      <c r="L3922" s="34">
        <v>2</v>
      </c>
      <c r="M3922" s="40">
        <v>0.75</v>
      </c>
      <c r="N3922" s="40">
        <f t="shared" si="93"/>
        <v>1.5</v>
      </c>
    </row>
    <row r="3923" spans="1:14">
      <c r="A3923" s="29">
        <v>46141</v>
      </c>
      <c r="B3923" s="22" t="s">
        <v>63</v>
      </c>
      <c r="C3923" s="22" t="s">
        <v>57</v>
      </c>
      <c r="D3923" s="48" t="s">
        <v>11</v>
      </c>
      <c r="E3923" t="s">
        <v>210</v>
      </c>
      <c r="F3923">
        <v>2025</v>
      </c>
      <c r="G3923" t="s">
        <v>1759</v>
      </c>
      <c r="H3923" s="42" t="s">
        <v>1365</v>
      </c>
      <c r="K3923" t="s">
        <v>1760</v>
      </c>
      <c r="L3923" s="34">
        <v>4</v>
      </c>
      <c r="M3923" s="40">
        <v>0.75</v>
      </c>
      <c r="N3923" s="40">
        <f t="shared" si="93"/>
        <v>3</v>
      </c>
    </row>
    <row r="3924" spans="1:14">
      <c r="A3924" s="29">
        <v>46141</v>
      </c>
      <c r="B3924" s="22" t="s">
        <v>63</v>
      </c>
      <c r="C3924" s="22" t="s">
        <v>57</v>
      </c>
      <c r="D3924" s="48" t="s">
        <v>11</v>
      </c>
      <c r="E3924" t="s">
        <v>210</v>
      </c>
      <c r="F3924">
        <v>2025</v>
      </c>
      <c r="G3924" t="s">
        <v>1761</v>
      </c>
      <c r="H3924" s="42" t="s">
        <v>1587</v>
      </c>
      <c r="K3924" t="s">
        <v>1762</v>
      </c>
      <c r="L3924" s="34">
        <v>4</v>
      </c>
      <c r="M3924" s="40">
        <v>0.75</v>
      </c>
      <c r="N3924" s="40">
        <f t="shared" si="93"/>
        <v>3</v>
      </c>
    </row>
    <row r="3925" spans="1:14">
      <c r="A3925" s="29">
        <v>46141</v>
      </c>
      <c r="B3925" s="22" t="s">
        <v>63</v>
      </c>
      <c r="C3925" s="22" t="s">
        <v>57</v>
      </c>
      <c r="D3925" s="48" t="s">
        <v>11</v>
      </c>
      <c r="E3925" t="s">
        <v>210</v>
      </c>
      <c r="F3925" t="s">
        <v>1763</v>
      </c>
      <c r="G3925" t="s">
        <v>1764</v>
      </c>
      <c r="H3925" s="42" t="s">
        <v>1765</v>
      </c>
      <c r="K3925" t="s">
        <v>1766</v>
      </c>
      <c r="L3925" s="34">
        <v>4</v>
      </c>
      <c r="M3925" s="40">
        <v>0.75</v>
      </c>
      <c r="N3925" s="40">
        <f t="shared" si="93"/>
        <v>3</v>
      </c>
    </row>
    <row r="3926" spans="1:14">
      <c r="A3926" s="29">
        <v>46141</v>
      </c>
      <c r="B3926" s="22" t="s">
        <v>6</v>
      </c>
      <c r="C3926" s="22" t="s">
        <v>57</v>
      </c>
      <c r="D3926" s="48" t="s">
        <v>1727</v>
      </c>
      <c r="E3926" t="s">
        <v>164</v>
      </c>
      <c r="F3926">
        <v>2025</v>
      </c>
      <c r="G3926" t="s">
        <v>1583</v>
      </c>
      <c r="H3926" s="42" t="s">
        <v>1305</v>
      </c>
      <c r="L3926" s="34">
        <v>2</v>
      </c>
      <c r="M3926" s="40">
        <v>0.75</v>
      </c>
      <c r="N3926" s="40">
        <f t="shared" si="93"/>
        <v>1.5</v>
      </c>
    </row>
    <row r="3927" spans="1:14">
      <c r="A3927" s="29">
        <v>46142</v>
      </c>
      <c r="B3927" s="22" t="s">
        <v>57</v>
      </c>
      <c r="C3927" s="22" t="s">
        <v>41</v>
      </c>
      <c r="D3927" s="48" t="s">
        <v>11</v>
      </c>
      <c r="E3927" t="s">
        <v>1671</v>
      </c>
      <c r="F3927">
        <v>2025</v>
      </c>
      <c r="G3927" t="s">
        <v>1767</v>
      </c>
      <c r="H3927" s="42" t="s">
        <v>1449</v>
      </c>
      <c r="K3927" t="s">
        <v>1768</v>
      </c>
      <c r="L3927" s="34">
        <v>1</v>
      </c>
      <c r="M3927" s="40">
        <v>0.75</v>
      </c>
      <c r="N3927" s="40">
        <f t="shared" si="93"/>
        <v>0.75</v>
      </c>
    </row>
    <row r="3928" spans="1:14">
      <c r="A3928" s="29">
        <v>46142</v>
      </c>
      <c r="B3928" s="22" t="s">
        <v>57</v>
      </c>
      <c r="C3928" s="22" t="s">
        <v>41</v>
      </c>
      <c r="D3928" s="48" t="s">
        <v>11</v>
      </c>
      <c r="E3928" t="s">
        <v>1671</v>
      </c>
      <c r="F3928">
        <v>2025</v>
      </c>
      <c r="G3928" t="s">
        <v>1769</v>
      </c>
      <c r="H3928" s="42" t="s">
        <v>1449</v>
      </c>
      <c r="K3928" t="s">
        <v>1770</v>
      </c>
      <c r="L3928" s="34">
        <v>1</v>
      </c>
      <c r="M3928" s="40">
        <v>0.75</v>
      </c>
      <c r="N3928" s="40">
        <f t="shared" si="93"/>
        <v>0.75</v>
      </c>
    </row>
    <row r="3929" spans="1:14">
      <c r="A3929" s="29">
        <v>46142</v>
      </c>
      <c r="B3929" s="22" t="s">
        <v>57</v>
      </c>
      <c r="C3929" s="22" t="s">
        <v>41</v>
      </c>
      <c r="D3929" s="48" t="s">
        <v>11</v>
      </c>
      <c r="E3929" t="s">
        <v>190</v>
      </c>
      <c r="F3929">
        <v>2025</v>
      </c>
      <c r="G3929" t="s">
        <v>180</v>
      </c>
      <c r="H3929" s="42" t="s">
        <v>1449</v>
      </c>
      <c r="K3929" t="s">
        <v>1771</v>
      </c>
      <c r="L3929" s="34">
        <v>2</v>
      </c>
      <c r="M3929" s="40">
        <v>0.75</v>
      </c>
      <c r="N3929" s="40">
        <f t="shared" si="93"/>
        <v>1.5</v>
      </c>
    </row>
    <row r="3930" spans="1:14">
      <c r="A3930" s="29">
        <v>46142</v>
      </c>
      <c r="B3930" s="22" t="s">
        <v>57</v>
      </c>
      <c r="C3930" s="22" t="s">
        <v>147</v>
      </c>
      <c r="D3930" s="48" t="s">
        <v>11</v>
      </c>
      <c r="E3930" t="s">
        <v>1772</v>
      </c>
      <c r="F3930">
        <v>2025</v>
      </c>
      <c r="G3930" t="s">
        <v>1773</v>
      </c>
      <c r="H3930" s="42" t="s">
        <v>1774</v>
      </c>
      <c r="L3930" s="34">
        <v>2</v>
      </c>
      <c r="M3930" s="40">
        <v>0.75</v>
      </c>
      <c r="N3930" s="40">
        <f t="shared" si="93"/>
        <v>1.5</v>
      </c>
    </row>
    <row r="3931" spans="1:14">
      <c r="A3931" s="29">
        <v>46154</v>
      </c>
      <c r="B3931" s="22" t="s">
        <v>57</v>
      </c>
      <c r="C3931" s="22" t="s">
        <v>26</v>
      </c>
      <c r="D3931" s="48" t="s">
        <v>8</v>
      </c>
      <c r="E3931" t="s">
        <v>190</v>
      </c>
      <c r="F3931">
        <v>2025</v>
      </c>
      <c r="G3931" t="s">
        <v>1306</v>
      </c>
      <c r="H3931" s="42" t="s">
        <v>1216</v>
      </c>
      <c r="I3931" s="2">
        <v>1250</v>
      </c>
      <c r="L3931" s="34">
        <v>2</v>
      </c>
      <c r="M3931" s="40">
        <v>0.75</v>
      </c>
      <c r="N3931" s="40">
        <f t="shared" si="93"/>
        <v>1.5</v>
      </c>
    </row>
    <row r="3932" spans="1:14">
      <c r="A3932" s="29">
        <v>46154</v>
      </c>
      <c r="B3932" s="22" t="s">
        <v>57</v>
      </c>
      <c r="C3932" s="22" t="s">
        <v>26</v>
      </c>
      <c r="D3932" s="48" t="s">
        <v>8</v>
      </c>
      <c r="E3932" t="s">
        <v>192</v>
      </c>
      <c r="F3932">
        <v>2025</v>
      </c>
      <c r="G3932" t="s">
        <v>1474</v>
      </c>
      <c r="H3932" s="42" t="s">
        <v>1217</v>
      </c>
      <c r="I3932" s="2">
        <v>500</v>
      </c>
      <c r="L3932" s="34">
        <v>2</v>
      </c>
      <c r="M3932" s="40">
        <v>0.75</v>
      </c>
      <c r="N3932" s="40">
        <f t="shared" ref="N3932:N3972" si="95">IF(M3932="","",M3932*L3932)</f>
        <v>1.5</v>
      </c>
    </row>
    <row r="3933" spans="1:14">
      <c r="A3933" s="29">
        <v>46154</v>
      </c>
      <c r="B3933" s="22" t="s">
        <v>57</v>
      </c>
      <c r="C3933" s="22" t="s">
        <v>26</v>
      </c>
      <c r="D3933" s="48" t="s">
        <v>8</v>
      </c>
      <c r="E3933" t="s">
        <v>57</v>
      </c>
      <c r="F3933">
        <v>2025</v>
      </c>
      <c r="G3933" t="s">
        <v>1749</v>
      </c>
      <c r="H3933" s="42" t="s">
        <v>1449</v>
      </c>
      <c r="I3933" s="2">
        <v>1000</v>
      </c>
      <c r="K3933" t="s">
        <v>1775</v>
      </c>
      <c r="L3933" s="34">
        <v>2</v>
      </c>
      <c r="M3933" s="40">
        <v>0.75</v>
      </c>
      <c r="N3933" s="40">
        <f t="shared" si="95"/>
        <v>1.5</v>
      </c>
    </row>
    <row r="3934" spans="1:14">
      <c r="A3934" s="29">
        <v>46154</v>
      </c>
      <c r="B3934" s="22" t="s">
        <v>57</v>
      </c>
      <c r="C3934" s="22" t="s">
        <v>26</v>
      </c>
      <c r="D3934" s="48" t="s">
        <v>8</v>
      </c>
      <c r="E3934" t="s">
        <v>57</v>
      </c>
      <c r="F3934">
        <v>2025</v>
      </c>
      <c r="G3934" t="s">
        <v>1776</v>
      </c>
      <c r="H3934" s="42" t="s">
        <v>1449</v>
      </c>
      <c r="I3934" s="2">
        <v>1750</v>
      </c>
      <c r="K3934" t="s">
        <v>1777</v>
      </c>
      <c r="L3934" s="34">
        <v>2</v>
      </c>
      <c r="M3934" s="40">
        <v>0.75</v>
      </c>
      <c r="N3934" s="40">
        <f t="shared" si="95"/>
        <v>1.5</v>
      </c>
    </row>
    <row r="3935" spans="1:14">
      <c r="A3935" s="29">
        <v>46154</v>
      </c>
      <c r="B3935" s="22" t="s">
        <v>57</v>
      </c>
      <c r="C3935" s="22" t="s">
        <v>26</v>
      </c>
      <c r="D3935" s="48" t="s">
        <v>8</v>
      </c>
      <c r="E3935" t="s">
        <v>57</v>
      </c>
      <c r="F3935">
        <v>2025</v>
      </c>
      <c r="G3935" t="s">
        <v>1778</v>
      </c>
      <c r="H3935" s="42" t="s">
        <v>1449</v>
      </c>
      <c r="I3935" s="2">
        <v>2500</v>
      </c>
      <c r="K3935" t="s">
        <v>1779</v>
      </c>
      <c r="L3935" s="34">
        <v>2</v>
      </c>
      <c r="M3935" s="40">
        <v>0.75</v>
      </c>
      <c r="N3935" s="40">
        <f t="shared" si="95"/>
        <v>1.5</v>
      </c>
    </row>
    <row r="3936" spans="1:14">
      <c r="A3936" s="29">
        <v>46155</v>
      </c>
      <c r="B3936" s="22" t="s">
        <v>57</v>
      </c>
      <c r="C3936" s="22" t="s">
        <v>55</v>
      </c>
      <c r="D3936" s="48" t="s">
        <v>5</v>
      </c>
      <c r="E3936" t="s">
        <v>164</v>
      </c>
      <c r="F3936">
        <v>2025</v>
      </c>
      <c r="G3936" t="s">
        <v>873</v>
      </c>
      <c r="H3936" s="42" t="s">
        <v>811</v>
      </c>
      <c r="L3936" s="34">
        <v>4</v>
      </c>
      <c r="M3936" s="40">
        <v>0.75</v>
      </c>
      <c r="N3936" s="40">
        <f t="shared" si="95"/>
        <v>3</v>
      </c>
    </row>
    <row r="3937" spans="1:14">
      <c r="A3937" s="29">
        <v>46155</v>
      </c>
      <c r="B3937" s="22" t="s">
        <v>57</v>
      </c>
      <c r="C3937" s="22" t="s">
        <v>55</v>
      </c>
      <c r="D3937" s="48" t="s">
        <v>8</v>
      </c>
      <c r="E3937" t="s">
        <v>180</v>
      </c>
      <c r="F3937">
        <v>2025</v>
      </c>
      <c r="G3937" t="s">
        <v>618</v>
      </c>
      <c r="H3937" s="42" t="s">
        <v>1216</v>
      </c>
      <c r="I3937" s="2">
        <v>1250</v>
      </c>
      <c r="L3937" s="34">
        <v>2</v>
      </c>
      <c r="M3937" s="40">
        <v>0.75</v>
      </c>
      <c r="N3937" s="40">
        <f t="shared" si="95"/>
        <v>1.5</v>
      </c>
    </row>
    <row r="3938" spans="1:14">
      <c r="A3938" s="29">
        <v>46155</v>
      </c>
      <c r="B3938" s="22" t="s">
        <v>57</v>
      </c>
      <c r="C3938" s="22" t="s">
        <v>55</v>
      </c>
      <c r="D3938" s="48" t="s">
        <v>8</v>
      </c>
      <c r="E3938" t="s">
        <v>178</v>
      </c>
      <c r="F3938">
        <v>2025</v>
      </c>
      <c r="G3938" t="s">
        <v>618</v>
      </c>
      <c r="H3938" s="42" t="s">
        <v>1129</v>
      </c>
      <c r="I3938" s="2">
        <v>500</v>
      </c>
      <c r="L3938" s="34">
        <v>2</v>
      </c>
      <c r="M3938" s="40">
        <v>0.75</v>
      </c>
      <c r="N3938" s="40">
        <f t="shared" si="95"/>
        <v>1.5</v>
      </c>
    </row>
    <row r="3939" spans="1:14">
      <c r="A3939" s="29">
        <v>46155</v>
      </c>
      <c r="B3939" s="22" t="s">
        <v>57</v>
      </c>
      <c r="C3939" s="22" t="s">
        <v>55</v>
      </c>
      <c r="D3939" s="48" t="s">
        <v>8</v>
      </c>
      <c r="E3939" t="s">
        <v>182</v>
      </c>
      <c r="F3939">
        <v>2025</v>
      </c>
      <c r="G3939" t="s">
        <v>618</v>
      </c>
      <c r="H3939" s="42" t="s">
        <v>1389</v>
      </c>
      <c r="I3939" s="2">
        <v>465</v>
      </c>
      <c r="L3939" s="34">
        <v>2</v>
      </c>
      <c r="M3939" s="40">
        <v>0.75</v>
      </c>
      <c r="N3939" s="40">
        <f t="shared" si="95"/>
        <v>1.5</v>
      </c>
    </row>
    <row r="3940" spans="1:14">
      <c r="A3940" s="29">
        <v>46155</v>
      </c>
      <c r="B3940" s="22" t="s">
        <v>57</v>
      </c>
      <c r="C3940" s="22" t="s">
        <v>55</v>
      </c>
      <c r="D3940" s="48" t="s">
        <v>8</v>
      </c>
      <c r="E3940" t="s">
        <v>182</v>
      </c>
      <c r="F3940">
        <v>2025</v>
      </c>
      <c r="G3940" t="s">
        <v>359</v>
      </c>
      <c r="H3940" s="42" t="s">
        <v>57</v>
      </c>
      <c r="I3940" s="2">
        <v>1750</v>
      </c>
      <c r="K3940" t="s">
        <v>1780</v>
      </c>
      <c r="L3940" s="34">
        <v>2</v>
      </c>
      <c r="M3940" s="40">
        <v>0.75</v>
      </c>
      <c r="N3940" s="40">
        <f t="shared" si="95"/>
        <v>1.5</v>
      </c>
    </row>
    <row r="3941" spans="1:14">
      <c r="A3941" s="29">
        <v>46155</v>
      </c>
      <c r="B3941" s="22" t="s">
        <v>57</v>
      </c>
      <c r="C3941" s="22" t="s">
        <v>55</v>
      </c>
      <c r="D3941" s="48" t="s">
        <v>8</v>
      </c>
      <c r="E3941" t="s">
        <v>179</v>
      </c>
      <c r="F3941">
        <v>2025</v>
      </c>
      <c r="G3941" t="s">
        <v>357</v>
      </c>
      <c r="H3941" s="42" t="s">
        <v>57</v>
      </c>
      <c r="I3941" s="2">
        <v>2500</v>
      </c>
      <c r="K3941" t="s">
        <v>1781</v>
      </c>
      <c r="L3941" s="34">
        <v>2</v>
      </c>
      <c r="M3941" s="40">
        <v>0.75</v>
      </c>
      <c r="N3941" s="40">
        <f t="shared" si="95"/>
        <v>1.5</v>
      </c>
    </row>
    <row r="3942" spans="1:14">
      <c r="A3942" s="29">
        <v>46160</v>
      </c>
      <c r="B3942" s="22" t="s">
        <v>57</v>
      </c>
      <c r="C3942" s="22" t="s">
        <v>47</v>
      </c>
      <c r="D3942" s="48" t="s">
        <v>11</v>
      </c>
      <c r="E3942" t="s">
        <v>180</v>
      </c>
      <c r="F3942">
        <v>2024</v>
      </c>
      <c r="G3942" t="s">
        <v>1782</v>
      </c>
      <c r="H3942" s="42" t="s">
        <v>57</v>
      </c>
      <c r="I3942" s="2">
        <v>1080</v>
      </c>
      <c r="K3942" t="s">
        <v>1783</v>
      </c>
      <c r="L3942" s="34">
        <v>2</v>
      </c>
      <c r="M3942" s="40">
        <v>0.75</v>
      </c>
      <c r="N3942" s="40">
        <f t="shared" si="95"/>
        <v>1.5</v>
      </c>
    </row>
    <row r="3943" spans="1:14">
      <c r="A3943" s="29">
        <v>46160</v>
      </c>
      <c r="B3943" s="22" t="s">
        <v>57</v>
      </c>
      <c r="C3943" s="22" t="s">
        <v>47</v>
      </c>
      <c r="D3943" s="48" t="s">
        <v>11</v>
      </c>
      <c r="E3943" t="s">
        <v>180</v>
      </c>
      <c r="F3943">
        <v>2024</v>
      </c>
      <c r="G3943" t="s">
        <v>1784</v>
      </c>
      <c r="H3943" s="42" t="s">
        <v>57</v>
      </c>
      <c r="I3943" s="2">
        <v>1080</v>
      </c>
      <c r="K3943" t="s">
        <v>1785</v>
      </c>
      <c r="L3943" s="34">
        <v>2</v>
      </c>
      <c r="M3943" s="40">
        <v>0.75</v>
      </c>
      <c r="N3943" s="40">
        <f t="shared" si="95"/>
        <v>1.5</v>
      </c>
    </row>
    <row r="3944" spans="1:14">
      <c r="A3944" s="29">
        <v>46162</v>
      </c>
      <c r="B3944" s="22" t="s">
        <v>57</v>
      </c>
      <c r="C3944" s="22" t="s">
        <v>49</v>
      </c>
      <c r="D3944" s="48" t="s">
        <v>8</v>
      </c>
      <c r="E3944" t="s">
        <v>273</v>
      </c>
      <c r="F3944">
        <v>2025</v>
      </c>
      <c r="G3944" t="s">
        <v>666</v>
      </c>
      <c r="H3944" s="42" t="s">
        <v>1449</v>
      </c>
      <c r="I3944" s="2">
        <v>1400</v>
      </c>
      <c r="K3944" t="s">
        <v>1786</v>
      </c>
      <c r="L3944" s="34">
        <v>3</v>
      </c>
      <c r="M3944" s="40">
        <v>0.75</v>
      </c>
      <c r="N3944" s="40">
        <f t="shared" si="95"/>
        <v>2.25</v>
      </c>
    </row>
    <row r="3945" spans="1:14">
      <c r="A3945" s="29">
        <v>46162</v>
      </c>
      <c r="B3945" s="22" t="s">
        <v>57</v>
      </c>
      <c r="C3945" s="22" t="s">
        <v>49</v>
      </c>
      <c r="D3945" s="48" t="s">
        <v>8</v>
      </c>
      <c r="E3945" t="s">
        <v>273</v>
      </c>
      <c r="F3945">
        <v>2025</v>
      </c>
      <c r="G3945" t="s">
        <v>667</v>
      </c>
      <c r="H3945" s="42" t="s">
        <v>1449</v>
      </c>
      <c r="I3945" s="2">
        <v>1400</v>
      </c>
      <c r="K3945" t="s">
        <v>1787</v>
      </c>
      <c r="L3945" s="34">
        <v>3</v>
      </c>
      <c r="M3945" s="40">
        <v>0.75</v>
      </c>
      <c r="N3945" s="40">
        <f t="shared" si="95"/>
        <v>2.25</v>
      </c>
    </row>
    <row r="3946" spans="1:14">
      <c r="A3946" s="29">
        <v>46162</v>
      </c>
      <c r="B3946" s="22" t="s">
        <v>57</v>
      </c>
      <c r="C3946" s="22" t="s">
        <v>49</v>
      </c>
      <c r="D3946" s="48" t="s">
        <v>8</v>
      </c>
      <c r="E3946" t="s">
        <v>192</v>
      </c>
      <c r="F3946">
        <v>2025</v>
      </c>
      <c r="G3946" t="s">
        <v>185</v>
      </c>
      <c r="H3946" s="42" t="s">
        <v>1129</v>
      </c>
      <c r="I3946" s="2">
        <v>775</v>
      </c>
      <c r="L3946" s="34">
        <v>3</v>
      </c>
      <c r="M3946" s="40">
        <v>0.75</v>
      </c>
      <c r="N3946" s="40">
        <f t="shared" si="95"/>
        <v>2.25</v>
      </c>
    </row>
    <row r="3947" spans="1:14">
      <c r="A3947" s="29">
        <v>46168</v>
      </c>
      <c r="B3947" s="22" t="s">
        <v>57</v>
      </c>
      <c r="C3947" s="22" t="s">
        <v>51</v>
      </c>
      <c r="D3947" s="48" t="s">
        <v>1724</v>
      </c>
      <c r="E3947" t="s">
        <v>180</v>
      </c>
      <c r="F3947">
        <v>2025</v>
      </c>
      <c r="G3947" t="s">
        <v>357</v>
      </c>
      <c r="H3947" s="42" t="s">
        <v>860</v>
      </c>
      <c r="I3947" s="2">
        <v>1250</v>
      </c>
      <c r="L3947" s="34">
        <v>3</v>
      </c>
      <c r="M3947" s="40">
        <v>0.75</v>
      </c>
      <c r="N3947" s="40">
        <f t="shared" si="95"/>
        <v>2.25</v>
      </c>
    </row>
    <row r="3948" spans="1:14">
      <c r="A3948" s="29">
        <v>46168</v>
      </c>
      <c r="B3948" s="22" t="s">
        <v>57</v>
      </c>
      <c r="C3948" s="22" t="s">
        <v>51</v>
      </c>
      <c r="D3948" s="48" t="s">
        <v>1724</v>
      </c>
      <c r="E3948" t="s">
        <v>57</v>
      </c>
      <c r="F3948">
        <v>2025</v>
      </c>
      <c r="G3948" t="s">
        <v>1788</v>
      </c>
      <c r="H3948" s="42" t="s">
        <v>1449</v>
      </c>
      <c r="I3948" s="2">
        <v>1000</v>
      </c>
      <c r="K3948" t="s">
        <v>1789</v>
      </c>
      <c r="L3948" s="34">
        <v>3</v>
      </c>
      <c r="M3948" s="40">
        <v>0.75</v>
      </c>
      <c r="N3948" s="40">
        <f t="shared" si="95"/>
        <v>2.25</v>
      </c>
    </row>
    <row r="3949" spans="1:14">
      <c r="A3949" s="29">
        <v>46168</v>
      </c>
      <c r="B3949" s="22" t="s">
        <v>57</v>
      </c>
      <c r="C3949" s="22" t="s">
        <v>51</v>
      </c>
      <c r="D3949" s="48" t="s">
        <v>1724</v>
      </c>
      <c r="E3949" t="s">
        <v>57</v>
      </c>
      <c r="F3949">
        <v>2025</v>
      </c>
      <c r="G3949" t="s">
        <v>1790</v>
      </c>
      <c r="H3949" s="42" t="s">
        <v>1449</v>
      </c>
      <c r="I3949" s="2">
        <v>1000</v>
      </c>
      <c r="K3949" t="s">
        <v>1791</v>
      </c>
      <c r="L3949" s="34">
        <v>3</v>
      </c>
      <c r="M3949" s="40">
        <v>0.75</v>
      </c>
      <c r="N3949" s="40">
        <f t="shared" si="95"/>
        <v>2.25</v>
      </c>
    </row>
    <row r="3950" spans="1:14">
      <c r="A3950" s="29">
        <v>46168</v>
      </c>
      <c r="B3950" s="22" t="s">
        <v>63</v>
      </c>
      <c r="C3950" s="22" t="s">
        <v>57</v>
      </c>
      <c r="D3950" s="48" t="s">
        <v>8</v>
      </c>
      <c r="E3950" t="s">
        <v>180</v>
      </c>
      <c r="F3950">
        <v>2025</v>
      </c>
      <c r="G3950" t="s">
        <v>1581</v>
      </c>
      <c r="H3950" s="42" t="s">
        <v>860</v>
      </c>
      <c r="I3950" s="2" t="s">
        <v>57</v>
      </c>
      <c r="K3950" t="s">
        <v>1577</v>
      </c>
      <c r="L3950" s="34">
        <v>3</v>
      </c>
      <c r="M3950" s="40">
        <v>0.75</v>
      </c>
      <c r="N3950" s="40">
        <f t="shared" si="95"/>
        <v>2.25</v>
      </c>
    </row>
    <row r="3951" spans="1:14">
      <c r="A3951" s="29">
        <v>46168</v>
      </c>
      <c r="B3951" s="22" t="s">
        <v>62</v>
      </c>
      <c r="C3951" s="22" t="s">
        <v>57</v>
      </c>
      <c r="D3951" s="48" t="s">
        <v>1727</v>
      </c>
      <c r="E3951" t="s">
        <v>164</v>
      </c>
      <c r="F3951">
        <v>2025</v>
      </c>
      <c r="G3951" t="s">
        <v>1792</v>
      </c>
      <c r="H3951" s="42" t="s">
        <v>746</v>
      </c>
      <c r="I3951" s="2">
        <v>300</v>
      </c>
      <c r="K3951" t="s">
        <v>1793</v>
      </c>
      <c r="L3951" s="34">
        <v>2</v>
      </c>
      <c r="M3951" s="40">
        <v>0.75</v>
      </c>
      <c r="N3951" s="40">
        <f t="shared" si="95"/>
        <v>1.5</v>
      </c>
    </row>
    <row r="3952" spans="1:14">
      <c r="A3952" s="29">
        <v>46169</v>
      </c>
      <c r="B3952" s="22" t="s">
        <v>57</v>
      </c>
      <c r="C3952" s="22" t="s">
        <v>55</v>
      </c>
      <c r="D3952" s="48" t="s">
        <v>1727</v>
      </c>
      <c r="E3952" t="s">
        <v>160</v>
      </c>
      <c r="F3952">
        <v>2025</v>
      </c>
      <c r="G3952" t="s">
        <v>160</v>
      </c>
      <c r="H3952" s="42" t="s">
        <v>1449</v>
      </c>
      <c r="K3952" t="s">
        <v>1794</v>
      </c>
      <c r="L3952" s="34">
        <v>3</v>
      </c>
      <c r="M3952" s="40">
        <v>0.75</v>
      </c>
      <c r="N3952" s="40">
        <f t="shared" si="95"/>
        <v>2.25</v>
      </c>
    </row>
    <row r="3953" spans="1:14">
      <c r="A3953" s="29">
        <v>46169</v>
      </c>
      <c r="B3953" s="22" t="s">
        <v>57</v>
      </c>
      <c r="C3953" s="22" t="s">
        <v>55</v>
      </c>
      <c r="D3953" s="48" t="s">
        <v>11</v>
      </c>
      <c r="E3953" t="s">
        <v>420</v>
      </c>
      <c r="F3953">
        <v>2025</v>
      </c>
      <c r="G3953" t="s">
        <v>420</v>
      </c>
      <c r="H3953" s="42" t="s">
        <v>1031</v>
      </c>
      <c r="L3953" s="34">
        <v>3</v>
      </c>
      <c r="M3953" s="40">
        <v>0.75</v>
      </c>
      <c r="N3953" s="40">
        <f t="shared" si="95"/>
        <v>2.25</v>
      </c>
    </row>
    <row r="3954" spans="1:14">
      <c r="A3954" s="29">
        <v>46169</v>
      </c>
      <c r="B3954" s="22" t="s">
        <v>81</v>
      </c>
      <c r="C3954" s="22" t="s">
        <v>57</v>
      </c>
      <c r="D3954" s="48" t="s">
        <v>1724</v>
      </c>
      <c r="E3954" t="s">
        <v>182</v>
      </c>
      <c r="F3954">
        <v>2025</v>
      </c>
      <c r="G3954" t="s">
        <v>1795</v>
      </c>
      <c r="H3954" s="42" t="s">
        <v>1449</v>
      </c>
      <c r="K3954" t="s">
        <v>1796</v>
      </c>
      <c r="L3954" s="34">
        <v>3</v>
      </c>
      <c r="M3954" s="40">
        <v>0.75</v>
      </c>
      <c r="N3954" s="40">
        <f t="shared" si="95"/>
        <v>2.25</v>
      </c>
    </row>
    <row r="3955" spans="1:14">
      <c r="A3955" s="29">
        <v>46169</v>
      </c>
      <c r="B3955" s="22" t="s">
        <v>81</v>
      </c>
      <c r="C3955" s="22" t="s">
        <v>57</v>
      </c>
      <c r="D3955" s="48" t="s">
        <v>1724</v>
      </c>
      <c r="E3955" t="s">
        <v>182</v>
      </c>
      <c r="F3955">
        <v>2025</v>
      </c>
      <c r="G3955" t="s">
        <v>1797</v>
      </c>
      <c r="H3955" s="42" t="s">
        <v>1156</v>
      </c>
      <c r="L3955" s="34">
        <v>3</v>
      </c>
      <c r="M3955" s="40">
        <v>0.75</v>
      </c>
      <c r="N3955" s="40">
        <f t="shared" si="95"/>
        <v>2.25</v>
      </c>
    </row>
    <row r="3956" spans="1:14">
      <c r="A3956" s="29">
        <v>46169</v>
      </c>
      <c r="B3956" s="22" t="s">
        <v>81</v>
      </c>
      <c r="C3956" s="22" t="s">
        <v>57</v>
      </c>
      <c r="D3956" s="48" t="s">
        <v>8</v>
      </c>
      <c r="E3956" t="s">
        <v>192</v>
      </c>
      <c r="F3956">
        <v>2025</v>
      </c>
      <c r="G3956" t="s">
        <v>207</v>
      </c>
      <c r="H3956" s="42" t="s">
        <v>1449</v>
      </c>
      <c r="K3956" t="s">
        <v>1798</v>
      </c>
      <c r="L3956" s="34">
        <v>3</v>
      </c>
      <c r="M3956" s="40">
        <v>0.75</v>
      </c>
      <c r="N3956" s="40">
        <f t="shared" si="95"/>
        <v>2.25</v>
      </c>
    </row>
    <row r="3957" spans="1:14">
      <c r="A3957" s="29">
        <v>46169</v>
      </c>
      <c r="B3957" s="22" t="s">
        <v>81</v>
      </c>
      <c r="C3957" s="22" t="s">
        <v>57</v>
      </c>
      <c r="D3957" s="48" t="s">
        <v>8</v>
      </c>
      <c r="E3957" t="s">
        <v>190</v>
      </c>
      <c r="F3957">
        <v>2025</v>
      </c>
      <c r="G3957" t="s">
        <v>1577</v>
      </c>
      <c r="H3957" s="42" t="s">
        <v>860</v>
      </c>
      <c r="L3957" s="34">
        <v>3</v>
      </c>
      <c r="M3957" s="40">
        <v>0.75</v>
      </c>
      <c r="N3957" s="40">
        <f t="shared" si="95"/>
        <v>2.25</v>
      </c>
    </row>
    <row r="3958" spans="1:14">
      <c r="A3958" s="29">
        <v>46169</v>
      </c>
      <c r="B3958" s="22" t="s">
        <v>83</v>
      </c>
      <c r="C3958" s="22" t="s">
        <v>57</v>
      </c>
      <c r="D3958" s="48" t="s">
        <v>1724</v>
      </c>
      <c r="E3958" t="s">
        <v>193</v>
      </c>
      <c r="F3958">
        <v>2025</v>
      </c>
      <c r="G3958" t="s">
        <v>1799</v>
      </c>
      <c r="H3958" s="42" t="s">
        <v>1449</v>
      </c>
      <c r="K3958" t="s">
        <v>1796</v>
      </c>
      <c r="L3958" s="34">
        <v>2</v>
      </c>
      <c r="M3958" s="40">
        <v>0.75</v>
      </c>
      <c r="N3958" s="40">
        <f t="shared" si="95"/>
        <v>1.5</v>
      </c>
    </row>
    <row r="3959" spans="1:14">
      <c r="A3959" s="29">
        <v>46169</v>
      </c>
      <c r="B3959" s="22" t="s">
        <v>83</v>
      </c>
      <c r="C3959" s="22" t="s">
        <v>57</v>
      </c>
      <c r="D3959" s="48" t="s">
        <v>1724</v>
      </c>
      <c r="E3959" t="s">
        <v>178</v>
      </c>
      <c r="F3959">
        <v>2025</v>
      </c>
      <c r="G3959" t="s">
        <v>1800</v>
      </c>
      <c r="H3959" s="42" t="s">
        <v>1449</v>
      </c>
      <c r="K3959" t="s">
        <v>1798</v>
      </c>
      <c r="L3959" s="34">
        <v>2</v>
      </c>
      <c r="M3959" s="40">
        <v>0.75</v>
      </c>
      <c r="N3959" s="40">
        <f t="shared" si="95"/>
        <v>1.5</v>
      </c>
    </row>
    <row r="3960" spans="1:14">
      <c r="A3960" s="29">
        <v>46169</v>
      </c>
      <c r="B3960" s="22" t="s">
        <v>96</v>
      </c>
      <c r="C3960" s="22" t="s">
        <v>57</v>
      </c>
      <c r="D3960" s="48" t="s">
        <v>5</v>
      </c>
      <c r="E3960" t="s">
        <v>157</v>
      </c>
      <c r="F3960">
        <v>2025</v>
      </c>
      <c r="G3960" t="s">
        <v>1582</v>
      </c>
      <c r="H3960" s="42" t="s">
        <v>846</v>
      </c>
      <c r="L3960" s="34">
        <v>2</v>
      </c>
      <c r="M3960" s="40">
        <v>0.75</v>
      </c>
      <c r="N3960" s="40">
        <f t="shared" si="95"/>
        <v>1.5</v>
      </c>
    </row>
    <row r="3961" spans="1:14">
      <c r="A3961" s="29">
        <v>46170</v>
      </c>
      <c r="B3961" s="22" t="s">
        <v>63</v>
      </c>
      <c r="C3961" s="22" t="s">
        <v>57</v>
      </c>
      <c r="D3961" s="48" t="s">
        <v>1724</v>
      </c>
      <c r="E3961" t="s">
        <v>193</v>
      </c>
      <c r="F3961">
        <v>2025</v>
      </c>
      <c r="G3961" t="s">
        <v>193</v>
      </c>
      <c r="H3961" s="42" t="s">
        <v>1156</v>
      </c>
      <c r="L3961" s="34">
        <v>3</v>
      </c>
      <c r="M3961" s="40">
        <v>0.75</v>
      </c>
      <c r="N3961" s="40">
        <f t="shared" si="95"/>
        <v>2.25</v>
      </c>
    </row>
    <row r="3962" spans="1:14">
      <c r="A3962" s="29">
        <v>46170</v>
      </c>
      <c r="B3962" s="22" t="s">
        <v>63</v>
      </c>
      <c r="C3962" s="22" t="s">
        <v>57</v>
      </c>
      <c r="D3962" s="48" t="s">
        <v>1724</v>
      </c>
      <c r="E3962" t="s">
        <v>193</v>
      </c>
      <c r="F3962">
        <v>2025</v>
      </c>
      <c r="G3962" t="s">
        <v>193</v>
      </c>
      <c r="H3962" s="42" t="s">
        <v>1449</v>
      </c>
      <c r="K3962" t="s">
        <v>1796</v>
      </c>
      <c r="L3962" s="34">
        <v>3</v>
      </c>
      <c r="M3962" s="40">
        <v>0.75</v>
      </c>
      <c r="N3962" s="40">
        <f t="shared" si="95"/>
        <v>2.25</v>
      </c>
    </row>
    <row r="3963" spans="1:14">
      <c r="A3963" s="29">
        <v>46170</v>
      </c>
      <c r="B3963" s="22" t="s">
        <v>63</v>
      </c>
      <c r="C3963" s="22" t="s">
        <v>57</v>
      </c>
      <c r="D3963" s="48" t="s">
        <v>1724</v>
      </c>
      <c r="E3963" t="s">
        <v>178</v>
      </c>
      <c r="F3963">
        <v>2025</v>
      </c>
      <c r="G3963" t="s">
        <v>192</v>
      </c>
      <c r="H3963" s="42" t="s">
        <v>1449</v>
      </c>
      <c r="K3963" t="s">
        <v>1798</v>
      </c>
      <c r="L3963" s="34">
        <v>3</v>
      </c>
      <c r="M3963" s="40">
        <v>0.75</v>
      </c>
      <c r="N3963" s="40">
        <f t="shared" si="95"/>
        <v>2.25</v>
      </c>
    </row>
    <row r="3964" spans="1:14">
      <c r="A3964" s="29">
        <v>46171</v>
      </c>
      <c r="B3964" s="22" t="s">
        <v>17</v>
      </c>
      <c r="C3964" s="22" t="s">
        <v>57</v>
      </c>
      <c r="D3964" s="48" t="s">
        <v>1724</v>
      </c>
      <c r="E3964" t="s">
        <v>294</v>
      </c>
      <c r="F3964">
        <v>2025</v>
      </c>
      <c r="G3964" t="s">
        <v>357</v>
      </c>
      <c r="H3964" s="42" t="s">
        <v>1449</v>
      </c>
      <c r="K3964" t="s">
        <v>1801</v>
      </c>
      <c r="L3964" s="34">
        <v>3</v>
      </c>
      <c r="M3964" s="40">
        <v>0.75</v>
      </c>
      <c r="N3964" s="40">
        <f t="shared" si="95"/>
        <v>2.25</v>
      </c>
    </row>
    <row r="3965" spans="1:14">
      <c r="A3965" s="29">
        <v>46171</v>
      </c>
      <c r="B3965" s="22" t="s">
        <v>17</v>
      </c>
      <c r="C3965" s="22" t="s">
        <v>57</v>
      </c>
      <c r="D3965" s="48" t="s">
        <v>1724</v>
      </c>
      <c r="E3965" t="s">
        <v>294</v>
      </c>
      <c r="F3965">
        <v>2025</v>
      </c>
      <c r="G3965" t="s">
        <v>359</v>
      </c>
      <c r="H3965" s="42" t="s">
        <v>1449</v>
      </c>
      <c r="K3965" t="s">
        <v>1802</v>
      </c>
      <c r="L3965" s="34">
        <v>3</v>
      </c>
      <c r="M3965" s="40">
        <v>0.75</v>
      </c>
      <c r="N3965" s="40">
        <f t="shared" si="95"/>
        <v>2.25</v>
      </c>
    </row>
    <row r="3966" spans="1:14">
      <c r="A3966" s="29">
        <v>46177</v>
      </c>
      <c r="B3966" s="22" t="s">
        <v>89</v>
      </c>
      <c r="C3966" s="22" t="s">
        <v>57</v>
      </c>
      <c r="D3966" s="48" t="s">
        <v>8</v>
      </c>
      <c r="E3966" t="s">
        <v>1137</v>
      </c>
      <c r="F3966">
        <v>2025</v>
      </c>
      <c r="H3966" s="42" t="s">
        <v>855</v>
      </c>
      <c r="L3966" s="34">
        <v>2</v>
      </c>
      <c r="M3966" s="40">
        <v>0.75</v>
      </c>
      <c r="N3966" s="40">
        <f t="shared" si="95"/>
        <v>1.5</v>
      </c>
    </row>
    <row r="3967" spans="1:14">
      <c r="A3967" s="29">
        <v>46177</v>
      </c>
      <c r="B3967" s="22" t="s">
        <v>89</v>
      </c>
      <c r="C3967" s="22" t="s">
        <v>57</v>
      </c>
      <c r="D3967" s="48" t="s">
        <v>8</v>
      </c>
      <c r="E3967" t="s">
        <v>1803</v>
      </c>
      <c r="F3967">
        <v>2025</v>
      </c>
      <c r="H3967" s="42" t="s">
        <v>1449</v>
      </c>
      <c r="K3967" t="s">
        <v>1804</v>
      </c>
      <c r="L3967" s="34">
        <v>2</v>
      </c>
      <c r="M3967" s="40">
        <v>0.75</v>
      </c>
      <c r="N3967" s="40">
        <f t="shared" si="95"/>
        <v>1.5</v>
      </c>
    </row>
    <row r="3968" spans="1:14">
      <c r="A3968" s="29">
        <v>46177</v>
      </c>
      <c r="B3968" s="22" t="s">
        <v>89</v>
      </c>
      <c r="C3968" s="22" t="s">
        <v>57</v>
      </c>
      <c r="D3968" s="48" t="s">
        <v>1727</v>
      </c>
      <c r="E3968" t="s">
        <v>262</v>
      </c>
      <c r="F3968">
        <v>2025</v>
      </c>
      <c r="H3968" s="42" t="s">
        <v>789</v>
      </c>
      <c r="L3968" s="34">
        <v>2</v>
      </c>
      <c r="M3968" s="40">
        <v>0.75</v>
      </c>
      <c r="N3968" s="40">
        <f t="shared" si="95"/>
        <v>1.5</v>
      </c>
    </row>
    <row r="3969" spans="1:14">
      <c r="A3969" s="29">
        <v>46177</v>
      </c>
      <c r="B3969" s="22"/>
      <c r="C3969" s="22" t="s">
        <v>57</v>
      </c>
      <c r="D3969" s="48" t="s">
        <v>1727</v>
      </c>
      <c r="E3969" t="s">
        <v>163</v>
      </c>
      <c r="F3969">
        <v>2025</v>
      </c>
      <c r="G3969" t="s">
        <v>1805</v>
      </c>
      <c r="H3969" s="42" t="s">
        <v>841</v>
      </c>
      <c r="K3969" t="s">
        <v>1806</v>
      </c>
      <c r="L3969" s="34">
        <v>6</v>
      </c>
      <c r="M3969" s="40">
        <v>0.75</v>
      </c>
      <c r="N3969" s="40">
        <f t="shared" si="95"/>
        <v>4.5</v>
      </c>
    </row>
    <row r="3970" spans="1:14">
      <c r="A3970" s="29">
        <v>46178</v>
      </c>
      <c r="B3970" s="22"/>
      <c r="C3970" s="22" t="s">
        <v>47</v>
      </c>
      <c r="D3970" s="48" t="s">
        <v>8</v>
      </c>
      <c r="E3970" t="s">
        <v>8</v>
      </c>
      <c r="F3970">
        <v>2025</v>
      </c>
      <c r="G3970" t="s">
        <v>482</v>
      </c>
      <c r="H3970" s="42" t="s">
        <v>1415</v>
      </c>
      <c r="I3970" s="2">
        <v>1000</v>
      </c>
      <c r="K3970" t="s">
        <v>1807</v>
      </c>
      <c r="L3970" s="34">
        <v>2</v>
      </c>
      <c r="M3970" s="40">
        <v>0.75</v>
      </c>
      <c r="N3970" s="40">
        <f t="shared" si="95"/>
        <v>1.5</v>
      </c>
    </row>
    <row r="3971" spans="1:14">
      <c r="A3971" s="29">
        <v>46178</v>
      </c>
      <c r="B3971" s="22" t="s">
        <v>83</v>
      </c>
      <c r="C3971" s="22" t="s">
        <v>57</v>
      </c>
      <c r="D3971" s="48" t="s">
        <v>1727</v>
      </c>
      <c r="E3971" t="s">
        <v>768</v>
      </c>
      <c r="F3971">
        <v>2025</v>
      </c>
      <c r="G3971" t="s">
        <v>262</v>
      </c>
      <c r="H3971" s="42" t="s">
        <v>1009</v>
      </c>
      <c r="L3971" s="34">
        <v>2</v>
      </c>
      <c r="M3971" s="40">
        <v>0.75</v>
      </c>
      <c r="N3971" s="40">
        <f t="shared" si="95"/>
        <v>1.5</v>
      </c>
    </row>
    <row r="3972" spans="1:14">
      <c r="B3972" s="22"/>
      <c r="C3972" s="22"/>
      <c r="D3972" s="48"/>
      <c r="H3972" s="42"/>
      <c r="L3972" s="34"/>
      <c r="M3972" s="40">
        <v>0.75</v>
      </c>
      <c r="N3972" s="40">
        <f t="shared" si="95"/>
        <v>0</v>
      </c>
    </row>
    <row r="3973" spans="1:14">
      <c r="B3973" s="22"/>
      <c r="C3973" s="22"/>
      <c r="D3973" s="48"/>
      <c r="H3973" s="42"/>
      <c r="L3973" s="34"/>
      <c r="M3973" s="40"/>
      <c r="N3973" s="40"/>
    </row>
    <row r="3974" spans="1:14">
      <c r="B3974" s="22"/>
      <c r="C3974" s="22"/>
      <c r="D3974" s="48"/>
      <c r="H3974" s="42"/>
      <c r="L3974" s="34"/>
      <c r="M3974" s="40"/>
      <c r="N3974" s="40"/>
    </row>
    <row r="3975" spans="1:14">
      <c r="B3975" s="22"/>
      <c r="C3975" s="22"/>
      <c r="D3975" s="48"/>
      <c r="H3975" s="42"/>
      <c r="L3975" s="34"/>
      <c r="M3975" s="40"/>
      <c r="N3975" s="40"/>
    </row>
    <row r="3976" spans="1:14">
      <c r="B3976" s="22"/>
      <c r="C3976" s="22"/>
      <c r="D3976" s="48"/>
      <c r="H3976" s="42"/>
      <c r="L3976" s="34"/>
      <c r="M3976" s="40"/>
      <c r="N3976" s="40"/>
    </row>
    <row r="3977" spans="1:14">
      <c r="B3977" s="22"/>
      <c r="C3977" s="22"/>
      <c r="D3977" s="48"/>
      <c r="H3977" s="42"/>
      <c r="L3977" s="34"/>
      <c r="M3977" s="40"/>
      <c r="N3977" s="40"/>
    </row>
    <row r="3978" spans="1:14">
      <c r="B3978" s="22"/>
      <c r="C3978" s="22"/>
      <c r="D3978" s="48"/>
      <c r="H3978" s="42"/>
      <c r="L3978" s="34"/>
      <c r="M3978" s="40"/>
      <c r="N3978" s="40"/>
    </row>
  </sheetData>
  <autoFilter ref="A2:AI3972" xr:uid="{2B681EEB-1F51-4A9D-8CEF-9AF90CB6B9A3}">
    <sortState xmlns:xlrd2="http://schemas.microsoft.com/office/spreadsheetml/2017/richdata2" ref="A3:AI3375">
      <sortCondition ref="A2:A3341"/>
    </sortState>
  </autoFilter>
  <conditionalFormatting sqref="AB2507">
    <cfRule type="cellIs" dxfId="1" priority="1" operator="greaterThan">
      <formula>35</formula>
    </cfRule>
    <cfRule type="cellIs" dxfId="0" priority="2" operator="lessThan">
      <formula>18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C4628FA-87A2-4E0F-A8F0-124863DA2472}">
          <x14:formula1>
            <xm:f>Base!$C$2:$C$27</xm:f>
          </x14:formula1>
          <xm:sqref>D3681:D3803</xm:sqref>
        </x14:dataValidation>
        <x14:dataValidation type="list" allowBlank="1" showInputMessage="1" showErrorMessage="1" xr:uid="{0DBF33B1-500A-4869-8F22-F71044C98972}">
          <x14:formula1>
            <xm:f>Base!$A$2:$A$71</xm:f>
          </x14:formula1>
          <xm:sqref>B3679:B3978</xm:sqref>
        </x14:dataValidation>
        <x14:dataValidation type="list" allowBlank="1" showInputMessage="1" showErrorMessage="1" xr:uid="{2E5A7830-F56A-4CD4-8826-ACA2F50DF13D}">
          <x14:formula1>
            <xm:f>Base!$B$2:$B$100</xm:f>
          </x14:formula1>
          <xm:sqref>C3681:C3871 C3936:C3978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3980-58bc-41fc-ab34-bfea8c645c38">
      <Terms xmlns="http://schemas.microsoft.com/office/infopath/2007/PartnerControls"/>
    </lcf76f155ced4ddcb4097134ff3c332f>
    <Comptes2023 xmlns="57103980-58bc-41fc-ab34-bfea8c645c38" xsi:nil="true"/>
    <TaxCatchAll xmlns="3442d270-ce26-4cc2-bab5-246b32e9abd7" xsi:nil="true"/>
    <MediaLengthInSeconds xmlns="57103980-58bc-41fc-ab34-bfea8c645c38" xsi:nil="true"/>
    <Date xmlns="57103980-58bc-41fc-ab34-bfea8c645c3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73880739407942A19988C413A3FD73" ma:contentTypeVersion="17" ma:contentTypeDescription="Crée un document." ma:contentTypeScope="" ma:versionID="9c38b52ce713aa9138483584735610c0">
  <xsd:schema xmlns:xsd="http://www.w3.org/2001/XMLSchema" xmlns:xs="http://www.w3.org/2001/XMLSchema" xmlns:p="http://schemas.microsoft.com/office/2006/metadata/properties" xmlns:ns2="57103980-58bc-41fc-ab34-bfea8c645c38" xmlns:ns3="3442d270-ce26-4cc2-bab5-246b32e9abd7" targetNamespace="http://schemas.microsoft.com/office/2006/metadata/properties" ma:root="true" ma:fieldsID="6cfdbe83a8af6013f9905cb4400b9180" ns2:_="" ns3:_="">
    <xsd:import namespace="57103980-58bc-41fc-ab34-bfea8c645c38"/>
    <xsd:import namespace="3442d270-ce26-4cc2-bab5-246b32e9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Comptes2023" minOccurs="0"/>
                <xsd:element ref="ns2:MediaLengthInSeconds" minOccurs="0"/>
                <xsd:element ref="ns2:MediaServiceLocation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3980-58bc-41fc-ab34-bfea8c645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c3c4b091-a339-4772-bb6d-c8eda0e946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ptes2023" ma:index="21" nillable="true" ma:displayName="Comptes 2023" ma:format="Dropdown" ma:internalName="Comptes2023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Date" ma:index="24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2d270-ce26-4cc2-bab5-246b32e9ab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d999754-1539-404c-a4e9-b9a6d7ad36e4}" ma:internalName="TaxCatchAll" ma:showField="CatchAllData" ma:web="3442d270-ce26-4cc2-bab5-246b32e9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7ECA87-9344-4BE7-9AEB-953F5DB0A204}"/>
</file>

<file path=customXml/itemProps2.xml><?xml version="1.0" encoding="utf-8"?>
<ds:datastoreItem xmlns:ds="http://schemas.openxmlformats.org/officeDocument/2006/customXml" ds:itemID="{751B6006-568A-4C69-B2A8-D477E27AFF8A}"/>
</file>

<file path=customXml/itemProps3.xml><?xml version="1.0" encoding="utf-8"?>
<ds:datastoreItem xmlns:ds="http://schemas.openxmlformats.org/officeDocument/2006/customXml" ds:itemID="{EC76D9AF-F086-4BE9-83C5-77F76CD8BF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 Masson</dc:creator>
  <cp:keywords/>
  <dc:description/>
  <cp:lastModifiedBy>Marine Roux</cp:lastModifiedBy>
  <cp:revision/>
  <dcterms:created xsi:type="dcterms:W3CDTF">2016-10-17T10:46:39Z</dcterms:created>
  <dcterms:modified xsi:type="dcterms:W3CDTF">2026-06-05T08:49:54Z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0x010100A773880739407942A19988C413A3FD73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